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9" yWindow="-109" windowWidth="19426" windowHeight="10297" activeTab="4"/>
  </bookViews>
  <sheets>
    <sheet name="MILE STONES" sheetId="1" r:id="rId1"/>
    <sheet name="SOTC BAR CHART" sheetId="2" r:id="rId2"/>
    <sheet name="WARNING" sheetId="3" state="hidden" r:id="rId3"/>
    <sheet name="Sheet1" sheetId="4" r:id="rId4"/>
    <sheet name="ASTA Schedule" sheetId="5" r:id="rId5"/>
  </sheets>
  <definedNames>
    <definedName name="_xlnm.Print_Area" localSheetId="4">'ASTA Schedule'!$A$1:$AG$141</definedName>
    <definedName name="_xlnm.Print_Area" localSheetId="0">'MILE STONES'!$A$1:$C$31</definedName>
    <definedName name="_xlnm.Print_Area" localSheetId="1">'SOTC BAR CHART'!$A$1:$EY$140</definedName>
    <definedName name="_xlnm.Print_Titles" localSheetId="4">'ASTA Schedule'!$1:$3</definedName>
    <definedName name="_xlnm.Print_Titles" localSheetId="1">'SOTC BAR CHART'!$1:$3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00" i="5" l="1"/>
  <c r="AG99" i="5"/>
  <c r="AG61" i="5"/>
  <c r="AG11" i="5"/>
  <c r="AG5" i="5"/>
  <c r="AG4" i="5"/>
  <c r="AG6" i="5"/>
  <c r="AG7" i="5"/>
  <c r="AG8" i="5"/>
  <c r="AG9" i="5"/>
  <c r="AG10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2" i="5"/>
  <c r="AG41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1" i="5"/>
  <c r="AG92" i="5"/>
  <c r="AG93" i="5"/>
  <c r="AG94" i="5"/>
  <c r="AG95" i="5"/>
  <c r="AG96" i="5"/>
  <c r="AG97" i="5"/>
  <c r="AG98" i="5"/>
  <c r="F3" i="5" l="1"/>
  <c r="EY21" i="2"/>
  <c r="EY9" i="2"/>
  <c r="EY10" i="2"/>
  <c r="EY11" i="2"/>
  <c r="EY12" i="2"/>
  <c r="EY13" i="2"/>
  <c r="EY14" i="2"/>
  <c r="G3" i="5" l="1"/>
  <c r="I3" i="5" s="1"/>
  <c r="J3" i="5" s="1"/>
  <c r="L3" i="5" s="1"/>
  <c r="M3" i="5" s="1"/>
  <c r="O3" i="5" s="1"/>
  <c r="P3" i="5" s="1"/>
  <c r="R3" i="5" s="1"/>
  <c r="S3" i="5" s="1"/>
  <c r="U3" i="5" s="1"/>
  <c r="V3" i="5" s="1"/>
  <c r="EY8" i="2"/>
  <c r="EY15" i="2"/>
  <c r="EY16" i="2"/>
  <c r="EY17" i="2"/>
  <c r="EY18" i="2"/>
  <c r="EY19" i="2"/>
  <c r="EY20" i="2"/>
  <c r="X3" i="5" l="1"/>
  <c r="Y3" i="5" s="1"/>
  <c r="AA3" i="5" s="1"/>
  <c r="AB3" i="5" s="1"/>
  <c r="AD3" i="5" s="1"/>
  <c r="EY74" i="2"/>
  <c r="EY73" i="2"/>
  <c r="EY71" i="2"/>
  <c r="EY70" i="2"/>
  <c r="EY69" i="2"/>
  <c r="EY94" i="2"/>
  <c r="EY95" i="2"/>
  <c r="EY96" i="2"/>
  <c r="EY91" i="2"/>
  <c r="EY92" i="2"/>
  <c r="EY93" i="2"/>
  <c r="EY97" i="2"/>
  <c r="EY98" i="2"/>
  <c r="EY99" i="2"/>
  <c r="EY6" i="2"/>
  <c r="EY7" i="2"/>
  <c r="EY22" i="2"/>
  <c r="EY23" i="2"/>
  <c r="EY24" i="2"/>
  <c r="EY25" i="2"/>
  <c r="EY26" i="2"/>
  <c r="EY27" i="2"/>
  <c r="EY28" i="2"/>
  <c r="EY29" i="2"/>
  <c r="EY30" i="2"/>
  <c r="EY31" i="2"/>
  <c r="EY32" i="2"/>
  <c r="EY33" i="2"/>
  <c r="EY34" i="2"/>
  <c r="EY35" i="2"/>
  <c r="EY36" i="2"/>
  <c r="EY37" i="2"/>
  <c r="EY38" i="2"/>
  <c r="EY39" i="2"/>
  <c r="EY40" i="2"/>
  <c r="EY41" i="2"/>
  <c r="EY42" i="2"/>
  <c r="EY43" i="2"/>
  <c r="EY44" i="2"/>
  <c r="EY45" i="2"/>
  <c r="EY46" i="2"/>
  <c r="EY47" i="2"/>
  <c r="EY48" i="2"/>
  <c r="EY49" i="2"/>
  <c r="EY50" i="2"/>
  <c r="EY51" i="2"/>
  <c r="EY52" i="2"/>
  <c r="EY53" i="2"/>
  <c r="EY54" i="2"/>
  <c r="EY55" i="2"/>
  <c r="EY56" i="2"/>
  <c r="EY57" i="2"/>
  <c r="EY58" i="2"/>
  <c r="EY59" i="2"/>
  <c r="EY60" i="2"/>
  <c r="EY61" i="2"/>
  <c r="EY62" i="2"/>
  <c r="EY63" i="2"/>
  <c r="EY64" i="2"/>
  <c r="EY65" i="2"/>
  <c r="EY66" i="2"/>
  <c r="EY67" i="2"/>
  <c r="EY68" i="2"/>
  <c r="EY72" i="2"/>
  <c r="EY75" i="2"/>
  <c r="EY5" i="2"/>
  <c r="EY78" i="2"/>
  <c r="EY79" i="2"/>
  <c r="EY80" i="2"/>
  <c r="EY81" i="2"/>
  <c r="EY82" i="2"/>
  <c r="EY83" i="2"/>
  <c r="EY84" i="2"/>
  <c r="EY85" i="2"/>
  <c r="EY86" i="2"/>
  <c r="EY87" i="2"/>
  <c r="EY88" i="2"/>
  <c r="EY89" i="2"/>
  <c r="EY90" i="2"/>
  <c r="EY77" i="2"/>
  <c r="DF3" i="2" l="1"/>
  <c r="DG3" i="2" s="1"/>
  <c r="DI3" i="2" s="1"/>
  <c r="DJ3" i="2" s="1"/>
  <c r="DL3" i="2" s="1"/>
  <c r="DM3" i="2" s="1"/>
  <c r="DO3" i="2" s="1"/>
  <c r="DP3" i="2" s="1"/>
  <c r="DR3" i="2" s="1"/>
  <c r="DS3" i="2" s="1"/>
  <c r="DU3" i="2" s="1"/>
  <c r="CY3" i="2"/>
  <c r="CV3" i="2"/>
  <c r="CS3" i="2"/>
  <c r="CP3" i="2"/>
  <c r="CM3" i="2"/>
  <c r="CJ3" i="2"/>
  <c r="CG3" i="2"/>
  <c r="CD3" i="2"/>
  <c r="CA3" i="2"/>
  <c r="BX3" i="2"/>
  <c r="BU3" i="2"/>
  <c r="AJ3" i="2"/>
  <c r="AK3" i="2" s="1"/>
  <c r="AM3" i="2" s="1"/>
  <c r="AN3" i="2" s="1"/>
  <c r="AP3" i="2" s="1"/>
  <c r="AQ3" i="2" s="1"/>
  <c r="AS3" i="2" s="1"/>
  <c r="AT3" i="2" s="1"/>
  <c r="AV3" i="2" s="1"/>
  <c r="AW3" i="2" s="1"/>
  <c r="AY3" i="2" s="1"/>
  <c r="AZ3" i="2" s="1"/>
  <c r="BB3" i="2" s="1"/>
  <c r="BC3" i="2" s="1"/>
  <c r="BE3" i="2" s="1"/>
  <c r="BF3" i="2" s="1"/>
  <c r="BH3" i="2" s="1"/>
  <c r="BI3" i="2" s="1"/>
  <c r="BK3" i="2" s="1"/>
  <c r="BL3" i="2" s="1"/>
  <c r="BN3" i="2" s="1"/>
  <c r="BO3" i="2" s="1"/>
  <c r="BQ3" i="2" s="1"/>
  <c r="AG3" i="2"/>
  <c r="AD3" i="2"/>
  <c r="AA3" i="2"/>
  <c r="X3" i="2"/>
  <c r="U3" i="2"/>
  <c r="R3" i="2"/>
  <c r="O3" i="2"/>
  <c r="L3" i="2"/>
  <c r="I3" i="2"/>
  <c r="F3" i="2"/>
  <c r="DV3" i="2" l="1"/>
  <c r="DX3" i="2" s="1"/>
  <c r="DY3" i="2" s="1"/>
  <c r="EA3" i="2" s="1"/>
  <c r="EB3" i="2" s="1"/>
  <c r="ED3" i="2" s="1"/>
  <c r="EE3" i="2" s="1"/>
  <c r="EG3" i="2" s="1"/>
  <c r="EH3" i="2" s="1"/>
  <c r="EJ3" i="2" s="1"/>
  <c r="EK3" i="2" s="1"/>
  <c r="EM3" i="2" s="1"/>
  <c r="EN3" i="2" s="1"/>
  <c r="EP3" i="2" s="1"/>
  <c r="EQ3" i="2" s="1"/>
  <c r="ES3" i="2" s="1"/>
  <c r="ET3" i="2" s="1"/>
  <c r="EV3" i="2" s="1"/>
</calcChain>
</file>

<file path=xl/sharedStrings.xml><?xml version="1.0" encoding="utf-8"?>
<sst xmlns="http://schemas.openxmlformats.org/spreadsheetml/2006/main" count="430" uniqueCount="194">
  <si>
    <t>REVISED MILESTONES</t>
  </si>
  <si>
    <t>MILE STONE</t>
  </si>
  <si>
    <t>WIRING FOR LAN, VOICE</t>
  </si>
  <si>
    <t xml:space="preserve">ELECTRICAL INSTALLATIONS IN MOT'S AND TIR'S </t>
  </si>
  <si>
    <t>TRANSFORMER TRENCHING &amp; CABLING, INSTALLATION OF LAN &amp; VOICE MODULAR BOXES</t>
  </si>
  <si>
    <t>ELECTRO CONDUCTIVE FLOORING INSIDE MOT'S &amp; TIR'S, DYNAMIC HATCH BOX INSTALLATION</t>
  </si>
  <si>
    <t>INSTALLATIONS IN MOTs, VINYL FLOORING IN STERILE CORRIDOR, 3-BAY SCRUB STATION, AHU's, CONDENSING UNITS</t>
  </si>
  <si>
    <t>MEDICAL GAS PIPELINE INSTALLATION INSIDE MOTS</t>
  </si>
  <si>
    <t>INSTALLATIONS IN MOTs INTEGRATION ROOM, CCTV ROOM CAMERA</t>
  </si>
  <si>
    <t>VINYL FLOORING IN CORRIDORS &amp; ALL ROOMS IN STERILE &amp; SEMI-STERILE AREA, PCGI PANELING</t>
  </si>
  <si>
    <t>DG CABLING &amp; COMISSIONING, ELECTRICAL CONNECTIONS TO RO, TESTING &amp; COMISSIONING</t>
  </si>
  <si>
    <t>TRANSFORMER CIRCUIT BRAKER, COMMISSIONING OF TRANSFORMER</t>
  </si>
  <si>
    <t>ACCOUSTIC PANELING &amp; WOODEN FLOORING</t>
  </si>
  <si>
    <t>LIFT INSTALLATION</t>
  </si>
  <si>
    <t>FIXING OF PENDANTS, TRIPLE DOME &amp; DOUBLE DOME OT LIGHTS, HIGH DEFINITION CAMERA, MEDICAL GRADE MONITOR</t>
  </si>
  <si>
    <t>ALL OTHER MISCELLANEOUS WORKS</t>
  </si>
  <si>
    <t>HANDOVER</t>
  </si>
  <si>
    <t>BAR CHART for Balance Works at SOTC 8th Floor, Gandhi Hospital, Hyderabad (Considering Additional 2 OTs)</t>
  </si>
  <si>
    <t xml:space="preserve">S.no </t>
  </si>
  <si>
    <t>ITEM CATEGORY</t>
  </si>
  <si>
    <t>ITEM DESCRIPTION</t>
  </si>
  <si>
    <t>To</t>
  </si>
  <si>
    <t>Preparation &amp; Approval of Terrace Drawing</t>
  </si>
  <si>
    <t>PLASTERING</t>
  </si>
  <si>
    <t>DADOING</t>
  </si>
  <si>
    <t>WALL PUTTY &amp; PAINTING</t>
  </si>
  <si>
    <t>FALSE CEILING</t>
  </si>
  <si>
    <t>PCGI PANELING</t>
  </si>
  <si>
    <t>FLOOR SELF- LEVELLING</t>
  </si>
  <si>
    <t>VINYL FLOORING</t>
  </si>
  <si>
    <t>TOILETS</t>
  </si>
  <si>
    <t>GEYSER</t>
  </si>
  <si>
    <t>EXHAUST FANS</t>
  </si>
  <si>
    <t>ELECTRICAL</t>
  </si>
  <si>
    <t>POINT WIRING</t>
  </si>
  <si>
    <t>DB's &amp; MCB's</t>
  </si>
  <si>
    <t>POWER CABLES FOR DSU's</t>
  </si>
  <si>
    <t>DSU DUCTING</t>
  </si>
  <si>
    <t>ELECTRICAL PANELS</t>
  </si>
  <si>
    <t>A/C's &amp; DSU's ODU</t>
  </si>
  <si>
    <t>ELECTRICAL SWITCH BOARDS</t>
  </si>
  <si>
    <t>UPS</t>
  </si>
  <si>
    <t>SUPPLY OF BATTERIES</t>
  </si>
  <si>
    <t>INSTALLATION</t>
  </si>
  <si>
    <t>ELV</t>
  </si>
  <si>
    <t>LAN</t>
  </si>
  <si>
    <t>VOICE</t>
  </si>
  <si>
    <t>ACCESS CONTROL</t>
  </si>
  <si>
    <t>CCTV CEILING CAMERA</t>
  </si>
  <si>
    <t>FIRE SYSTEM</t>
  </si>
  <si>
    <t>TRANSFORMER</t>
  </si>
  <si>
    <t>SUPPLY</t>
  </si>
  <si>
    <t>CIRCUIT BRAKER</t>
  </si>
  <si>
    <t>COMISSIONING</t>
  </si>
  <si>
    <t>CABLING</t>
  </si>
  <si>
    <t>SURFACE PREPARATION</t>
  </si>
  <si>
    <t>WOODEN FLOORIN</t>
  </si>
  <si>
    <t>LIFT</t>
  </si>
  <si>
    <t>STRUCTURE ERECTION</t>
  </si>
  <si>
    <t>PEDASTALS ON TERRACE</t>
  </si>
  <si>
    <t>ELECTRICAL CONNECTIONS TO RO</t>
  </si>
  <si>
    <t>TESTING &amp; COMMISSIONING</t>
  </si>
  <si>
    <t>WATER PROOFING</t>
  </si>
  <si>
    <t>GROOVING &amp; TERRACE COVING</t>
  </si>
  <si>
    <t>SHED FOR AHU &amp; RO</t>
  </si>
  <si>
    <t>PEDESTALS</t>
  </si>
  <si>
    <t>FIXING OF ROOFING SHEETS</t>
  </si>
  <si>
    <t>WORKS IN 6 MOT's &amp; 3 TIR's</t>
  </si>
  <si>
    <t xml:space="preserve">SITC of Aluminium Ducting </t>
  </si>
  <si>
    <t>SITC of Uni Directional Ceiling Laminar Airflow Systems  &amp; In TIR Corridor</t>
  </si>
  <si>
    <t xml:space="preserve">SITC of Stainless Steel Pre-fabricated Wall panels </t>
  </si>
  <si>
    <t>SITC of Stainless Steel Pre-fabricated Ceiling panels In MOTs &amp; MOTs Corridor &amp; in TIRs and TIR Corridor</t>
  </si>
  <si>
    <t xml:space="preserve">SITC of Storage Units  </t>
  </si>
  <si>
    <t>SITC of Electrical Installations in MOTs &amp; TIRs</t>
  </si>
  <si>
    <t>LAYING OF SUPPLY &amp; DRAIN LINES for RO Water</t>
  </si>
  <si>
    <t xml:space="preserve">SITC of Dynamic Hatch Box </t>
  </si>
  <si>
    <t>SITC of Electro conductive Flooring inside MOTs &amp; inside TIRs&amp; TIR Corridor</t>
  </si>
  <si>
    <t>SITC of Flooring with Vinyl Sheets In MOT Corridor &amp; In TIR Corridor</t>
  </si>
  <si>
    <t>SITC of Hermetically Sealed Doors</t>
  </si>
  <si>
    <t xml:space="preserve">SITC of Pressure Relief Dampers </t>
  </si>
  <si>
    <t xml:space="preserve">SITC of LED Peripheral Lights cum clean room (OT) luminaries  </t>
  </si>
  <si>
    <t xml:space="preserve">SITC of View Window </t>
  </si>
  <si>
    <t xml:space="preserve">SITC of Writing Board </t>
  </si>
  <si>
    <t>SITC of X-Ray CT Scan LED viewing Screen</t>
  </si>
  <si>
    <t xml:space="preserve">SITC of Touch Screen Surgeon Control Panels </t>
  </si>
  <si>
    <t xml:space="preserve">SITC of 3-Bay Scrub Stations/Sinks </t>
  </si>
  <si>
    <t xml:space="preserve">SITC of Medical Gas pipeline Installation Inside MOT </t>
  </si>
  <si>
    <t>SITC of 12mm thick glazed Glass partition walls in TIRs</t>
  </si>
  <si>
    <t>SITC of Air Handling Units (AHUs)</t>
  </si>
  <si>
    <t>SITC of Condensing Units</t>
  </si>
  <si>
    <t xml:space="preserve">SITC of Wall mounted large screen display 55 inch </t>
  </si>
  <si>
    <t>Supply of Wireless Microphones</t>
  </si>
  <si>
    <t>Supply of Digital Mixer Amplifier</t>
  </si>
  <si>
    <t xml:space="preserve">Supply of Ceiling Mounted Speakers </t>
  </si>
  <si>
    <t>Supply of Video Conferencing Systems</t>
  </si>
  <si>
    <t>Supply of Hifi Active Sub Woofer</t>
  </si>
  <si>
    <t>Supply of Equalization &amp; Loud Speaker Control System</t>
  </si>
  <si>
    <t xml:space="preserve">Supply of Sound Analog Mixer </t>
  </si>
  <si>
    <t>Supply of  Wall Mounted LED TV 43 Inches Full HD</t>
  </si>
  <si>
    <t>Supply of Home Theatre Power Conditioner, 230V</t>
  </si>
  <si>
    <t>Supply of Amplifier (8 Channel)</t>
  </si>
  <si>
    <t>Supply of Ceiling/Wall Mounted CCTV Room camera</t>
  </si>
  <si>
    <t xml:space="preserve">SITC of Single  &amp; Double arm Anesthesia Pendants (Imported) </t>
  </si>
  <si>
    <t>SITC of Triple Dome Ceiling  OT LED Lights  (Imported)</t>
  </si>
  <si>
    <t>SITC of Double Dome Ceiling  OT LED Lights  (Imported)</t>
  </si>
  <si>
    <t xml:space="preserve">SITC of Detachable Hi Definition Cameras in Triple Dome Ceiling OT  Lights  </t>
  </si>
  <si>
    <t xml:space="preserve">SITC of Medical Grade Monitors 32 inch 4 K Resolution  </t>
  </si>
  <si>
    <t>Testing &amp; Commissioning</t>
  </si>
  <si>
    <t>Handover</t>
  </si>
  <si>
    <t>MILE STONE 2</t>
  </si>
  <si>
    <t>MLE STONE 3</t>
  </si>
  <si>
    <t>DISMANTLING</t>
  </si>
  <si>
    <t>DRAWING APPROVALS</t>
  </si>
  <si>
    <t>DADOING, CP &amp; SANITARY FITTINGS, WPC DOORS, FALSE CEILING</t>
  </si>
  <si>
    <t>DUCTING FOR MOT'S AND TIR'S&amp; DSU UNITS</t>
  </si>
  <si>
    <t>SS WALL &amp; CEILING PANELING, STORAGE UNITS, ACs &amp; DSU ODU FIXING, LAMINAR AIR FLOW SYSTEM</t>
  </si>
  <si>
    <t>ELECTRICAL DB'S AND MCB'S, ELECTRICAL POINT WIRING</t>
  </si>
  <si>
    <t>LIFT STRUCTURE ERECTION, CONSTRUCTION OF PEDESTAL FOR RO PLANT, AHU</t>
  </si>
  <si>
    <t>ELECTRIC PANELS, POWER CABLES FOR DSU's, AC's &amp; DSU's ODU FIXING</t>
  </si>
  <si>
    <t>WATER PROOFING SURFACE PREPARATION &amp; APPLICATION OF FIRST COAT, LAYING OF SCREED, FINAL COAT, COVING</t>
  </si>
  <si>
    <t>UPS INSTALLATION, ACCESS CONTROL, FIRE SYSTEM, ELECTRICAL SWITCH BOARDS, GEYSER</t>
  </si>
  <si>
    <t>SUPPLY OF RO MACHINE, LAYING OF PEX PIPING</t>
  </si>
  <si>
    <t>SUPPLY OF 800 KVA TRANSFORMER, DG SET, UPS &amp; UPS BATTERY RACKS</t>
  </si>
  <si>
    <t>LIFT EXAVATION, DRAWING APPROVALS &amp; FOUNDATION</t>
  </si>
  <si>
    <t>SUPPLYING AND FIXING OF DOORS &amp; WINDOWS, FLOOR LEVELLING, WALL PUTTY &amp; PAINTING</t>
  </si>
  <si>
    <t>STRUCTURE ERECTION FOR AHU &amp; RO SHED</t>
  </si>
  <si>
    <t>EXTERNAL WALL &amp; SUNSHADE REPAIR, RO INLET FIXING</t>
  </si>
  <si>
    <t>WORKS TO BE COMPLETED</t>
  </si>
  <si>
    <r>
      <t xml:space="preserve">PLEASE ENABLE THE MACROS TO WORK WITH THIS SHEET
</t>
    </r>
    <r>
      <rPr>
        <sz val="22"/>
        <color theme="1"/>
        <rFont val="Calibri"/>
        <family val="2"/>
        <scheme val="minor"/>
      </rPr>
      <t>To Change Macro Security Settings:
In Excel, go to File &gt; Options &gt; Trust Center &gt; Trust Center Settings &gt; Macro Settings.</t>
    </r>
  </si>
  <si>
    <r>
      <t xml:space="preserve">MILE STONE-3                                                                                                                 </t>
    </r>
    <r>
      <rPr>
        <sz val="10"/>
        <color theme="1"/>
        <rFont val="Arial"/>
        <family val="2"/>
      </rPr>
      <t>(</t>
    </r>
    <r>
      <rPr>
        <b/>
        <sz val="10"/>
        <color theme="1"/>
        <rFont val="Arial"/>
        <family val="2"/>
      </rPr>
      <t>270 Days</t>
    </r>
    <r>
      <rPr>
        <sz val="10"/>
        <color theme="1"/>
        <rFont val="Arial"/>
        <family val="2"/>
      </rPr>
      <t xml:space="preserve"> from Date of approval of working drawings)</t>
    </r>
  </si>
  <si>
    <r>
      <t xml:space="preserve">MILE STONE-2                                                                                                                                                         </t>
    </r>
    <r>
      <rPr>
        <sz val="10"/>
        <color theme="1"/>
        <rFont val="Arial"/>
        <family val="2"/>
      </rPr>
      <t>(</t>
    </r>
    <r>
      <rPr>
        <b/>
        <sz val="10"/>
        <color theme="1"/>
        <rFont val="Arial"/>
        <family val="2"/>
      </rPr>
      <t>180 Days</t>
    </r>
    <r>
      <rPr>
        <sz val="10"/>
        <color theme="1"/>
        <rFont val="Arial"/>
        <family val="2"/>
      </rPr>
      <t xml:space="preserve"> from Date of approval of working drawings)</t>
    </r>
  </si>
  <si>
    <r>
      <t xml:space="preserve">MILE STONE-1                                                                                                                                                         </t>
    </r>
    <r>
      <rPr>
        <sz val="14"/>
        <color theme="1"/>
        <rFont val="Arial"/>
        <family val="2"/>
      </rPr>
      <t>(</t>
    </r>
    <r>
      <rPr>
        <b/>
        <sz val="10"/>
        <color theme="1"/>
        <rFont val="Arial"/>
        <family val="2"/>
      </rPr>
      <t>90 Days</t>
    </r>
    <r>
      <rPr>
        <sz val="10"/>
        <color theme="1"/>
        <rFont val="Arial"/>
        <family val="2"/>
      </rPr>
      <t xml:space="preserve"> from Date of approval of working drawings)</t>
    </r>
  </si>
  <si>
    <r>
      <t xml:space="preserve">MILE STONE 1 </t>
    </r>
    <r>
      <rPr>
        <sz val="16"/>
        <color theme="1"/>
        <rFont val="Calibri"/>
        <family val="2"/>
        <scheme val="minor"/>
      </rPr>
      <t>(90 Days from date of approval of working drawings)</t>
    </r>
  </si>
  <si>
    <t>MILE STONE 1</t>
  </si>
  <si>
    <t>RO</t>
  </si>
  <si>
    <t>BOUGHT OUTS</t>
  </si>
  <si>
    <t>START DATE</t>
  </si>
  <si>
    <t>END DATE</t>
  </si>
  <si>
    <t>NO OF DAYS</t>
  </si>
  <si>
    <t>EXCAVATION TO FOUNDATION LEVEL</t>
  </si>
  <si>
    <t>FOUNDATION WORK</t>
  </si>
  <si>
    <t>CURING</t>
  </si>
  <si>
    <t>BACK FILLING</t>
  </si>
  <si>
    <t>WALL DISMANTLING FOR DOOR OPENING</t>
  </si>
  <si>
    <t>FINISHING OF OPENINGS</t>
  </si>
  <si>
    <t>CONNECTIONS TO LIFT STRUCTURE AT EVERY FLOOR</t>
  </si>
  <si>
    <t>WALL CLADDING</t>
  </si>
  <si>
    <t>DOOR INSTALLATION AT EVERY OPENING</t>
  </si>
  <si>
    <t>YARD CLEARANCE</t>
  </si>
  <si>
    <t>SITE GRADING</t>
  </si>
  <si>
    <t>CRSM PLATFORM</t>
  </si>
  <si>
    <t>BALLAST</t>
  </si>
  <si>
    <t>EARTHING</t>
  </si>
  <si>
    <t>DG</t>
  </si>
  <si>
    <t>PCC PLATFORM</t>
  </si>
  <si>
    <t>SITE CLEARANCE</t>
  </si>
  <si>
    <t>SITE LEVELLING</t>
  </si>
  <si>
    <t>EXCAVATION FOR FOUNDATION LEVEL</t>
  </si>
  <si>
    <t>COLUMNS</t>
  </si>
  <si>
    <t>PLINTH BEAM</t>
  </si>
  <si>
    <t>WALLS</t>
  </si>
  <si>
    <t>GI PIPES FOR BEAMS</t>
  </si>
  <si>
    <t>GI SHEETING</t>
  </si>
  <si>
    <t>DOORS AND WINDOWS</t>
  </si>
  <si>
    <t>ROLLING SHUTTERS</t>
  </si>
  <si>
    <t>PAINTING</t>
  </si>
  <si>
    <t>MGPS PIPING</t>
  </si>
  <si>
    <t>FACILITY AT GROUND FLOOR (MANIFOLD)</t>
  </si>
  <si>
    <t>SUNSHADE REPAIR</t>
  </si>
  <si>
    <t>EXTERNAL WALL CLEANING</t>
  </si>
  <si>
    <t>APPLICATION OF WATERPROOF PAINT</t>
  </si>
  <si>
    <t>GRID FOR WALL PANELING</t>
  </si>
  <si>
    <t>WALL PANELING</t>
  </si>
  <si>
    <t>CEILING PANELING</t>
  </si>
  <si>
    <t>GRID FOR CEILING PANELING</t>
  </si>
  <si>
    <t>FLOOR GRINDING</t>
  </si>
  <si>
    <t>LEVELING COURSE</t>
  </si>
  <si>
    <t>WALL PUTTY</t>
  </si>
  <si>
    <t>PRIMER</t>
  </si>
  <si>
    <t>1ST COAT</t>
  </si>
  <si>
    <t>2ND COAT</t>
  </si>
  <si>
    <t>CIVIL</t>
  </si>
  <si>
    <t>PLASTERING TO WALL CHIPPINGS</t>
  </si>
  <si>
    <t>GRID</t>
  </si>
  <si>
    <t>CEILING TILES</t>
  </si>
  <si>
    <t>SCIENTIFIC DOORS</t>
  </si>
  <si>
    <t>WOODEN DOORS</t>
  </si>
  <si>
    <t>SUPPLY OF UPS RACKS</t>
  </si>
  <si>
    <t>Schedule</t>
  </si>
  <si>
    <t>SELF LEVELLING FINAL COAT</t>
  </si>
  <si>
    <t>LEVLLING COURSE</t>
  </si>
  <si>
    <t>TRANSFORMER PLATFORM</t>
  </si>
  <si>
    <t>RECEPTION &amp; LOBBY</t>
  </si>
  <si>
    <t>SITE CLEANING &amp; Handover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</si>
</sst>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5" tint="0.39997558519241921"/>
      <name val="Calibri"/>
      <family val="2"/>
      <scheme val="minor"/>
    </font>
    <font>
      <sz val="11"/>
      <name val="Calibri"/>
      <family val="2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4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auto="1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34">
    <xf numFmtId="0" fontId="0" fillId="0" borderId="0" xfId="0"/>
    <xf numFmtId="0" fontId="5" fillId="0" borderId="0" xfId="0" applyFont="1"/>
    <xf numFmtId="0" fontId="4" fillId="0" borderId="4" xfId="0" applyFont="1" applyBorder="1" applyAlignment="1">
      <alignment horizontal="center"/>
    </xf>
    <xf numFmtId="0" fontId="5" fillId="0" borderId="7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 wrapText="1"/>
    </xf>
    <xf numFmtId="0" fontId="5" fillId="0" borderId="9" xfId="0" applyFont="1" applyBorder="1" applyAlignment="1">
      <alignment horizontal="left"/>
    </xf>
    <xf numFmtId="0" fontId="5" fillId="0" borderId="10" xfId="0" applyFont="1" applyBorder="1" applyAlignment="1">
      <alignment horizontal="left" vertical="center"/>
    </xf>
    <xf numFmtId="0" fontId="5" fillId="0" borderId="6" xfId="0" applyFont="1" applyBorder="1"/>
    <xf numFmtId="0" fontId="2" fillId="0" borderId="13" xfId="0" applyFont="1" applyBorder="1" applyAlignment="1">
      <alignment horizontal="center" vertical="center"/>
    </xf>
    <xf numFmtId="15" fontId="2" fillId="0" borderId="15" xfId="0" applyNumberFormat="1" applyFont="1" applyBorder="1" applyAlignment="1">
      <alignment horizontal="center" vertical="center" textRotation="90"/>
    </xf>
    <xf numFmtId="15" fontId="2" fillId="0" borderId="13" xfId="0" applyNumberFormat="1" applyFont="1" applyBorder="1" applyAlignment="1">
      <alignment horizontal="center" vertical="center" textRotation="90"/>
    </xf>
    <xf numFmtId="164" fontId="2" fillId="0" borderId="16" xfId="0" applyNumberFormat="1" applyFont="1" applyBorder="1" applyAlignment="1">
      <alignment horizontal="center" vertical="center" textRotation="90"/>
    </xf>
    <xf numFmtId="164" fontId="2" fillId="0" borderId="17" xfId="0" applyNumberFormat="1" applyFont="1" applyBorder="1" applyAlignment="1">
      <alignment horizontal="center" vertical="center" textRotation="90"/>
    </xf>
    <xf numFmtId="164" fontId="2" fillId="0" borderId="18" xfId="0" applyNumberFormat="1" applyFont="1" applyBorder="1" applyAlignment="1">
      <alignment horizontal="center" vertical="center" textRotation="90"/>
    </xf>
    <xf numFmtId="0" fontId="2" fillId="0" borderId="17" xfId="0" applyFont="1" applyBorder="1" applyAlignment="1">
      <alignment horizontal="center" vertical="center" textRotation="90"/>
    </xf>
    <xf numFmtId="15" fontId="2" fillId="0" borderId="17" xfId="0" applyNumberFormat="1" applyFont="1" applyBorder="1" applyAlignment="1">
      <alignment horizontal="center" vertical="center" textRotation="90"/>
    </xf>
    <xf numFmtId="15" fontId="2" fillId="0" borderId="18" xfId="0" applyNumberFormat="1" applyFont="1" applyBorder="1" applyAlignment="1">
      <alignment horizontal="center" vertical="center" textRotation="90"/>
    </xf>
    <xf numFmtId="15" fontId="2" fillId="0" borderId="19" xfId="0" applyNumberFormat="1" applyFont="1" applyBorder="1" applyAlignment="1">
      <alignment horizontal="center" vertical="center" textRotation="90"/>
    </xf>
    <xf numFmtId="15" fontId="2" fillId="2" borderId="17" xfId="0" applyNumberFormat="1" applyFont="1" applyFill="1" applyBorder="1" applyAlignment="1">
      <alignment horizontal="center" vertical="center" textRotation="90"/>
    </xf>
    <xf numFmtId="0" fontId="2" fillId="0" borderId="17" xfId="0" applyFon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left" vertical="center"/>
    </xf>
    <xf numFmtId="0" fontId="0" fillId="0" borderId="17" xfId="0" applyBorder="1"/>
    <xf numFmtId="164" fontId="2" fillId="2" borderId="17" xfId="0" applyNumberFormat="1" applyFont="1" applyFill="1" applyBorder="1" applyAlignment="1">
      <alignment horizontal="center" vertical="center" textRotation="90"/>
    </xf>
    <xf numFmtId="0" fontId="0" fillId="0" borderId="18" xfId="0" applyBorder="1" applyAlignment="1">
      <alignment horizontal="left" vertical="center"/>
    </xf>
    <xf numFmtId="0" fontId="0" fillId="0" borderId="20" xfId="0" applyBorder="1"/>
    <xf numFmtId="0" fontId="0" fillId="0" borderId="22" xfId="0" applyBorder="1"/>
    <xf numFmtId="0" fontId="2" fillId="2" borderId="17" xfId="0" applyFont="1" applyFill="1" applyBorder="1" applyAlignment="1">
      <alignment horizontal="center" vertical="center" textRotation="90"/>
    </xf>
    <xf numFmtId="0" fontId="0" fillId="2" borderId="17" xfId="0" applyFill="1" applyBorder="1" applyAlignment="1">
      <alignment horizontal="left" vertical="center"/>
    </xf>
    <xf numFmtId="15" fontId="2" fillId="2" borderId="19" xfId="0" applyNumberFormat="1" applyFont="1" applyFill="1" applyBorder="1" applyAlignment="1">
      <alignment horizontal="center" vertical="center" textRotation="90"/>
    </xf>
    <xf numFmtId="0" fontId="2" fillId="2" borderId="17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4" xfId="0" applyBorder="1"/>
    <xf numFmtId="0" fontId="8" fillId="0" borderId="25" xfId="0" applyFont="1" applyBorder="1" applyAlignment="1">
      <alignment horizontal="left" vertical="center"/>
    </xf>
    <xf numFmtId="0" fontId="8" fillId="0" borderId="16" xfId="0" applyFont="1" applyBorder="1" applyAlignment="1">
      <alignment horizontal="left" vertical="center"/>
    </xf>
    <xf numFmtId="0" fontId="8" fillId="0" borderId="17" xfId="0" applyFont="1" applyBorder="1" applyAlignment="1">
      <alignment horizontal="left" vertical="center"/>
    </xf>
    <xf numFmtId="0" fontId="8" fillId="2" borderId="17" xfId="0" applyFont="1" applyFill="1" applyBorder="1" applyAlignment="1">
      <alignment horizontal="left" vertical="center"/>
    </xf>
    <xf numFmtId="0" fontId="8" fillId="0" borderId="18" xfId="0" applyFont="1" applyBorder="1" applyAlignment="1">
      <alignment horizontal="left" vertical="center"/>
    </xf>
    <xf numFmtId="0" fontId="9" fillId="2" borderId="17" xfId="0" applyFont="1" applyFill="1" applyBorder="1" applyAlignment="1">
      <alignment horizontal="center" vertical="center" textRotation="90"/>
    </xf>
    <xf numFmtId="15" fontId="9" fillId="2" borderId="17" xfId="0" applyNumberFormat="1" applyFont="1" applyFill="1" applyBorder="1" applyAlignment="1">
      <alignment horizontal="center" vertical="center" textRotation="90"/>
    </xf>
    <xf numFmtId="0" fontId="10" fillId="0" borderId="25" xfId="0" applyFont="1" applyBorder="1" applyAlignment="1">
      <alignment vertical="center" wrapText="1"/>
    </xf>
    <xf numFmtId="0" fontId="10" fillId="0" borderId="16" xfId="0" applyFont="1" applyBorder="1" applyAlignment="1">
      <alignment vertical="center" wrapText="1"/>
    </xf>
    <xf numFmtId="0" fontId="10" fillId="0" borderId="17" xfId="0" applyFont="1" applyBorder="1" applyAlignment="1">
      <alignment vertical="center" wrapText="1"/>
    </xf>
    <xf numFmtId="0" fontId="10" fillId="2" borderId="17" xfId="0" applyFont="1" applyFill="1" applyBorder="1" applyAlignment="1">
      <alignment vertical="center" wrapText="1"/>
    </xf>
    <xf numFmtId="0" fontId="10" fillId="0" borderId="18" xfId="0" applyFont="1" applyBorder="1" applyAlignment="1">
      <alignment vertical="center" wrapText="1"/>
    </xf>
    <xf numFmtId="0" fontId="1" fillId="2" borderId="19" xfId="0" applyFont="1" applyFill="1" applyBorder="1"/>
    <xf numFmtId="0" fontId="1" fillId="2" borderId="17" xfId="0" applyFont="1" applyFill="1" applyBorder="1"/>
    <xf numFmtId="0" fontId="3" fillId="2" borderId="17" xfId="0" applyFont="1" applyFill="1" applyBorder="1"/>
    <xf numFmtId="0" fontId="3" fillId="0" borderId="17" xfId="0" applyFont="1" applyBorder="1"/>
    <xf numFmtId="0" fontId="3" fillId="0" borderId="19" xfId="0" applyFont="1" applyBorder="1"/>
    <xf numFmtId="0" fontId="3" fillId="2" borderId="19" xfId="0" applyFont="1" applyFill="1" applyBorder="1"/>
    <xf numFmtId="0" fontId="0" fillId="2" borderId="17" xfId="0" applyFill="1" applyBorder="1"/>
    <xf numFmtId="0" fontId="0" fillId="2" borderId="20" xfId="0" applyFill="1" applyBorder="1"/>
    <xf numFmtId="0" fontId="0" fillId="2" borderId="16" xfId="0" applyFill="1" applyBorder="1"/>
    <xf numFmtId="0" fontId="2" fillId="0" borderId="10" xfId="0" applyFont="1" applyBorder="1" applyAlignment="1">
      <alignment horizontal="center" vertical="center" wrapText="1"/>
    </xf>
    <xf numFmtId="0" fontId="10" fillId="0" borderId="10" xfId="0" applyFont="1" applyBorder="1" applyAlignment="1">
      <alignment vertical="center" wrapText="1"/>
    </xf>
    <xf numFmtId="0" fontId="10" fillId="0" borderId="26" xfId="0" applyFont="1" applyBorder="1" applyAlignment="1">
      <alignment vertical="center" wrapText="1"/>
    </xf>
    <xf numFmtId="0" fontId="10" fillId="0" borderId="27" xfId="0" applyFont="1" applyBorder="1" applyAlignment="1">
      <alignment vertical="center" wrapText="1"/>
    </xf>
    <xf numFmtId="0" fontId="10" fillId="0" borderId="28" xfId="0" applyFont="1" applyBorder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2" fillId="0" borderId="30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0" fillId="0" borderId="16" xfId="0" applyBorder="1"/>
    <xf numFmtId="0" fontId="2" fillId="0" borderId="31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/>
    </xf>
    <xf numFmtId="164" fontId="2" fillId="0" borderId="32" xfId="0" applyNumberFormat="1" applyFont="1" applyBorder="1" applyAlignment="1">
      <alignment horizontal="center" vertical="center" textRotation="90"/>
    </xf>
    <xf numFmtId="164" fontId="2" fillId="0" borderId="33" xfId="0" applyNumberFormat="1" applyFont="1" applyBorder="1" applyAlignment="1">
      <alignment horizontal="center" vertical="center" textRotation="90"/>
    </xf>
    <xf numFmtId="164" fontId="2" fillId="0" borderId="34" xfId="0" applyNumberFormat="1" applyFont="1" applyBorder="1" applyAlignment="1">
      <alignment horizontal="center" vertical="center" textRotation="90"/>
    </xf>
    <xf numFmtId="0" fontId="2" fillId="0" borderId="33" xfId="0" applyFont="1" applyBorder="1" applyAlignment="1">
      <alignment horizontal="center" vertical="center" textRotation="90"/>
    </xf>
    <xf numFmtId="15" fontId="2" fillId="0" borderId="34" xfId="0" applyNumberFormat="1" applyFont="1" applyBorder="1" applyAlignment="1">
      <alignment horizontal="center" vertical="center" textRotation="90"/>
    </xf>
    <xf numFmtId="15" fontId="2" fillId="0" borderId="33" xfId="0" applyNumberFormat="1" applyFont="1" applyBorder="1" applyAlignment="1">
      <alignment horizontal="center" vertical="center" textRotation="90"/>
    </xf>
    <xf numFmtId="15" fontId="2" fillId="0" borderId="35" xfId="0" applyNumberFormat="1" applyFont="1" applyBorder="1" applyAlignment="1">
      <alignment horizontal="center" vertical="center" textRotation="90"/>
    </xf>
    <xf numFmtId="15" fontId="2" fillId="0" borderId="36" xfId="0" applyNumberFormat="1" applyFont="1" applyBorder="1" applyAlignment="1">
      <alignment horizontal="center" vertical="center" textRotation="90"/>
    </xf>
    <xf numFmtId="15" fontId="2" fillId="0" borderId="37" xfId="0" applyNumberFormat="1" applyFont="1" applyBorder="1" applyAlignment="1">
      <alignment horizontal="center" vertical="center" textRotation="90"/>
    </xf>
    <xf numFmtId="0" fontId="2" fillId="0" borderId="37" xfId="0" applyFont="1" applyBorder="1" applyAlignment="1">
      <alignment horizontal="center" vertical="center"/>
    </xf>
    <xf numFmtId="15" fontId="2" fillId="0" borderId="38" xfId="0" applyNumberFormat="1" applyFont="1" applyBorder="1" applyAlignment="1">
      <alignment horizontal="center" vertical="center" textRotation="90"/>
    </xf>
    <xf numFmtId="0" fontId="2" fillId="0" borderId="39" xfId="0" applyFont="1" applyBorder="1" applyAlignment="1">
      <alignment horizontal="center" vertical="center"/>
    </xf>
    <xf numFmtId="15" fontId="2" fillId="0" borderId="40" xfId="0" applyNumberFormat="1" applyFont="1" applyBorder="1" applyAlignment="1">
      <alignment horizontal="center" vertical="center" textRotation="90"/>
    </xf>
    <xf numFmtId="15" fontId="2" fillId="0" borderId="39" xfId="0" applyNumberFormat="1" applyFont="1" applyBorder="1" applyAlignment="1">
      <alignment horizontal="center" vertical="center" textRotation="90"/>
    </xf>
    <xf numFmtId="0" fontId="0" fillId="0" borderId="17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2" borderId="17" xfId="0" applyFill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8" xfId="0" applyBorder="1" applyAlignment="1">
      <alignment horizontal="left" vertical="center" wrapText="1"/>
    </xf>
    <xf numFmtId="0" fontId="0" fillId="0" borderId="27" xfId="0" applyBorder="1" applyAlignment="1">
      <alignment vertical="center"/>
    </xf>
    <xf numFmtId="0" fontId="0" fillId="0" borderId="29" xfId="0" applyBorder="1" applyAlignment="1">
      <alignment vertical="center"/>
    </xf>
    <xf numFmtId="15" fontId="2" fillId="0" borderId="17" xfId="0" applyNumberFormat="1" applyFont="1" applyFill="1" applyBorder="1" applyAlignment="1">
      <alignment horizontal="center" vertical="center" textRotation="90"/>
    </xf>
    <xf numFmtId="0" fontId="2" fillId="0" borderId="17" xfId="0" applyFont="1" applyFill="1" applyBorder="1" applyAlignment="1">
      <alignment horizontal="center" vertical="center" textRotation="90"/>
    </xf>
    <xf numFmtId="0" fontId="2" fillId="0" borderId="17" xfId="0" applyFont="1" applyFill="1" applyBorder="1" applyAlignment="1">
      <alignment horizontal="center" vertical="center"/>
    </xf>
    <xf numFmtId="0" fontId="0" fillId="0" borderId="17" xfId="0" applyFill="1" applyBorder="1" applyAlignment="1">
      <alignment vertical="center"/>
    </xf>
    <xf numFmtId="15" fontId="2" fillId="0" borderId="19" xfId="0" applyNumberFormat="1" applyFont="1" applyFill="1" applyBorder="1" applyAlignment="1">
      <alignment horizontal="center" vertical="center" textRotation="90"/>
    </xf>
    <xf numFmtId="0" fontId="0" fillId="0" borderId="19" xfId="0" applyFill="1" applyBorder="1" applyAlignment="1">
      <alignment vertical="center"/>
    </xf>
    <xf numFmtId="0" fontId="2" fillId="3" borderId="17" xfId="0" applyFont="1" applyFill="1" applyBorder="1" applyAlignment="1">
      <alignment horizontal="center" vertical="center" textRotation="90"/>
    </xf>
    <xf numFmtId="15" fontId="2" fillId="3" borderId="17" xfId="0" applyNumberFormat="1" applyFont="1" applyFill="1" applyBorder="1" applyAlignment="1">
      <alignment horizontal="center" vertical="center" textRotation="90"/>
    </xf>
    <xf numFmtId="0" fontId="2" fillId="3" borderId="17" xfId="0" applyFont="1" applyFill="1" applyBorder="1" applyAlignment="1">
      <alignment horizontal="center" vertical="center"/>
    </xf>
    <xf numFmtId="0" fontId="0" fillId="3" borderId="17" xfId="0" applyFill="1" applyBorder="1" applyAlignment="1">
      <alignment vertical="center"/>
    </xf>
    <xf numFmtId="0" fontId="0" fillId="0" borderId="20" xfId="0" applyFill="1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2" borderId="19" xfId="0" applyFill="1" applyBorder="1"/>
    <xf numFmtId="0" fontId="3" fillId="2" borderId="17" xfId="0" applyFont="1" applyFill="1" applyBorder="1" applyAlignment="1">
      <alignment horizontal="left"/>
    </xf>
    <xf numFmtId="0" fontId="1" fillId="0" borderId="19" xfId="0" applyFont="1" applyFill="1" applyBorder="1"/>
    <xf numFmtId="0" fontId="1" fillId="0" borderId="17" xfId="0" applyFont="1" applyFill="1" applyBorder="1"/>
    <xf numFmtId="0" fontId="3" fillId="0" borderId="17" xfId="0" applyFont="1" applyFill="1" applyBorder="1"/>
    <xf numFmtId="0" fontId="3" fillId="0" borderId="19" xfId="0" applyFont="1" applyFill="1" applyBorder="1"/>
    <xf numFmtId="0" fontId="0" fillId="0" borderId="17" xfId="0" applyFill="1" applyBorder="1"/>
    <xf numFmtId="0" fontId="0" fillId="0" borderId="19" xfId="0" applyFill="1" applyBorder="1"/>
    <xf numFmtId="0" fontId="0" fillId="0" borderId="16" xfId="0" applyFill="1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2" borderId="42" xfId="0" applyFill="1" applyBorder="1"/>
    <xf numFmtId="0" fontId="0" fillId="3" borderId="17" xfId="0" applyFill="1" applyBorder="1"/>
    <xf numFmtId="0" fontId="0" fillId="0" borderId="16" xfId="0" applyFill="1" applyBorder="1" applyAlignment="1">
      <alignment vertical="center"/>
    </xf>
    <xf numFmtId="0" fontId="0" fillId="0" borderId="44" xfId="0" applyBorder="1"/>
    <xf numFmtId="0" fontId="2" fillId="0" borderId="13" xfId="0" applyFont="1" applyBorder="1" applyAlignment="1">
      <alignment horizontal="center" vertical="center" textRotation="90"/>
    </xf>
    <xf numFmtId="15" fontId="2" fillId="2" borderId="13" xfId="0" applyNumberFormat="1" applyFont="1" applyFill="1" applyBorder="1" applyAlignment="1">
      <alignment horizontal="center" vertical="center" textRotation="90"/>
    </xf>
    <xf numFmtId="0" fontId="0" fillId="0" borderId="13" xfId="0" applyBorder="1" applyAlignment="1">
      <alignment vertical="center"/>
    </xf>
    <xf numFmtId="0" fontId="0" fillId="0" borderId="41" xfId="0" applyFill="1" applyBorder="1"/>
    <xf numFmtId="0" fontId="0" fillId="0" borderId="42" xfId="0" applyFill="1" applyBorder="1"/>
    <xf numFmtId="0" fontId="5" fillId="0" borderId="23" xfId="0" applyFont="1" applyBorder="1" applyAlignment="1">
      <alignment horizontal="left" vertical="center" wrapText="1"/>
    </xf>
    <xf numFmtId="0" fontId="5" fillId="0" borderId="23" xfId="0" applyFont="1" applyBorder="1" applyAlignment="1">
      <alignment horizontal="left" vertical="center"/>
    </xf>
    <xf numFmtId="15" fontId="2" fillId="4" borderId="13" xfId="0" applyNumberFormat="1" applyFont="1" applyFill="1" applyBorder="1" applyAlignment="1">
      <alignment horizontal="center" vertical="center" textRotation="90"/>
    </xf>
    <xf numFmtId="15" fontId="2" fillId="4" borderId="17" xfId="0" applyNumberFormat="1" applyFont="1" applyFill="1" applyBorder="1" applyAlignment="1">
      <alignment horizontal="center" vertical="center" textRotation="90"/>
    </xf>
    <xf numFmtId="0" fontId="2" fillId="4" borderId="17" xfId="0" applyFont="1" applyFill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 textRotation="90"/>
    </xf>
    <xf numFmtId="0" fontId="0" fillId="4" borderId="17" xfId="0" applyFill="1" applyBorder="1"/>
    <xf numFmtId="0" fontId="3" fillId="4" borderId="17" xfId="0" applyFont="1" applyFill="1" applyBorder="1"/>
    <xf numFmtId="0" fontId="0" fillId="4" borderId="42" xfId="0" applyFill="1" applyBorder="1"/>
    <xf numFmtId="0" fontId="2" fillId="0" borderId="21" xfId="0" applyFont="1" applyBorder="1" applyAlignment="1">
      <alignment horizontal="center" vertical="center" wrapText="1"/>
    </xf>
    <xf numFmtId="0" fontId="0" fillId="0" borderId="13" xfId="0" applyFill="1" applyBorder="1" applyAlignment="1">
      <alignment vertical="center"/>
    </xf>
    <xf numFmtId="0" fontId="0" fillId="0" borderId="14" xfId="0" applyFill="1" applyBorder="1" applyAlignment="1">
      <alignment vertical="center"/>
    </xf>
    <xf numFmtId="0" fontId="0" fillId="0" borderId="15" xfId="0" applyFill="1" applyBorder="1" applyAlignment="1">
      <alignment vertical="center"/>
    </xf>
    <xf numFmtId="0" fontId="0" fillId="0" borderId="18" xfId="0" applyFill="1" applyBorder="1" applyAlignment="1">
      <alignment vertical="center"/>
    </xf>
    <xf numFmtId="0" fontId="0" fillId="5" borderId="17" xfId="0" applyFill="1" applyBorder="1" applyAlignment="1">
      <alignment vertical="center"/>
    </xf>
    <xf numFmtId="15" fontId="2" fillId="0" borderId="47" xfId="0" applyNumberFormat="1" applyFont="1" applyBorder="1" applyAlignment="1">
      <alignment horizontal="center" vertical="center" textRotation="90"/>
    </xf>
    <xf numFmtId="0" fontId="2" fillId="0" borderId="33" xfId="0" applyFont="1" applyBorder="1" applyAlignment="1">
      <alignment horizontal="center" vertical="center"/>
    </xf>
    <xf numFmtId="15" fontId="2" fillId="0" borderId="48" xfId="0" applyNumberFormat="1" applyFont="1" applyBorder="1" applyAlignment="1">
      <alignment horizontal="center" vertical="center" textRotation="90"/>
    </xf>
    <xf numFmtId="0" fontId="7" fillId="0" borderId="50" xfId="0" applyFont="1" applyBorder="1" applyAlignment="1">
      <alignment vertical="center"/>
    </xf>
    <xf numFmtId="15" fontId="2" fillId="0" borderId="56" xfId="0" applyNumberFormat="1" applyFont="1" applyBorder="1" applyAlignment="1">
      <alignment horizontal="center" vertical="center" textRotation="90"/>
    </xf>
    <xf numFmtId="0" fontId="0" fillId="0" borderId="18" xfId="0" applyBorder="1"/>
    <xf numFmtId="0" fontId="0" fillId="2" borderId="18" xfId="0" applyFill="1" applyBorder="1"/>
    <xf numFmtId="0" fontId="0" fillId="2" borderId="57" xfId="0" applyFill="1" applyBorder="1"/>
    <xf numFmtId="0" fontId="0" fillId="0" borderId="41" xfId="0" applyBorder="1" applyAlignment="1">
      <alignment vertical="center"/>
    </xf>
    <xf numFmtId="0" fontId="0" fillId="0" borderId="42" xfId="0" applyBorder="1" applyAlignment="1">
      <alignment vertical="center"/>
    </xf>
    <xf numFmtId="14" fontId="0" fillId="0" borderId="19" xfId="0" applyNumberFormat="1" applyBorder="1" applyAlignment="1">
      <alignment vertical="center"/>
    </xf>
    <xf numFmtId="14" fontId="0" fillId="0" borderId="17" xfId="0" applyNumberFormat="1" applyBorder="1" applyAlignment="1">
      <alignment vertical="center"/>
    </xf>
    <xf numFmtId="0" fontId="0" fillId="5" borderId="20" xfId="0" applyFill="1" applyBorder="1" applyAlignment="1">
      <alignment vertical="center"/>
    </xf>
    <xf numFmtId="0" fontId="0" fillId="5" borderId="19" xfId="0" applyFill="1" applyBorder="1" applyAlignment="1">
      <alignment vertical="center"/>
    </xf>
    <xf numFmtId="1" fontId="2" fillId="0" borderId="60" xfId="0" applyNumberFormat="1" applyFon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" fontId="0" fillId="0" borderId="43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5" borderId="16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61" xfId="0" applyBorder="1" applyAlignment="1">
      <alignment vertical="center"/>
    </xf>
    <xf numFmtId="0" fontId="0" fillId="0" borderId="50" xfId="0" applyBorder="1" applyAlignment="1">
      <alignment vertical="center"/>
    </xf>
    <xf numFmtId="0" fontId="2" fillId="0" borderId="58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6" fillId="0" borderId="45" xfId="0" applyFont="1" applyBorder="1" applyAlignment="1">
      <alignment horizontal="center" vertical="center" wrapText="1"/>
    </xf>
    <xf numFmtId="0" fontId="6" fillId="0" borderId="46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6" fillId="0" borderId="7" xfId="0" applyFont="1" applyBorder="1" applyAlignment="1">
      <alignment horizontal="center" vertical="center" wrapText="1"/>
    </xf>
    <xf numFmtId="0" fontId="6" fillId="0" borderId="23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53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7" fillId="0" borderId="49" xfId="0" applyFont="1" applyBorder="1" applyAlignment="1">
      <alignment horizontal="center"/>
    </xf>
    <xf numFmtId="0" fontId="7" fillId="0" borderId="50" xfId="0" applyFont="1" applyBorder="1" applyAlignment="1">
      <alignment horizontal="center"/>
    </xf>
    <xf numFmtId="0" fontId="7" fillId="0" borderId="51" xfId="0" applyFont="1" applyBorder="1" applyAlignment="1">
      <alignment horizontal="center"/>
    </xf>
    <xf numFmtId="0" fontId="7" fillId="0" borderId="50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7" fillId="0" borderId="5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7" fillId="0" borderId="49" xfId="0" applyFont="1" applyBorder="1" applyAlignment="1">
      <alignment horizontal="center" vertical="center"/>
    </xf>
    <xf numFmtId="0" fontId="0" fillId="0" borderId="8" xfId="0" applyFill="1" applyBorder="1" applyAlignment="1">
      <alignment horizontal="left" vertical="center"/>
    </xf>
    <xf numFmtId="14" fontId="0" fillId="0" borderId="19" xfId="0" applyNumberFormat="1" applyFill="1" applyBorder="1" applyAlignment="1">
      <alignment vertical="center"/>
    </xf>
    <xf numFmtId="14" fontId="0" fillId="0" borderId="17" xfId="0" applyNumberFormat="1" applyFill="1" applyBorder="1" applyAlignment="1">
      <alignment vertical="center"/>
    </xf>
    <xf numFmtId="1" fontId="0" fillId="0" borderId="20" xfId="0" applyNumberForma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2" fillId="6" borderId="9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left" vertical="center"/>
    </xf>
    <xf numFmtId="14" fontId="0" fillId="6" borderId="19" xfId="0" applyNumberFormat="1" applyFill="1" applyBorder="1" applyAlignment="1">
      <alignment vertical="center"/>
    </xf>
    <xf numFmtId="14" fontId="0" fillId="6" borderId="17" xfId="0" applyNumberFormat="1" applyFill="1" applyBorder="1" applyAlignment="1">
      <alignment vertical="center"/>
    </xf>
    <xf numFmtId="1" fontId="0" fillId="6" borderId="20" xfId="0" applyNumberForma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 wrapText="1"/>
    </xf>
    <xf numFmtId="0" fontId="2" fillId="6" borderId="21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3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23" xfId="0" applyFont="1" applyFill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1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" fillId="0" borderId="17" xfId="0" applyFont="1" applyBorder="1" applyAlignment="1">
      <alignment horizontal="center" vertical="center" wrapText="1"/>
    </xf>
    <xf numFmtId="0" fontId="0" fillId="0" borderId="62" xfId="0" applyBorder="1" applyAlignment="1">
      <alignment horizontal="left" vertical="center"/>
    </xf>
    <xf numFmtId="14" fontId="0" fillId="0" borderId="16" xfId="0" applyNumberFormat="1" applyBorder="1" applyAlignment="1">
      <alignment vertical="center"/>
    </xf>
    <xf numFmtId="15" fontId="2" fillId="0" borderId="63" xfId="0" applyNumberFormat="1" applyFont="1" applyBorder="1" applyAlignment="1">
      <alignment horizontal="center" vertical="center" textRotation="90"/>
    </xf>
    <xf numFmtId="0" fontId="2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left" vertical="center" wrapText="1"/>
    </xf>
  </cellXfs>
  <cellStyles count="1">
    <cellStyle name="Normal" xfId="0" builtinId="0"/>
  </cellStyles>
  <dxfs count="84"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1"/>
  <sheetViews>
    <sheetView view="pageBreakPreview" zoomScale="102" zoomScaleNormal="84" zoomScaleSheetLayoutView="102" workbookViewId="0">
      <selection activeCell="C21" sqref="C21"/>
    </sheetView>
  </sheetViews>
  <sheetFormatPr defaultColWidth="8.75" defaultRowHeight="15.65" x14ac:dyDescent="0.25"/>
  <cols>
    <col min="1" max="1" width="8.75" style="1"/>
    <col min="2" max="2" width="19.5" style="1" customWidth="1"/>
    <col min="3" max="3" width="138.875" style="9" customWidth="1"/>
    <col min="4" max="16384" width="8.75" style="1"/>
  </cols>
  <sheetData>
    <row r="1" spans="1:3" ht="20.05" customHeight="1" thickBot="1" x14ac:dyDescent="0.4">
      <c r="A1" s="177" t="s">
        <v>0</v>
      </c>
      <c r="B1" s="178"/>
      <c r="C1" s="179"/>
    </row>
    <row r="2" spans="1:3" ht="20.05" customHeight="1" thickBot="1" x14ac:dyDescent="0.4">
      <c r="A2" s="180" t="s">
        <v>1</v>
      </c>
      <c r="B2" s="180"/>
      <c r="C2" s="2" t="s">
        <v>127</v>
      </c>
    </row>
    <row r="3" spans="1:3" ht="20.05" customHeight="1" thickBot="1" x14ac:dyDescent="0.3">
      <c r="A3" s="173" t="s">
        <v>131</v>
      </c>
      <c r="B3" s="174"/>
      <c r="C3" s="3" t="s">
        <v>113</v>
      </c>
    </row>
    <row r="4" spans="1:3" ht="20.05" customHeight="1" thickBot="1" x14ac:dyDescent="0.3">
      <c r="A4" s="173"/>
      <c r="B4" s="174"/>
      <c r="C4" s="3" t="s">
        <v>116</v>
      </c>
    </row>
    <row r="5" spans="1:3" ht="20.05" customHeight="1" thickBot="1" x14ac:dyDescent="0.3">
      <c r="A5" s="173"/>
      <c r="B5" s="174"/>
      <c r="C5" s="3" t="s">
        <v>2</v>
      </c>
    </row>
    <row r="6" spans="1:3" ht="20.05" customHeight="1" thickBot="1" x14ac:dyDescent="0.3">
      <c r="A6" s="173"/>
      <c r="B6" s="174"/>
      <c r="C6" s="3" t="s">
        <v>123</v>
      </c>
    </row>
    <row r="7" spans="1:3" ht="20.05" customHeight="1" thickBot="1" x14ac:dyDescent="0.3">
      <c r="A7" s="173"/>
      <c r="B7" s="174"/>
      <c r="C7" s="3" t="s">
        <v>114</v>
      </c>
    </row>
    <row r="8" spans="1:3" ht="20.05" customHeight="1" thickBot="1" x14ac:dyDescent="0.3">
      <c r="A8" s="173"/>
      <c r="B8" s="174"/>
      <c r="C8" s="3" t="s">
        <v>121</v>
      </c>
    </row>
    <row r="9" spans="1:3" ht="20.05" customHeight="1" thickBot="1" x14ac:dyDescent="0.3">
      <c r="A9" s="173"/>
      <c r="B9" s="174"/>
      <c r="C9" s="3" t="s">
        <v>122</v>
      </c>
    </row>
    <row r="10" spans="1:3" ht="20.05" customHeight="1" thickBot="1" x14ac:dyDescent="0.3">
      <c r="A10" s="173"/>
      <c r="B10" s="174"/>
      <c r="C10" s="3" t="s">
        <v>119</v>
      </c>
    </row>
    <row r="11" spans="1:3" ht="20.05" customHeight="1" x14ac:dyDescent="0.25">
      <c r="A11" s="181" t="s">
        <v>130</v>
      </c>
      <c r="B11" s="181"/>
      <c r="C11" s="4" t="s">
        <v>124</v>
      </c>
    </row>
    <row r="12" spans="1:3" ht="20.05" customHeight="1" x14ac:dyDescent="0.25">
      <c r="A12" s="182"/>
      <c r="B12" s="182"/>
      <c r="C12" s="130" t="s">
        <v>3</v>
      </c>
    </row>
    <row r="13" spans="1:3" ht="20.05" customHeight="1" x14ac:dyDescent="0.25">
      <c r="A13" s="182"/>
      <c r="B13" s="182"/>
      <c r="C13" s="130" t="s">
        <v>9</v>
      </c>
    </row>
    <row r="14" spans="1:3" ht="20.05" customHeight="1" x14ac:dyDescent="0.25">
      <c r="A14" s="183"/>
      <c r="B14" s="183"/>
      <c r="C14" s="5" t="s">
        <v>118</v>
      </c>
    </row>
    <row r="15" spans="1:3" ht="20.05" customHeight="1" x14ac:dyDescent="0.25">
      <c r="A15" s="183"/>
      <c r="B15" s="183"/>
      <c r="C15" s="5" t="s">
        <v>115</v>
      </c>
    </row>
    <row r="16" spans="1:3" ht="20.05" customHeight="1" x14ac:dyDescent="0.25">
      <c r="A16" s="183"/>
      <c r="B16" s="183"/>
      <c r="C16" s="5" t="s">
        <v>4</v>
      </c>
    </row>
    <row r="17" spans="1:3" ht="20.05" customHeight="1" x14ac:dyDescent="0.25">
      <c r="A17" s="183"/>
      <c r="B17" s="183"/>
      <c r="C17" s="5" t="s">
        <v>117</v>
      </c>
    </row>
    <row r="18" spans="1:3" ht="20.05" customHeight="1" x14ac:dyDescent="0.25">
      <c r="A18" s="183"/>
      <c r="B18" s="183"/>
      <c r="C18" s="5" t="s">
        <v>5</v>
      </c>
    </row>
    <row r="19" spans="1:3" ht="20.05" customHeight="1" x14ac:dyDescent="0.25">
      <c r="A19" s="183"/>
      <c r="B19" s="183"/>
      <c r="C19" s="6" t="s">
        <v>6</v>
      </c>
    </row>
    <row r="20" spans="1:3" ht="20.05" customHeight="1" x14ac:dyDescent="0.25">
      <c r="A20" s="183"/>
      <c r="B20" s="183"/>
      <c r="C20" s="5" t="s">
        <v>7</v>
      </c>
    </row>
    <row r="21" spans="1:3" ht="20.05" customHeight="1" x14ac:dyDescent="0.25">
      <c r="A21" s="183"/>
      <c r="B21" s="183"/>
      <c r="C21" s="7" t="s">
        <v>8</v>
      </c>
    </row>
    <row r="22" spans="1:3" ht="20.05" customHeight="1" x14ac:dyDescent="0.25">
      <c r="A22" s="183"/>
      <c r="B22" s="183"/>
      <c r="C22" s="7" t="s">
        <v>126</v>
      </c>
    </row>
    <row r="23" spans="1:3" ht="20.05" customHeight="1" thickBot="1" x14ac:dyDescent="0.3">
      <c r="A23" s="184"/>
      <c r="B23" s="184"/>
      <c r="C23" s="8" t="s">
        <v>11</v>
      </c>
    </row>
    <row r="24" spans="1:3" ht="20.05" customHeight="1" x14ac:dyDescent="0.25">
      <c r="A24" s="171" t="s">
        <v>129</v>
      </c>
      <c r="B24" s="172"/>
      <c r="C24" s="131" t="s">
        <v>125</v>
      </c>
    </row>
    <row r="25" spans="1:3" ht="20.05" customHeight="1" x14ac:dyDescent="0.25">
      <c r="A25" s="173"/>
      <c r="B25" s="174"/>
      <c r="C25" s="5" t="s">
        <v>120</v>
      </c>
    </row>
    <row r="26" spans="1:3" ht="20.05" customHeight="1" x14ac:dyDescent="0.25">
      <c r="A26" s="173"/>
      <c r="B26" s="174"/>
      <c r="C26" s="5" t="s">
        <v>10</v>
      </c>
    </row>
    <row r="27" spans="1:3" ht="20.05" customHeight="1" x14ac:dyDescent="0.25">
      <c r="A27" s="173"/>
      <c r="B27" s="174"/>
      <c r="C27" s="5" t="s">
        <v>12</v>
      </c>
    </row>
    <row r="28" spans="1:3" ht="20.05" customHeight="1" x14ac:dyDescent="0.25">
      <c r="A28" s="173"/>
      <c r="B28" s="174"/>
      <c r="C28" s="5" t="s">
        <v>13</v>
      </c>
    </row>
    <row r="29" spans="1:3" ht="28.05" customHeight="1" x14ac:dyDescent="0.25">
      <c r="A29" s="173"/>
      <c r="B29" s="174"/>
      <c r="C29" s="6" t="s">
        <v>14</v>
      </c>
    </row>
    <row r="30" spans="1:3" ht="20.05" customHeight="1" x14ac:dyDescent="0.25">
      <c r="A30" s="173"/>
      <c r="B30" s="174"/>
      <c r="C30" s="5" t="s">
        <v>15</v>
      </c>
    </row>
    <row r="31" spans="1:3" ht="20.05" customHeight="1" thickBot="1" x14ac:dyDescent="0.3">
      <c r="A31" s="175"/>
      <c r="B31" s="176"/>
      <c r="C31" s="8" t="s">
        <v>16</v>
      </c>
    </row>
  </sheetData>
  <mergeCells count="5">
    <mergeCell ref="A24:B31"/>
    <mergeCell ref="A1:C1"/>
    <mergeCell ref="A2:B2"/>
    <mergeCell ref="A3:B10"/>
    <mergeCell ref="A11:B23"/>
  </mergeCells>
  <pageMargins left="0.51181102362204722" right="0.31496062992125984" top="0.15748031496062992" bottom="0.74803149606299213" header="0.31496062992125984" footer="0.31496062992125984"/>
  <pageSetup paperSize="9" scale="8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Y248"/>
  <sheetViews>
    <sheetView view="pageBreakPreview" zoomScale="80" zoomScaleNormal="85" zoomScaleSheetLayoutView="80" workbookViewId="0">
      <pane xSplit="3" ySplit="3" topLeftCell="CZ4" activePane="bottomRight" state="frozen"/>
      <selection pane="topRight" activeCell="D1" sqref="D1"/>
      <selection pane="bottomLeft" activeCell="A3" sqref="A3"/>
      <selection pane="bottomRight" activeCell="DD3" sqref="DD1:EV1048576"/>
    </sheetView>
  </sheetViews>
  <sheetFormatPr defaultColWidth="3.875" defaultRowHeight="14.3" x14ac:dyDescent="0.25"/>
  <cols>
    <col min="1" max="1" width="4.875" bestFit="1" customWidth="1"/>
    <col min="2" max="2" width="30.5" style="67" customWidth="1"/>
    <col min="3" max="3" width="45" customWidth="1"/>
    <col min="4" max="80" width="4.625" customWidth="1"/>
    <col min="81" max="82" width="3.875" customWidth="1"/>
    <col min="83" max="83" width="3.875" style="35" customWidth="1"/>
    <col min="84" max="93" width="3.875" customWidth="1"/>
    <col min="94" max="94" width="3.875" style="29" customWidth="1"/>
    <col min="95" max="96" width="3.875" style="35" customWidth="1"/>
    <col min="97" max="106" width="3.875" customWidth="1"/>
    <col min="107" max="107" width="0.375" customWidth="1"/>
    <col min="108" max="108" width="3.875" style="35" customWidth="1"/>
    <col min="109" max="119" width="3.875" customWidth="1"/>
    <col min="120" max="120" width="3.875" style="35" customWidth="1"/>
    <col min="121" max="151" width="3.875" customWidth="1"/>
    <col min="152" max="152" width="5" customWidth="1"/>
    <col min="153" max="154" width="14.625" customWidth="1"/>
    <col min="155" max="155" width="12" style="163" bestFit="1" customWidth="1"/>
  </cols>
  <sheetData>
    <row r="1" spans="1:155" ht="22.45" thickTop="1" thickBot="1" x14ac:dyDescent="0.4">
      <c r="A1" s="197" t="s">
        <v>17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  <c r="AI1" s="198"/>
      <c r="AJ1" s="198"/>
      <c r="AK1" s="198"/>
      <c r="AL1" s="198"/>
      <c r="AM1" s="198"/>
      <c r="AN1" s="198"/>
      <c r="AO1" s="198"/>
      <c r="AP1" s="198"/>
      <c r="AQ1" s="198"/>
      <c r="AR1" s="198"/>
      <c r="AS1" s="198"/>
      <c r="AT1" s="198"/>
      <c r="AU1" s="198"/>
      <c r="AV1" s="198"/>
      <c r="AW1" s="198"/>
      <c r="AX1" s="198"/>
      <c r="AY1" s="198"/>
      <c r="AZ1" s="198"/>
      <c r="BA1" s="198"/>
      <c r="BB1" s="198"/>
      <c r="BC1" s="198"/>
      <c r="BD1" s="198"/>
      <c r="BE1" s="198"/>
      <c r="BF1" s="198"/>
      <c r="BG1" s="198"/>
      <c r="BH1" s="198"/>
      <c r="BI1" s="198"/>
      <c r="BJ1" s="198"/>
      <c r="BK1" s="198"/>
      <c r="BL1" s="198"/>
      <c r="BM1" s="198"/>
      <c r="BN1" s="198"/>
      <c r="BO1" s="198"/>
      <c r="BP1" s="198"/>
      <c r="BQ1" s="198"/>
      <c r="BR1" s="198"/>
      <c r="BS1" s="198"/>
      <c r="BT1" s="198"/>
      <c r="BU1" s="198"/>
      <c r="BV1" s="198"/>
      <c r="BW1" s="198"/>
      <c r="BX1" s="198"/>
      <c r="BY1" s="198"/>
      <c r="BZ1" s="198"/>
      <c r="CA1" s="198"/>
      <c r="CB1" s="198"/>
      <c r="CC1" s="198"/>
      <c r="CD1" s="198"/>
      <c r="CE1" s="198"/>
      <c r="CF1" s="198"/>
      <c r="CG1" s="198"/>
      <c r="CH1" s="198"/>
      <c r="CI1" s="198"/>
      <c r="CJ1" s="198"/>
      <c r="CK1" s="198"/>
      <c r="CL1" s="198"/>
      <c r="CM1" s="198"/>
      <c r="CN1" s="198"/>
      <c r="CO1" s="198"/>
      <c r="CP1" s="198"/>
      <c r="CQ1" s="198"/>
      <c r="CR1" s="198"/>
      <c r="CS1" s="198"/>
      <c r="CT1" s="198"/>
      <c r="CU1" s="198"/>
      <c r="CV1" s="198"/>
      <c r="CW1" s="198"/>
      <c r="CX1" s="198"/>
      <c r="CY1" s="198"/>
      <c r="CZ1" s="198"/>
      <c r="DA1" s="198"/>
      <c r="DB1" s="198"/>
      <c r="DC1" s="198"/>
      <c r="DD1" s="198"/>
      <c r="DE1" s="198"/>
      <c r="DF1" s="198"/>
      <c r="DG1" s="198"/>
      <c r="DH1" s="198"/>
      <c r="DI1" s="198"/>
      <c r="DJ1" s="198"/>
      <c r="DK1" s="198"/>
      <c r="DL1" s="198"/>
      <c r="DM1" s="198"/>
      <c r="DN1" s="198"/>
      <c r="DO1" s="198"/>
      <c r="DP1" s="198"/>
      <c r="DQ1" s="198"/>
      <c r="DR1" s="198"/>
      <c r="DS1" s="198"/>
      <c r="DT1" s="198"/>
      <c r="DU1" s="198"/>
      <c r="DV1" s="198"/>
      <c r="DW1" s="198"/>
      <c r="DX1" s="198"/>
      <c r="DY1" s="198"/>
      <c r="DZ1" s="198"/>
      <c r="EA1" s="198"/>
      <c r="EB1" s="198"/>
      <c r="EC1" s="198"/>
      <c r="ED1" s="198"/>
      <c r="EE1" s="198"/>
      <c r="EF1" s="198"/>
      <c r="EG1" s="198"/>
      <c r="EH1" s="198"/>
      <c r="EI1" s="198"/>
      <c r="EJ1" s="198"/>
      <c r="EK1" s="198"/>
      <c r="EL1" s="198"/>
      <c r="EM1" s="198"/>
      <c r="EN1" s="198"/>
      <c r="EO1" s="198"/>
      <c r="EP1" s="198"/>
      <c r="EQ1" s="198"/>
      <c r="ER1" s="198"/>
      <c r="ES1" s="198"/>
      <c r="ET1" s="198"/>
      <c r="EU1" s="198"/>
      <c r="EV1" s="198"/>
      <c r="EW1" s="198"/>
      <c r="EX1" s="198"/>
      <c r="EY1" s="199"/>
    </row>
    <row r="2" spans="1:155" s="65" customFormat="1" ht="22.1" customHeight="1" thickTop="1" thickBot="1" x14ac:dyDescent="0.3">
      <c r="A2" s="201"/>
      <c r="B2" s="191"/>
      <c r="C2" s="191"/>
      <c r="D2" s="191"/>
      <c r="E2" s="191"/>
      <c r="F2" s="191"/>
      <c r="G2" s="19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  <c r="AO2" s="191"/>
      <c r="AP2" s="191"/>
      <c r="AQ2" s="191"/>
      <c r="AR2" s="191"/>
      <c r="AS2" s="191"/>
      <c r="AT2" s="191"/>
      <c r="AU2" s="191"/>
      <c r="AV2" s="191"/>
      <c r="AW2" s="191"/>
      <c r="AX2" s="191"/>
      <c r="AY2" s="191"/>
      <c r="AZ2" s="191"/>
      <c r="BA2" s="191"/>
      <c r="BB2" s="191"/>
      <c r="BC2" s="191"/>
      <c r="BD2" s="191"/>
      <c r="BE2" s="191"/>
      <c r="BF2" s="191"/>
      <c r="BG2" s="191"/>
      <c r="BH2" s="191"/>
      <c r="BI2" s="191"/>
      <c r="BJ2" s="191"/>
      <c r="BK2" s="191"/>
      <c r="BL2" s="191"/>
      <c r="BM2" s="191"/>
      <c r="BN2" s="191"/>
      <c r="BO2" s="191"/>
      <c r="BP2" s="191"/>
      <c r="BQ2" s="191"/>
      <c r="BR2" s="191"/>
      <c r="BS2" s="191"/>
      <c r="BT2" s="191"/>
      <c r="BU2" s="191"/>
      <c r="BV2" s="191"/>
      <c r="BW2" s="191"/>
      <c r="BX2" s="191"/>
      <c r="BY2" s="191"/>
      <c r="BZ2" s="191"/>
      <c r="CA2" s="191"/>
      <c r="CB2" s="191"/>
      <c r="CC2" s="191"/>
      <c r="CD2" s="191"/>
      <c r="CE2" s="192" t="s">
        <v>132</v>
      </c>
      <c r="CF2" s="200"/>
      <c r="CG2" s="200"/>
      <c r="CH2" s="200"/>
      <c r="CI2" s="200"/>
      <c r="CJ2" s="200"/>
      <c r="CK2" s="200"/>
      <c r="CL2" s="200"/>
      <c r="CM2" s="200"/>
      <c r="CN2" s="200"/>
      <c r="CO2" s="200"/>
      <c r="CP2" s="200"/>
      <c r="CQ2" s="200"/>
      <c r="CR2" s="200"/>
      <c r="CS2" s="200"/>
      <c r="CT2" s="200"/>
      <c r="CU2" s="200"/>
      <c r="CV2" s="200"/>
      <c r="CW2" s="200"/>
      <c r="CX2" s="200"/>
      <c r="CY2" s="200"/>
      <c r="CZ2" s="200"/>
      <c r="DA2" s="200"/>
      <c r="DB2" s="200"/>
      <c r="DC2" s="148"/>
      <c r="DD2" s="200" t="s">
        <v>133</v>
      </c>
      <c r="DE2" s="200"/>
      <c r="DF2" s="200"/>
      <c r="DG2" s="200"/>
      <c r="DH2" s="200"/>
      <c r="DI2" s="200"/>
      <c r="DJ2" s="200"/>
      <c r="DK2" s="200"/>
      <c r="DL2" s="200"/>
      <c r="DM2" s="200"/>
      <c r="DN2" s="200"/>
      <c r="DO2" s="200"/>
      <c r="DP2" s="200"/>
      <c r="DQ2" s="200"/>
      <c r="DR2" s="200"/>
      <c r="DS2" s="200"/>
      <c r="DT2" s="200"/>
      <c r="DU2" s="200"/>
      <c r="DV2" s="200"/>
      <c r="DW2" s="200"/>
      <c r="DX2" s="200"/>
      <c r="DY2" s="200"/>
      <c r="DZ2" s="200"/>
      <c r="EA2" s="200"/>
      <c r="EB2" s="200"/>
      <c r="EC2" s="200"/>
      <c r="ED2" s="204"/>
      <c r="EE2" s="191" t="s">
        <v>109</v>
      </c>
      <c r="EF2" s="191"/>
      <c r="EG2" s="191"/>
      <c r="EH2" s="191"/>
      <c r="EI2" s="191"/>
      <c r="EJ2" s="191"/>
      <c r="EK2" s="191"/>
      <c r="EL2" s="191"/>
      <c r="EM2" s="191"/>
      <c r="EN2" s="191" t="s">
        <v>110</v>
      </c>
      <c r="EO2" s="191"/>
      <c r="EP2" s="191"/>
      <c r="EQ2" s="191"/>
      <c r="ER2" s="191"/>
      <c r="ES2" s="191"/>
      <c r="ET2" s="191"/>
      <c r="EU2" s="191"/>
      <c r="EV2" s="192"/>
      <c r="EW2" s="166"/>
      <c r="EX2" s="167"/>
      <c r="EY2" s="167"/>
    </row>
    <row r="3" spans="1:155" s="65" customFormat="1" ht="97.15" thickTop="1" thickBot="1" x14ac:dyDescent="0.3">
      <c r="A3" s="72" t="s">
        <v>18</v>
      </c>
      <c r="B3" s="73" t="s">
        <v>19</v>
      </c>
      <c r="C3" s="73" t="s">
        <v>20</v>
      </c>
      <c r="D3" s="74">
        <v>44939</v>
      </c>
      <c r="E3" s="75" t="s">
        <v>21</v>
      </c>
      <c r="F3" s="75">
        <f>D3+15</f>
        <v>44954</v>
      </c>
      <c r="G3" s="75">
        <v>44955</v>
      </c>
      <c r="H3" s="75" t="s">
        <v>21</v>
      </c>
      <c r="I3" s="75">
        <f>G3+15</f>
        <v>44970</v>
      </c>
      <c r="J3" s="75">
        <v>44971</v>
      </c>
      <c r="K3" s="75" t="s">
        <v>21</v>
      </c>
      <c r="L3" s="75">
        <f>J3+15</f>
        <v>44986</v>
      </c>
      <c r="M3" s="75">
        <v>44987</v>
      </c>
      <c r="N3" s="75" t="s">
        <v>21</v>
      </c>
      <c r="O3" s="75">
        <f>M3+15</f>
        <v>45002</v>
      </c>
      <c r="P3" s="75">
        <v>45003</v>
      </c>
      <c r="Q3" s="75" t="s">
        <v>21</v>
      </c>
      <c r="R3" s="75">
        <f>P3+15</f>
        <v>45018</v>
      </c>
      <c r="S3" s="75">
        <v>45019</v>
      </c>
      <c r="T3" s="75" t="s">
        <v>21</v>
      </c>
      <c r="U3" s="75">
        <f>S3+15</f>
        <v>45034</v>
      </c>
      <c r="V3" s="75">
        <v>45035</v>
      </c>
      <c r="W3" s="75" t="s">
        <v>21</v>
      </c>
      <c r="X3" s="75">
        <f>V3+15</f>
        <v>45050</v>
      </c>
      <c r="Y3" s="75">
        <v>45051</v>
      </c>
      <c r="Z3" s="75" t="s">
        <v>21</v>
      </c>
      <c r="AA3" s="75">
        <f>Y3+15</f>
        <v>45066</v>
      </c>
      <c r="AB3" s="75">
        <v>45067</v>
      </c>
      <c r="AC3" s="75" t="s">
        <v>21</v>
      </c>
      <c r="AD3" s="75">
        <f>AB3+15</f>
        <v>45082</v>
      </c>
      <c r="AE3" s="76">
        <v>45083</v>
      </c>
      <c r="AF3" s="75" t="s">
        <v>21</v>
      </c>
      <c r="AG3" s="75">
        <f>AE3+15</f>
        <v>45098</v>
      </c>
      <c r="AH3" s="76">
        <v>45099</v>
      </c>
      <c r="AI3" s="75" t="s">
        <v>21</v>
      </c>
      <c r="AJ3" s="75">
        <f>AH3+15</f>
        <v>45114</v>
      </c>
      <c r="AK3" s="76">
        <f>AJ3+1</f>
        <v>45115</v>
      </c>
      <c r="AL3" s="75" t="s">
        <v>21</v>
      </c>
      <c r="AM3" s="75">
        <f>AK3+15</f>
        <v>45130</v>
      </c>
      <c r="AN3" s="76">
        <f>AM3+1</f>
        <v>45131</v>
      </c>
      <c r="AO3" s="75" t="s">
        <v>21</v>
      </c>
      <c r="AP3" s="75">
        <f>AN3+15</f>
        <v>45146</v>
      </c>
      <c r="AQ3" s="76">
        <f>AP3+1</f>
        <v>45147</v>
      </c>
      <c r="AR3" s="75" t="s">
        <v>21</v>
      </c>
      <c r="AS3" s="75">
        <f>AQ3+15</f>
        <v>45162</v>
      </c>
      <c r="AT3" s="76">
        <f>AS3+1</f>
        <v>45163</v>
      </c>
      <c r="AU3" s="75" t="s">
        <v>21</v>
      </c>
      <c r="AV3" s="75">
        <f>AT3+15</f>
        <v>45178</v>
      </c>
      <c r="AW3" s="76">
        <f>AV3+1</f>
        <v>45179</v>
      </c>
      <c r="AX3" s="75" t="s">
        <v>21</v>
      </c>
      <c r="AY3" s="75">
        <f>AW3+15</f>
        <v>45194</v>
      </c>
      <c r="AZ3" s="76">
        <f>AY3+1</f>
        <v>45195</v>
      </c>
      <c r="BA3" s="75" t="s">
        <v>21</v>
      </c>
      <c r="BB3" s="75">
        <f t="shared" ref="BB3" si="0">AZ3+15</f>
        <v>45210</v>
      </c>
      <c r="BC3" s="76">
        <f t="shared" ref="BC3" si="1">BB3+1</f>
        <v>45211</v>
      </c>
      <c r="BD3" s="75" t="s">
        <v>21</v>
      </c>
      <c r="BE3" s="75">
        <f t="shared" ref="BE3" si="2">BC3+15</f>
        <v>45226</v>
      </c>
      <c r="BF3" s="76">
        <f t="shared" ref="BF3" si="3">BE3+1</f>
        <v>45227</v>
      </c>
      <c r="BG3" s="75" t="s">
        <v>21</v>
      </c>
      <c r="BH3" s="75">
        <f t="shared" ref="BH3" si="4">BF3+15</f>
        <v>45242</v>
      </c>
      <c r="BI3" s="76">
        <f t="shared" ref="BI3" si="5">BH3+1</f>
        <v>45243</v>
      </c>
      <c r="BJ3" s="75" t="s">
        <v>21</v>
      </c>
      <c r="BK3" s="75">
        <f t="shared" ref="BK3" si="6">BI3+15</f>
        <v>45258</v>
      </c>
      <c r="BL3" s="76">
        <f t="shared" ref="BL3" si="7">BK3+1</f>
        <v>45259</v>
      </c>
      <c r="BM3" s="75" t="s">
        <v>21</v>
      </c>
      <c r="BN3" s="75">
        <f t="shared" ref="BN3" si="8">BL3+15</f>
        <v>45274</v>
      </c>
      <c r="BO3" s="76">
        <f t="shared" ref="BO3" si="9">BN3+1</f>
        <v>45275</v>
      </c>
      <c r="BP3" s="75" t="s">
        <v>21</v>
      </c>
      <c r="BQ3" s="75">
        <f t="shared" ref="BQ3" si="10">BO3+15</f>
        <v>45290</v>
      </c>
      <c r="BR3" s="77" t="s">
        <v>21</v>
      </c>
      <c r="BS3" s="78">
        <v>45306</v>
      </c>
      <c r="BT3" s="77" t="s">
        <v>21</v>
      </c>
      <c r="BU3" s="79">
        <f>BS3+15</f>
        <v>45321</v>
      </c>
      <c r="BV3" s="79">
        <v>45322</v>
      </c>
      <c r="BW3" s="77" t="s">
        <v>21</v>
      </c>
      <c r="BX3" s="79">
        <f>BV3+15</f>
        <v>45337</v>
      </c>
      <c r="BY3" s="79">
        <v>45338</v>
      </c>
      <c r="BZ3" s="77" t="s">
        <v>21</v>
      </c>
      <c r="CA3" s="79">
        <f>BY3+15</f>
        <v>45353</v>
      </c>
      <c r="CB3" s="79">
        <v>45354</v>
      </c>
      <c r="CC3" s="79" t="s">
        <v>21</v>
      </c>
      <c r="CD3" s="80">
        <f>CB3+12</f>
        <v>45366</v>
      </c>
      <c r="CE3" s="145">
        <v>45367</v>
      </c>
      <c r="CF3" s="77" t="s">
        <v>21</v>
      </c>
      <c r="CG3" s="79">
        <f>CE3+15</f>
        <v>45382</v>
      </c>
      <c r="CH3" s="79">
        <v>45383</v>
      </c>
      <c r="CI3" s="77" t="s">
        <v>21</v>
      </c>
      <c r="CJ3" s="79">
        <f>CH3+15</f>
        <v>45398</v>
      </c>
      <c r="CK3" s="79">
        <v>45399</v>
      </c>
      <c r="CL3" s="146" t="s">
        <v>21</v>
      </c>
      <c r="CM3" s="79">
        <f>CK3+15</f>
        <v>45414</v>
      </c>
      <c r="CN3" s="79">
        <v>45415</v>
      </c>
      <c r="CO3" s="146" t="s">
        <v>21</v>
      </c>
      <c r="CP3" s="79">
        <f>CN3+12</f>
        <v>45427</v>
      </c>
      <c r="CQ3" s="79">
        <v>45428</v>
      </c>
      <c r="CR3" s="146" t="s">
        <v>21</v>
      </c>
      <c r="CS3" s="79">
        <f>CQ3+15</f>
        <v>45443</v>
      </c>
      <c r="CT3" s="79">
        <v>45444</v>
      </c>
      <c r="CU3" s="146" t="s">
        <v>21</v>
      </c>
      <c r="CV3" s="79">
        <f>CT3+15</f>
        <v>45459</v>
      </c>
      <c r="CW3" s="79">
        <v>45460</v>
      </c>
      <c r="CX3" s="146" t="s">
        <v>21</v>
      </c>
      <c r="CY3" s="79">
        <f>CW3+15</f>
        <v>45475</v>
      </c>
      <c r="CZ3" s="79">
        <v>45476</v>
      </c>
      <c r="DA3" s="146" t="s">
        <v>21</v>
      </c>
      <c r="DB3" s="79">
        <v>45487</v>
      </c>
      <c r="DC3" s="79"/>
      <c r="DD3" s="79">
        <v>45488</v>
      </c>
      <c r="DE3" s="146" t="s">
        <v>21</v>
      </c>
      <c r="DF3" s="79">
        <f>DD3+15</f>
        <v>45503</v>
      </c>
      <c r="DG3" s="79">
        <f t="shared" ref="DG3" si="11">DF3+1</f>
        <v>45504</v>
      </c>
      <c r="DH3" s="146" t="s">
        <v>21</v>
      </c>
      <c r="DI3" s="79">
        <f t="shared" ref="DI3" si="12">DG3+15</f>
        <v>45519</v>
      </c>
      <c r="DJ3" s="79">
        <f t="shared" ref="DJ3" si="13">DI3+1</f>
        <v>45520</v>
      </c>
      <c r="DK3" s="146" t="s">
        <v>21</v>
      </c>
      <c r="DL3" s="79">
        <f t="shared" ref="DL3" si="14">DJ3+15</f>
        <v>45535</v>
      </c>
      <c r="DM3" s="79">
        <f t="shared" ref="DM3" si="15">DL3+1</f>
        <v>45536</v>
      </c>
      <c r="DN3" s="146" t="s">
        <v>21</v>
      </c>
      <c r="DO3" s="79">
        <f>DM3+6</f>
        <v>45542</v>
      </c>
      <c r="DP3" s="79">
        <f t="shared" ref="DP3" si="16">DO3+1</f>
        <v>45543</v>
      </c>
      <c r="DQ3" s="146" t="s">
        <v>21</v>
      </c>
      <c r="DR3" s="79">
        <f>DP3+15</f>
        <v>45558</v>
      </c>
      <c r="DS3" s="79">
        <f t="shared" ref="DS3" si="17">DR3+1</f>
        <v>45559</v>
      </c>
      <c r="DT3" s="146" t="s">
        <v>21</v>
      </c>
      <c r="DU3" s="79">
        <f t="shared" ref="DU3" si="18">DS3+15</f>
        <v>45574</v>
      </c>
      <c r="DV3" s="79">
        <f>DU3+6</f>
        <v>45580</v>
      </c>
      <c r="DW3" s="146" t="s">
        <v>21</v>
      </c>
      <c r="DX3" s="79">
        <f t="shared" ref="DX3" si="19">DV3+15</f>
        <v>45595</v>
      </c>
      <c r="DY3" s="79">
        <f t="shared" ref="DY3" si="20">DX3+1</f>
        <v>45596</v>
      </c>
      <c r="DZ3" s="146" t="s">
        <v>21</v>
      </c>
      <c r="EA3" s="79">
        <f t="shared" ref="EA3" si="21">DY3+15</f>
        <v>45611</v>
      </c>
      <c r="EB3" s="79">
        <f t="shared" ref="EB3" si="22">EA3+1</f>
        <v>45612</v>
      </c>
      <c r="EC3" s="146" t="s">
        <v>21</v>
      </c>
      <c r="ED3" s="147">
        <f t="shared" ref="ED3" si="23">EB3+15</f>
        <v>45627</v>
      </c>
      <c r="EE3" s="81">
        <f t="shared" ref="EE3" si="24">ED3+1</f>
        <v>45628</v>
      </c>
      <c r="EF3" s="83" t="s">
        <v>21</v>
      </c>
      <c r="EG3" s="82">
        <f t="shared" ref="EG3" si="25">EE3+15</f>
        <v>45643</v>
      </c>
      <c r="EH3" s="82">
        <f t="shared" ref="EH3" si="26">EG3+1</f>
        <v>45644</v>
      </c>
      <c r="EI3" s="83" t="s">
        <v>21</v>
      </c>
      <c r="EJ3" s="82">
        <f t="shared" ref="EJ3" si="27">EH3+15</f>
        <v>45659</v>
      </c>
      <c r="EK3" s="82">
        <f t="shared" ref="EK3" si="28">EJ3+1</f>
        <v>45660</v>
      </c>
      <c r="EL3" s="83" t="s">
        <v>21</v>
      </c>
      <c r="EM3" s="84">
        <f t="shared" ref="EM3" si="29">EK3+15</f>
        <v>45675</v>
      </c>
      <c r="EN3" s="86">
        <f t="shared" ref="EN3" si="30">EM3+1</f>
        <v>45676</v>
      </c>
      <c r="EO3" s="85" t="s">
        <v>21</v>
      </c>
      <c r="EP3" s="87">
        <f t="shared" ref="EP3" si="31">EN3+15</f>
        <v>45691</v>
      </c>
      <c r="EQ3" s="87">
        <f t="shared" ref="EQ3" si="32">EP3+1</f>
        <v>45692</v>
      </c>
      <c r="ER3" s="85" t="s">
        <v>21</v>
      </c>
      <c r="ES3" s="87">
        <f t="shared" ref="ES3" si="33">EQ3+15</f>
        <v>45707</v>
      </c>
      <c r="ET3" s="87">
        <f t="shared" ref="ET3" si="34">ES3+1</f>
        <v>45708</v>
      </c>
      <c r="EU3" s="85" t="s">
        <v>21</v>
      </c>
      <c r="EV3" s="149">
        <f>ET3+8</f>
        <v>45716</v>
      </c>
      <c r="EW3" s="168" t="s">
        <v>136</v>
      </c>
      <c r="EX3" s="169" t="s">
        <v>137</v>
      </c>
      <c r="EY3" s="159" t="s">
        <v>138</v>
      </c>
    </row>
    <row r="4" spans="1:155" s="65" customFormat="1" x14ac:dyDescent="0.25">
      <c r="A4" s="69"/>
      <c r="B4" s="70" t="s">
        <v>22</v>
      </c>
      <c r="C4" s="70"/>
      <c r="D4" s="13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4"/>
      <c r="BR4" s="16"/>
      <c r="BS4" s="17"/>
      <c r="BT4" s="16"/>
      <c r="BU4" s="17"/>
      <c r="BV4" s="17"/>
      <c r="BW4" s="16"/>
      <c r="BX4" s="17"/>
      <c r="BY4" s="17"/>
      <c r="BZ4" s="16"/>
      <c r="CA4" s="17"/>
      <c r="CB4" s="17"/>
      <c r="CC4" s="17"/>
      <c r="CD4" s="18"/>
      <c r="CE4" s="11"/>
      <c r="CF4" s="125"/>
      <c r="CG4" s="126"/>
      <c r="CH4" s="126"/>
      <c r="CI4" s="126"/>
      <c r="CJ4" s="12"/>
      <c r="CK4" s="12"/>
      <c r="CL4" s="10"/>
      <c r="CM4" s="12"/>
      <c r="CN4" s="12"/>
      <c r="CO4" s="12"/>
      <c r="CP4" s="12"/>
      <c r="CQ4" s="12"/>
      <c r="CR4" s="125"/>
      <c r="CS4" s="12"/>
      <c r="CT4" s="12"/>
      <c r="CU4" s="125"/>
      <c r="CV4" s="12"/>
      <c r="CW4" s="12"/>
      <c r="CX4" s="12"/>
      <c r="CY4" s="12"/>
      <c r="CZ4" s="12"/>
      <c r="DA4" s="12"/>
      <c r="DB4" s="12"/>
      <c r="DC4" s="13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7"/>
      <c r="DQ4" s="127"/>
      <c r="DR4" s="127"/>
      <c r="DS4" s="127"/>
      <c r="DT4" s="127"/>
      <c r="DU4" s="127"/>
      <c r="DV4" s="140"/>
      <c r="DW4" s="140"/>
      <c r="DX4" s="140"/>
      <c r="DY4" s="140"/>
      <c r="DZ4" s="140"/>
      <c r="EA4" s="140"/>
      <c r="EB4" s="140"/>
      <c r="EC4" s="140"/>
      <c r="ED4" s="141"/>
      <c r="EE4" s="142"/>
      <c r="EF4" s="140"/>
      <c r="EG4" s="140"/>
      <c r="EH4" s="140"/>
      <c r="EI4" s="140"/>
      <c r="EJ4" s="140"/>
      <c r="EK4" s="140"/>
      <c r="EL4" s="140"/>
      <c r="EM4" s="141"/>
      <c r="EN4" s="123"/>
      <c r="EO4" s="100"/>
      <c r="EP4" s="100"/>
      <c r="EQ4" s="100"/>
      <c r="ER4" s="100"/>
      <c r="ES4" s="100"/>
      <c r="ET4" s="100"/>
      <c r="EU4" s="100"/>
      <c r="EV4" s="143"/>
      <c r="EW4" s="89"/>
      <c r="EX4" s="88"/>
      <c r="EY4" s="160"/>
    </row>
    <row r="5" spans="1:155" s="65" customFormat="1" ht="14.95" customHeight="1" x14ac:dyDescent="0.25">
      <c r="A5" s="202"/>
      <c r="B5" s="188" t="s">
        <v>181</v>
      </c>
      <c r="C5" s="22" t="s">
        <v>182</v>
      </c>
      <c r="D5" s="23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88"/>
      <c r="Z5" s="88"/>
      <c r="AA5" s="88"/>
      <c r="AB5" s="26"/>
      <c r="AC5" s="26"/>
      <c r="AD5" s="26"/>
      <c r="AE5" s="26"/>
      <c r="AF5" s="26"/>
      <c r="AG5" s="26"/>
      <c r="AH5" s="26"/>
      <c r="AI5" s="26"/>
      <c r="AJ5" s="26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27"/>
      <c r="BQ5" s="27"/>
      <c r="BR5" s="27"/>
      <c r="BS5" s="88"/>
      <c r="BT5" s="88"/>
      <c r="BU5" s="88"/>
      <c r="BV5" s="88"/>
      <c r="BW5" s="88"/>
      <c r="BX5" s="88"/>
      <c r="BY5" s="88"/>
      <c r="BZ5" s="88"/>
      <c r="CA5" s="88"/>
      <c r="CB5" s="88"/>
      <c r="CC5" s="88"/>
      <c r="CD5" s="90"/>
      <c r="CE5" s="19"/>
      <c r="CF5" s="16"/>
      <c r="CG5" s="17"/>
      <c r="CH5" s="17"/>
      <c r="CI5" s="16"/>
      <c r="CJ5" s="88"/>
      <c r="CK5" s="17"/>
      <c r="CL5" s="16"/>
      <c r="CM5" s="17"/>
      <c r="CN5" s="17"/>
      <c r="CO5" s="20"/>
      <c r="CP5" s="17"/>
      <c r="CQ5" s="17"/>
      <c r="CR5" s="16"/>
      <c r="CS5" s="17"/>
      <c r="CT5" s="17"/>
      <c r="CU5" s="16"/>
      <c r="CV5" s="17"/>
      <c r="CW5" s="17"/>
      <c r="CX5" s="21"/>
      <c r="CY5" s="17"/>
      <c r="CZ5" s="17"/>
      <c r="DA5" s="17"/>
      <c r="DB5" s="17"/>
      <c r="DC5" s="133"/>
      <c r="DD5" s="17"/>
      <c r="DE5" s="16"/>
      <c r="DF5" s="17"/>
      <c r="DG5" s="17"/>
      <c r="DH5" s="16"/>
      <c r="DI5" s="17"/>
      <c r="DJ5" s="17"/>
      <c r="DK5" s="17"/>
      <c r="DL5" s="17"/>
      <c r="DM5" s="17"/>
      <c r="DN5" s="17"/>
      <c r="DO5" s="17"/>
      <c r="DP5" s="88"/>
      <c r="DQ5" s="88"/>
      <c r="DR5" s="88"/>
      <c r="DS5" s="88"/>
      <c r="DT5" s="88"/>
      <c r="DU5" s="88"/>
      <c r="DV5" s="144"/>
      <c r="DW5" s="144"/>
      <c r="DX5" s="144"/>
      <c r="DY5" s="100"/>
      <c r="DZ5" s="100"/>
      <c r="EA5" s="100"/>
      <c r="EB5" s="100"/>
      <c r="EC5" s="100"/>
      <c r="ED5" s="107"/>
      <c r="EE5" s="102"/>
      <c r="EF5" s="100"/>
      <c r="EG5" s="100"/>
      <c r="EH5" s="100"/>
      <c r="EI5" s="100"/>
      <c r="EJ5" s="100"/>
      <c r="EK5" s="100"/>
      <c r="EL5" s="100"/>
      <c r="EM5" s="107"/>
      <c r="EN5" s="123"/>
      <c r="EO5" s="100"/>
      <c r="EP5" s="100"/>
      <c r="EQ5" s="100"/>
      <c r="ER5" s="100"/>
      <c r="ES5" s="100"/>
      <c r="ET5" s="100"/>
      <c r="EU5" s="100"/>
      <c r="EV5" s="143"/>
      <c r="EW5" s="155">
        <v>45580</v>
      </c>
      <c r="EX5" s="156">
        <v>45595</v>
      </c>
      <c r="EY5" s="160">
        <f t="shared" ref="EY5:EY75" si="35">EX5-EW5</f>
        <v>15</v>
      </c>
    </row>
    <row r="6" spans="1:155" s="65" customFormat="1" ht="14.95" customHeight="1" x14ac:dyDescent="0.25">
      <c r="A6" s="202"/>
      <c r="B6" s="188"/>
      <c r="C6" s="22" t="s">
        <v>24</v>
      </c>
      <c r="D6" s="23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88"/>
      <c r="AE6" s="88"/>
      <c r="AF6" s="88"/>
      <c r="AG6" s="88"/>
      <c r="AH6" s="88"/>
      <c r="AI6" s="88"/>
      <c r="AJ6" s="88"/>
      <c r="AK6" s="26"/>
      <c r="AL6" s="26"/>
      <c r="AM6" s="26"/>
      <c r="AN6" s="26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27"/>
      <c r="BR6" s="27"/>
      <c r="BS6" s="88"/>
      <c r="BT6" s="88"/>
      <c r="BU6" s="88"/>
      <c r="BV6" s="88"/>
      <c r="BW6" s="88"/>
      <c r="BX6" s="88"/>
      <c r="BY6" s="88"/>
      <c r="BZ6" s="88"/>
      <c r="CA6" s="88"/>
      <c r="CB6" s="88"/>
      <c r="CC6" s="88"/>
      <c r="CD6" s="90"/>
      <c r="CE6" s="19"/>
      <c r="CF6" s="16"/>
      <c r="CG6" s="17"/>
      <c r="CH6" s="17"/>
      <c r="CI6" s="16"/>
      <c r="CJ6" s="17"/>
      <c r="CK6" s="88"/>
      <c r="CL6" s="16"/>
      <c r="CM6" s="17"/>
      <c r="CN6" s="17"/>
      <c r="CO6" s="97"/>
      <c r="CP6" s="88"/>
      <c r="CQ6" s="17"/>
      <c r="CR6" s="16"/>
      <c r="CS6" s="17"/>
      <c r="CT6" s="17"/>
      <c r="CU6" s="16"/>
      <c r="CV6" s="17"/>
      <c r="CW6" s="17"/>
      <c r="CX6" s="21"/>
      <c r="CY6" s="17"/>
      <c r="CZ6" s="17"/>
      <c r="DA6" s="17"/>
      <c r="DB6" s="17"/>
      <c r="DC6" s="133"/>
      <c r="DD6" s="17"/>
      <c r="DE6" s="16"/>
      <c r="DF6" s="97"/>
      <c r="DG6" s="98"/>
      <c r="DH6" s="20"/>
      <c r="DI6" s="20"/>
      <c r="DJ6" s="20"/>
      <c r="DK6" s="20"/>
      <c r="DL6" s="104"/>
      <c r="DM6" s="104"/>
      <c r="DN6" s="104"/>
      <c r="DO6" s="104"/>
      <c r="DP6" s="106"/>
      <c r="DQ6" s="106"/>
      <c r="DR6" s="106"/>
      <c r="DS6" s="106"/>
      <c r="DT6" s="106"/>
      <c r="DU6" s="106"/>
      <c r="DV6" s="144"/>
      <c r="DW6" s="144"/>
      <c r="DX6" s="144"/>
      <c r="DY6" s="100"/>
      <c r="DZ6" s="100"/>
      <c r="EA6" s="100"/>
      <c r="EB6" s="100"/>
      <c r="EC6" s="100"/>
      <c r="ED6" s="107"/>
      <c r="EE6" s="102"/>
      <c r="EF6" s="100"/>
      <c r="EG6" s="100"/>
      <c r="EH6" s="100"/>
      <c r="EI6" s="100"/>
      <c r="EJ6" s="100"/>
      <c r="EK6" s="100"/>
      <c r="EL6" s="100"/>
      <c r="EM6" s="107"/>
      <c r="EN6" s="123"/>
      <c r="EO6" s="100"/>
      <c r="EP6" s="100"/>
      <c r="EQ6" s="100"/>
      <c r="ER6" s="100"/>
      <c r="ES6" s="100"/>
      <c r="ET6" s="100"/>
      <c r="EU6" s="100"/>
      <c r="EV6" s="143"/>
      <c r="EW6" s="155">
        <v>45580</v>
      </c>
      <c r="EX6" s="156">
        <v>45595</v>
      </c>
      <c r="EY6" s="160">
        <f t="shared" si="35"/>
        <v>15</v>
      </c>
    </row>
    <row r="7" spans="1:155" s="65" customFormat="1" ht="14.95" customHeight="1" x14ac:dyDescent="0.25">
      <c r="A7" s="202"/>
      <c r="B7" s="188"/>
      <c r="C7" s="22" t="s">
        <v>28</v>
      </c>
      <c r="D7" s="23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88"/>
      <c r="BT7" s="88"/>
      <c r="BU7" s="88"/>
      <c r="BV7" s="88"/>
      <c r="BW7" s="88"/>
      <c r="BX7" s="88"/>
      <c r="BY7" s="88"/>
      <c r="BZ7" s="88"/>
      <c r="CA7" s="88"/>
      <c r="CB7" s="88"/>
      <c r="CC7" s="88"/>
      <c r="CD7" s="90"/>
      <c r="CE7" s="19"/>
      <c r="CF7" s="16"/>
      <c r="CG7" s="17"/>
      <c r="CH7" s="17"/>
      <c r="CI7" s="16"/>
      <c r="CJ7" s="17"/>
      <c r="CK7" s="17"/>
      <c r="CL7" s="16"/>
      <c r="CM7" s="17"/>
      <c r="CN7" s="17"/>
      <c r="CO7" s="17"/>
      <c r="CP7" s="17"/>
      <c r="CQ7" s="17"/>
      <c r="CR7" s="16"/>
      <c r="CS7" s="17"/>
      <c r="CT7" s="17"/>
      <c r="CU7" s="97"/>
      <c r="CV7" s="97"/>
      <c r="CW7" s="97"/>
      <c r="CX7" s="99"/>
      <c r="CY7" s="99"/>
      <c r="CZ7" s="97"/>
      <c r="DA7" s="97"/>
      <c r="DB7" s="97"/>
      <c r="DC7" s="133"/>
      <c r="DD7" s="17"/>
      <c r="DE7" s="16"/>
      <c r="DF7" s="17"/>
      <c r="DG7" s="17"/>
      <c r="DH7" s="16"/>
      <c r="DI7" s="17"/>
      <c r="DJ7" s="17"/>
      <c r="DK7" s="17"/>
      <c r="DL7" s="17"/>
      <c r="DM7" s="17"/>
      <c r="DN7" s="17"/>
      <c r="DO7" s="17"/>
      <c r="DP7" s="88"/>
      <c r="DQ7" s="88"/>
      <c r="DR7" s="88"/>
      <c r="DS7" s="88"/>
      <c r="DT7" s="88"/>
      <c r="DU7" s="88"/>
      <c r="DV7" s="100"/>
      <c r="DW7" s="100"/>
      <c r="DX7" s="100"/>
      <c r="DY7" s="100"/>
      <c r="DZ7" s="100"/>
      <c r="EA7" s="100"/>
      <c r="EB7" s="100"/>
      <c r="EC7" s="100"/>
      <c r="ED7" s="157"/>
      <c r="EE7" s="158"/>
      <c r="EF7" s="144"/>
      <c r="EG7" s="100"/>
      <c r="EH7" s="100"/>
      <c r="EI7" s="100"/>
      <c r="EJ7" s="100"/>
      <c r="EK7" s="100"/>
      <c r="EL7" s="100"/>
      <c r="EM7" s="107"/>
      <c r="EN7" s="123"/>
      <c r="EO7" s="100"/>
      <c r="EP7" s="100"/>
      <c r="EQ7" s="100"/>
      <c r="ER7" s="100"/>
      <c r="ES7" s="100"/>
      <c r="ET7" s="100"/>
      <c r="EU7" s="100"/>
      <c r="EV7" s="143"/>
      <c r="EW7" s="155">
        <v>45627</v>
      </c>
      <c r="EX7" s="156">
        <v>45641</v>
      </c>
      <c r="EY7" s="160">
        <f t="shared" si="35"/>
        <v>14</v>
      </c>
    </row>
    <row r="8" spans="1:155" s="65" customFormat="1" ht="14.95" customHeight="1" x14ac:dyDescent="0.25">
      <c r="A8" s="202"/>
      <c r="B8" s="187"/>
      <c r="C8" s="22" t="s">
        <v>29</v>
      </c>
      <c r="D8" s="23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27"/>
      <c r="BM8" s="27"/>
      <c r="BN8" s="27"/>
      <c r="BO8" s="27"/>
      <c r="BP8" s="27"/>
      <c r="BQ8" s="27"/>
      <c r="BR8" s="27"/>
      <c r="BS8" s="88"/>
      <c r="BT8" s="88"/>
      <c r="BU8" s="88"/>
      <c r="BV8" s="88"/>
      <c r="BW8" s="88"/>
      <c r="BX8" s="88"/>
      <c r="BY8" s="88"/>
      <c r="BZ8" s="88"/>
      <c r="CA8" s="88"/>
      <c r="CB8" s="88"/>
      <c r="CC8" s="88"/>
      <c r="CD8" s="90"/>
      <c r="CE8" s="19"/>
      <c r="CF8" s="16"/>
      <c r="CG8" s="17"/>
      <c r="CH8" s="17"/>
      <c r="CI8" s="16"/>
      <c r="CJ8" s="17"/>
      <c r="CK8" s="17"/>
      <c r="CL8" s="16"/>
      <c r="CM8" s="17"/>
      <c r="CN8" s="17"/>
      <c r="CO8" s="17"/>
      <c r="CP8" s="17"/>
      <c r="CQ8" s="17"/>
      <c r="CR8" s="16"/>
      <c r="CS8" s="17"/>
      <c r="CT8" s="17"/>
      <c r="CU8" s="16"/>
      <c r="CV8" s="17"/>
      <c r="CW8" s="17"/>
      <c r="CX8" s="21"/>
      <c r="CY8" s="17"/>
      <c r="CZ8" s="97"/>
      <c r="DA8" s="97"/>
      <c r="DB8" s="97"/>
      <c r="DC8" s="133"/>
      <c r="DD8" s="100"/>
      <c r="DE8" s="100"/>
      <c r="DF8" s="100"/>
      <c r="DG8" s="97"/>
      <c r="DH8" s="98"/>
      <c r="DI8" s="97"/>
      <c r="DJ8" s="97"/>
      <c r="DK8" s="17"/>
      <c r="DL8" s="17"/>
      <c r="DM8" s="17"/>
      <c r="DN8" s="17"/>
      <c r="DO8" s="17"/>
      <c r="DP8" s="88"/>
      <c r="DQ8" s="88"/>
      <c r="DR8" s="88"/>
      <c r="DS8" s="88"/>
      <c r="DT8" s="88"/>
      <c r="DU8" s="88"/>
      <c r="DV8" s="100"/>
      <c r="DW8" s="100"/>
      <c r="DX8" s="100"/>
      <c r="DY8" s="100"/>
      <c r="DZ8" s="100"/>
      <c r="EA8" s="100"/>
      <c r="EB8" s="100"/>
      <c r="EC8" s="100"/>
      <c r="ED8" s="107"/>
      <c r="EE8" s="102"/>
      <c r="EF8" s="100"/>
      <c r="EG8" s="100"/>
      <c r="EH8" s="100"/>
      <c r="EI8" s="100"/>
      <c r="EJ8" s="100"/>
      <c r="EK8" s="100"/>
      <c r="EL8" s="144"/>
      <c r="EM8" s="157"/>
      <c r="EN8" s="164"/>
      <c r="EO8" s="144"/>
      <c r="EP8" s="100"/>
      <c r="EQ8" s="100"/>
      <c r="ER8" s="100"/>
      <c r="ES8" s="100"/>
      <c r="ET8" s="100"/>
      <c r="EU8" s="100"/>
      <c r="EV8" s="143"/>
      <c r="EW8" s="155">
        <v>45672</v>
      </c>
      <c r="EX8" s="156">
        <v>45688</v>
      </c>
      <c r="EY8" s="160">
        <f t="shared" si="35"/>
        <v>16</v>
      </c>
    </row>
    <row r="9" spans="1:155" s="65" customFormat="1" ht="14.95" customHeight="1" x14ac:dyDescent="0.25">
      <c r="A9" s="193"/>
      <c r="B9" s="186" t="s">
        <v>27</v>
      </c>
      <c r="C9" s="22" t="s">
        <v>51</v>
      </c>
      <c r="D9" s="23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27"/>
      <c r="BM9" s="27"/>
      <c r="BN9" s="27"/>
      <c r="BO9" s="27"/>
      <c r="BP9" s="27"/>
      <c r="BQ9" s="27"/>
      <c r="BR9" s="27"/>
      <c r="BS9" s="88"/>
      <c r="BT9" s="88"/>
      <c r="BU9" s="88"/>
      <c r="BV9" s="88"/>
      <c r="BW9" s="88"/>
      <c r="BX9" s="88"/>
      <c r="BY9" s="88"/>
      <c r="BZ9" s="88"/>
      <c r="CA9" s="88"/>
      <c r="CB9" s="88"/>
      <c r="CC9" s="88"/>
      <c r="CD9" s="90"/>
      <c r="CE9" s="19"/>
      <c r="CF9" s="16"/>
      <c r="CG9" s="17"/>
      <c r="CH9" s="17"/>
      <c r="CI9" s="16"/>
      <c r="CJ9" s="17"/>
      <c r="CK9" s="17"/>
      <c r="CL9" s="16"/>
      <c r="CM9" s="17"/>
      <c r="CN9" s="17"/>
      <c r="CO9" s="17"/>
      <c r="CP9" s="17"/>
      <c r="CQ9" s="17"/>
      <c r="CR9" s="16"/>
      <c r="CS9" s="17"/>
      <c r="CT9" s="17"/>
      <c r="CU9" s="16"/>
      <c r="CV9" s="17"/>
      <c r="CW9" s="17"/>
      <c r="CX9" s="21"/>
      <c r="CY9" s="17"/>
      <c r="CZ9" s="97"/>
      <c r="DA9" s="97"/>
      <c r="DB9" s="97"/>
      <c r="DC9" s="133"/>
      <c r="DD9" s="100"/>
      <c r="DE9" s="100"/>
      <c r="DF9" s="100"/>
      <c r="DG9" s="97"/>
      <c r="DH9" s="98"/>
      <c r="DI9" s="97"/>
      <c r="DJ9" s="97"/>
      <c r="DK9" s="17"/>
      <c r="DL9" s="17"/>
      <c r="DM9" s="17"/>
      <c r="DN9" s="17"/>
      <c r="DO9" s="17"/>
      <c r="DP9" s="88"/>
      <c r="DQ9" s="88"/>
      <c r="DR9" s="88"/>
      <c r="DS9" s="88"/>
      <c r="DT9" s="88"/>
      <c r="DU9" s="88"/>
      <c r="DV9" s="144"/>
      <c r="DW9" s="144"/>
      <c r="DX9" s="144"/>
      <c r="DY9" s="144"/>
      <c r="DZ9" s="144"/>
      <c r="EA9" s="144"/>
      <c r="EB9" s="144"/>
      <c r="EC9" s="144"/>
      <c r="ED9" s="107"/>
      <c r="EE9" s="102"/>
      <c r="EF9" s="100"/>
      <c r="EG9" s="100"/>
      <c r="EH9" s="100"/>
      <c r="EI9" s="100"/>
      <c r="EJ9" s="100"/>
      <c r="EK9" s="100"/>
      <c r="EL9" s="100"/>
      <c r="EM9" s="107"/>
      <c r="EN9" s="123"/>
      <c r="EO9" s="100"/>
      <c r="EP9" s="100"/>
      <c r="EQ9" s="100"/>
      <c r="ER9" s="100"/>
      <c r="ES9" s="100"/>
      <c r="ET9" s="100"/>
      <c r="EU9" s="100"/>
      <c r="EV9" s="143"/>
      <c r="EW9" s="155">
        <v>45580</v>
      </c>
      <c r="EX9" s="156">
        <v>45626</v>
      </c>
      <c r="EY9" s="160">
        <f t="shared" si="35"/>
        <v>46</v>
      </c>
    </row>
    <row r="10" spans="1:155" s="65" customFormat="1" ht="14.95" customHeight="1" x14ac:dyDescent="0.25">
      <c r="A10" s="195"/>
      <c r="B10" s="187"/>
      <c r="C10" s="22" t="s">
        <v>43</v>
      </c>
      <c r="D10" s="23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7"/>
      <c r="BB10" s="27"/>
      <c r="BC10" s="27"/>
      <c r="BD10" s="27"/>
      <c r="BE10" s="27"/>
      <c r="BF10" s="27"/>
      <c r="BG10" s="27"/>
      <c r="BH10" s="27"/>
      <c r="BI10" s="27"/>
      <c r="BJ10" s="27"/>
      <c r="BK10" s="27"/>
      <c r="BL10" s="27"/>
      <c r="BM10" s="27"/>
      <c r="BN10" s="27"/>
      <c r="BO10" s="27"/>
      <c r="BP10" s="27"/>
      <c r="BQ10" s="27"/>
      <c r="BR10" s="27"/>
      <c r="BS10" s="88"/>
      <c r="BT10" s="88"/>
      <c r="BU10" s="88"/>
      <c r="BV10" s="88"/>
      <c r="BW10" s="88"/>
      <c r="BX10" s="88"/>
      <c r="BY10" s="88"/>
      <c r="BZ10" s="88"/>
      <c r="CA10" s="88"/>
      <c r="CB10" s="88"/>
      <c r="CC10" s="88"/>
      <c r="CD10" s="90"/>
      <c r="CE10" s="19"/>
      <c r="CF10" s="16"/>
      <c r="CG10" s="17"/>
      <c r="CH10" s="17"/>
      <c r="CI10" s="16"/>
      <c r="CJ10" s="17"/>
      <c r="CK10" s="17"/>
      <c r="CL10" s="16"/>
      <c r="CM10" s="17"/>
      <c r="CN10" s="17"/>
      <c r="CO10" s="17"/>
      <c r="CP10" s="17"/>
      <c r="CQ10" s="17"/>
      <c r="CR10" s="16"/>
      <c r="CS10" s="17"/>
      <c r="CT10" s="17"/>
      <c r="CU10" s="16"/>
      <c r="CV10" s="17"/>
      <c r="CW10" s="17"/>
      <c r="CX10" s="21"/>
      <c r="CY10" s="17"/>
      <c r="CZ10" s="97"/>
      <c r="DA10" s="97"/>
      <c r="DB10" s="97"/>
      <c r="DC10" s="133"/>
      <c r="DD10" s="100"/>
      <c r="DE10" s="100"/>
      <c r="DF10" s="100"/>
      <c r="DG10" s="97"/>
      <c r="DH10" s="98"/>
      <c r="DI10" s="97"/>
      <c r="DJ10" s="97"/>
      <c r="DK10" s="17"/>
      <c r="DL10" s="17"/>
      <c r="DM10" s="17"/>
      <c r="DN10" s="17"/>
      <c r="DO10" s="17"/>
      <c r="DP10" s="88"/>
      <c r="DQ10" s="88"/>
      <c r="DR10" s="88"/>
      <c r="DS10" s="88"/>
      <c r="DT10" s="88"/>
      <c r="DU10" s="88"/>
      <c r="DV10" s="100"/>
      <c r="DW10" s="100"/>
      <c r="DX10" s="100"/>
      <c r="DY10" s="100"/>
      <c r="DZ10" s="100"/>
      <c r="EA10" s="100"/>
      <c r="EB10" s="100"/>
      <c r="EC10" s="144"/>
      <c r="ED10" s="157"/>
      <c r="EE10" s="158"/>
      <c r="EF10" s="144"/>
      <c r="EG10" s="144"/>
      <c r="EH10" s="144"/>
      <c r="EI10" s="144"/>
      <c r="EJ10" s="100"/>
      <c r="EK10" s="100"/>
      <c r="EL10" s="100"/>
      <c r="EM10" s="107"/>
      <c r="EN10" s="123"/>
      <c r="EO10" s="100"/>
      <c r="EP10" s="100"/>
      <c r="EQ10" s="100"/>
      <c r="ER10" s="100"/>
      <c r="ES10" s="100"/>
      <c r="ET10" s="100"/>
      <c r="EU10" s="100"/>
      <c r="EV10" s="143"/>
      <c r="EW10" s="155">
        <v>45626</v>
      </c>
      <c r="EX10" s="156">
        <v>45657</v>
      </c>
      <c r="EY10" s="160">
        <f t="shared" si="35"/>
        <v>31</v>
      </c>
    </row>
    <row r="11" spans="1:155" s="65" customFormat="1" ht="14.95" customHeight="1" x14ac:dyDescent="0.25">
      <c r="A11" s="193"/>
      <c r="B11" s="186" t="s">
        <v>186</v>
      </c>
      <c r="C11" s="22" t="s">
        <v>51</v>
      </c>
      <c r="D11" s="23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7"/>
      <c r="BP11" s="27"/>
      <c r="BQ11" s="27"/>
      <c r="BR11" s="27"/>
      <c r="BS11" s="88"/>
      <c r="BT11" s="88"/>
      <c r="BU11" s="88"/>
      <c r="BV11" s="88"/>
      <c r="BW11" s="88"/>
      <c r="BX11" s="88"/>
      <c r="BY11" s="88"/>
      <c r="BZ11" s="88"/>
      <c r="CA11" s="88"/>
      <c r="CB11" s="88"/>
      <c r="CC11" s="88"/>
      <c r="CD11" s="90"/>
      <c r="CE11" s="19"/>
      <c r="CF11" s="16"/>
      <c r="CG11" s="17"/>
      <c r="CH11" s="17"/>
      <c r="CI11" s="16"/>
      <c r="CJ11" s="17"/>
      <c r="CK11" s="17"/>
      <c r="CL11" s="16"/>
      <c r="CM11" s="17"/>
      <c r="CN11" s="17"/>
      <c r="CO11" s="17"/>
      <c r="CP11" s="17"/>
      <c r="CQ11" s="17"/>
      <c r="CR11" s="16"/>
      <c r="CS11" s="17"/>
      <c r="CT11" s="17"/>
      <c r="CU11" s="16"/>
      <c r="CV11" s="17"/>
      <c r="CW11" s="17"/>
      <c r="CX11" s="21"/>
      <c r="CY11" s="17"/>
      <c r="CZ11" s="97"/>
      <c r="DA11" s="97"/>
      <c r="DB11" s="97"/>
      <c r="DC11" s="133"/>
      <c r="DD11" s="100"/>
      <c r="DE11" s="100"/>
      <c r="DF11" s="100"/>
      <c r="DG11" s="97"/>
      <c r="DH11" s="98"/>
      <c r="DI11" s="97"/>
      <c r="DJ11" s="97"/>
      <c r="DK11" s="17"/>
      <c r="DL11" s="17"/>
      <c r="DM11" s="17"/>
      <c r="DN11" s="17"/>
      <c r="DO11" s="17"/>
      <c r="DP11" s="88"/>
      <c r="DQ11" s="88"/>
      <c r="DR11" s="88"/>
      <c r="DS11" s="88"/>
      <c r="DT11" s="88"/>
      <c r="DU11" s="88"/>
      <c r="DV11" s="144"/>
      <c r="DW11" s="144"/>
      <c r="DX11" s="144"/>
      <c r="DY11" s="144"/>
      <c r="DZ11" s="144"/>
      <c r="EA11" s="144"/>
      <c r="EB11" s="144"/>
      <c r="EC11" s="144"/>
      <c r="ED11" s="107"/>
      <c r="EE11" s="102"/>
      <c r="EF11" s="100"/>
      <c r="EG11" s="100"/>
      <c r="EH11" s="100"/>
      <c r="EI11" s="100"/>
      <c r="EJ11" s="100"/>
      <c r="EK11" s="100"/>
      <c r="EL11" s="100"/>
      <c r="EM11" s="107"/>
      <c r="EN11" s="123"/>
      <c r="EO11" s="100"/>
      <c r="EP11" s="100"/>
      <c r="EQ11" s="100"/>
      <c r="ER11" s="100"/>
      <c r="ES11" s="100"/>
      <c r="ET11" s="100"/>
      <c r="EU11" s="100"/>
      <c r="EV11" s="143"/>
      <c r="EW11" s="155">
        <v>45580</v>
      </c>
      <c r="EX11" s="156">
        <v>45626</v>
      </c>
      <c r="EY11" s="160">
        <f t="shared" si="35"/>
        <v>46</v>
      </c>
    </row>
    <row r="12" spans="1:155" s="65" customFormat="1" ht="14.95" customHeight="1" x14ac:dyDescent="0.25">
      <c r="A12" s="195"/>
      <c r="B12" s="187"/>
      <c r="C12" s="22" t="s">
        <v>43</v>
      </c>
      <c r="D12" s="23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7"/>
      <c r="BB12" s="27"/>
      <c r="BC12" s="27"/>
      <c r="BD12" s="27"/>
      <c r="BE12" s="27"/>
      <c r="BF12" s="27"/>
      <c r="BG12" s="27"/>
      <c r="BH12" s="27"/>
      <c r="BI12" s="27"/>
      <c r="BJ12" s="27"/>
      <c r="BK12" s="27"/>
      <c r="BL12" s="27"/>
      <c r="BM12" s="27"/>
      <c r="BN12" s="27"/>
      <c r="BO12" s="27"/>
      <c r="BP12" s="27"/>
      <c r="BQ12" s="27"/>
      <c r="BR12" s="27"/>
      <c r="BS12" s="88"/>
      <c r="BT12" s="88"/>
      <c r="BU12" s="88"/>
      <c r="BV12" s="88"/>
      <c r="BW12" s="88"/>
      <c r="BX12" s="88"/>
      <c r="BY12" s="88"/>
      <c r="BZ12" s="88"/>
      <c r="CA12" s="88"/>
      <c r="CB12" s="88"/>
      <c r="CC12" s="88"/>
      <c r="CD12" s="90"/>
      <c r="CE12" s="19"/>
      <c r="CF12" s="16"/>
      <c r="CG12" s="17"/>
      <c r="CH12" s="17"/>
      <c r="CI12" s="16"/>
      <c r="CJ12" s="17"/>
      <c r="CK12" s="17"/>
      <c r="CL12" s="16"/>
      <c r="CM12" s="17"/>
      <c r="CN12" s="17"/>
      <c r="CO12" s="17"/>
      <c r="CP12" s="17"/>
      <c r="CQ12" s="17"/>
      <c r="CR12" s="16"/>
      <c r="CS12" s="17"/>
      <c r="CT12" s="17"/>
      <c r="CU12" s="16"/>
      <c r="CV12" s="17"/>
      <c r="CW12" s="17"/>
      <c r="CX12" s="21"/>
      <c r="CY12" s="17"/>
      <c r="CZ12" s="97"/>
      <c r="DA12" s="97"/>
      <c r="DB12" s="97"/>
      <c r="DC12" s="133"/>
      <c r="DD12" s="100"/>
      <c r="DE12" s="100"/>
      <c r="DF12" s="100"/>
      <c r="DG12" s="97"/>
      <c r="DH12" s="98"/>
      <c r="DI12" s="97"/>
      <c r="DJ12" s="97"/>
      <c r="DK12" s="17"/>
      <c r="DL12" s="17"/>
      <c r="DM12" s="17"/>
      <c r="DN12" s="17"/>
      <c r="DO12" s="17"/>
      <c r="DP12" s="88"/>
      <c r="DQ12" s="88"/>
      <c r="DR12" s="88"/>
      <c r="DS12" s="88"/>
      <c r="DT12" s="88"/>
      <c r="DU12" s="88"/>
      <c r="DV12" s="100"/>
      <c r="DW12" s="100"/>
      <c r="DX12" s="100"/>
      <c r="DY12" s="100"/>
      <c r="DZ12" s="100"/>
      <c r="EA12" s="100"/>
      <c r="EB12" s="100"/>
      <c r="EC12" s="100"/>
      <c r="ED12" s="157"/>
      <c r="EE12" s="158"/>
      <c r="EF12" s="144"/>
      <c r="EG12" s="100"/>
      <c r="EH12" s="100"/>
      <c r="EI12" s="100"/>
      <c r="EJ12" s="100"/>
      <c r="EK12" s="100"/>
      <c r="EL12" s="100"/>
      <c r="EM12" s="107"/>
      <c r="EN12" s="123"/>
      <c r="EO12" s="100"/>
      <c r="EP12" s="100"/>
      <c r="EQ12" s="100"/>
      <c r="ER12" s="100"/>
      <c r="ES12" s="100"/>
      <c r="ET12" s="100"/>
      <c r="EU12" s="100"/>
      <c r="EV12" s="143"/>
      <c r="EW12" s="155">
        <v>45627</v>
      </c>
      <c r="EX12" s="156">
        <v>45641</v>
      </c>
      <c r="EY12" s="160">
        <f t="shared" si="35"/>
        <v>14</v>
      </c>
    </row>
    <row r="13" spans="1:155" s="65" customFormat="1" ht="14.95" customHeight="1" x14ac:dyDescent="0.25">
      <c r="A13" s="186"/>
      <c r="B13" s="186" t="s">
        <v>185</v>
      </c>
      <c r="C13" s="22" t="s">
        <v>51</v>
      </c>
      <c r="D13" s="23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7"/>
      <c r="BB13" s="27"/>
      <c r="BC13" s="27"/>
      <c r="BD13" s="27"/>
      <c r="BE13" s="27"/>
      <c r="BF13" s="27"/>
      <c r="BG13" s="27"/>
      <c r="BH13" s="27"/>
      <c r="BI13" s="27"/>
      <c r="BJ13" s="27"/>
      <c r="BK13" s="27"/>
      <c r="BL13" s="27"/>
      <c r="BM13" s="27"/>
      <c r="BN13" s="27"/>
      <c r="BO13" s="27"/>
      <c r="BP13" s="27"/>
      <c r="BQ13" s="27"/>
      <c r="BR13" s="27"/>
      <c r="BS13" s="88"/>
      <c r="BT13" s="88"/>
      <c r="BU13" s="88"/>
      <c r="BV13" s="88"/>
      <c r="BW13" s="88"/>
      <c r="BX13" s="88"/>
      <c r="BY13" s="88"/>
      <c r="BZ13" s="88"/>
      <c r="CA13" s="88"/>
      <c r="CB13" s="88"/>
      <c r="CC13" s="88"/>
      <c r="CD13" s="90"/>
      <c r="CE13" s="19"/>
      <c r="CF13" s="16"/>
      <c r="CG13" s="17"/>
      <c r="CH13" s="17"/>
      <c r="CI13" s="16"/>
      <c r="CJ13" s="17"/>
      <c r="CK13" s="17"/>
      <c r="CL13" s="16"/>
      <c r="CM13" s="17"/>
      <c r="CN13" s="17"/>
      <c r="CO13" s="17"/>
      <c r="CP13" s="17"/>
      <c r="CQ13" s="17"/>
      <c r="CR13" s="16"/>
      <c r="CS13" s="17"/>
      <c r="CT13" s="17"/>
      <c r="CU13" s="16"/>
      <c r="CV13" s="17"/>
      <c r="CW13" s="17"/>
      <c r="CX13" s="21"/>
      <c r="CY13" s="17"/>
      <c r="CZ13" s="97"/>
      <c r="DA13" s="97"/>
      <c r="DB13" s="97"/>
      <c r="DC13" s="133"/>
      <c r="DD13" s="100"/>
      <c r="DE13" s="100"/>
      <c r="DF13" s="100"/>
      <c r="DG13" s="97"/>
      <c r="DH13" s="98"/>
      <c r="DI13" s="97"/>
      <c r="DJ13" s="97"/>
      <c r="DK13" s="17"/>
      <c r="DL13" s="17"/>
      <c r="DM13" s="17"/>
      <c r="DN13" s="17"/>
      <c r="DO13" s="17"/>
      <c r="DP13" s="88"/>
      <c r="DQ13" s="88"/>
      <c r="DR13" s="88"/>
      <c r="DS13" s="88"/>
      <c r="DT13" s="88"/>
      <c r="DU13" s="88"/>
      <c r="DV13" s="144"/>
      <c r="DW13" s="144"/>
      <c r="DX13" s="144"/>
      <c r="DY13" s="144"/>
      <c r="DZ13" s="144"/>
      <c r="EA13" s="144"/>
      <c r="EB13" s="144"/>
      <c r="EC13" s="144"/>
      <c r="ED13" s="157"/>
      <c r="EE13" s="158"/>
      <c r="EF13" s="144"/>
      <c r="EG13" s="144"/>
      <c r="EH13" s="144"/>
      <c r="EI13" s="144"/>
      <c r="EJ13" s="100"/>
      <c r="EK13" s="100"/>
      <c r="EL13" s="100"/>
      <c r="EM13" s="107"/>
      <c r="EN13" s="123"/>
      <c r="EO13" s="100"/>
      <c r="EP13" s="100"/>
      <c r="EQ13" s="100"/>
      <c r="ER13" s="100"/>
      <c r="ES13" s="100"/>
      <c r="ET13" s="100"/>
      <c r="EU13" s="100"/>
      <c r="EV13" s="143"/>
      <c r="EW13" s="155">
        <v>45580</v>
      </c>
      <c r="EX13" s="156">
        <v>45658</v>
      </c>
      <c r="EY13" s="160">
        <f t="shared" si="35"/>
        <v>78</v>
      </c>
    </row>
    <row r="14" spans="1:155" s="65" customFormat="1" ht="14.95" customHeight="1" x14ac:dyDescent="0.25">
      <c r="A14" s="187"/>
      <c r="B14" s="187"/>
      <c r="C14" s="22" t="s">
        <v>43</v>
      </c>
      <c r="D14" s="23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7"/>
      <c r="BB14" s="27"/>
      <c r="BC14" s="27"/>
      <c r="BD14" s="27"/>
      <c r="BE14" s="27"/>
      <c r="BF14" s="27"/>
      <c r="BG14" s="27"/>
      <c r="BH14" s="27"/>
      <c r="BI14" s="27"/>
      <c r="BJ14" s="27"/>
      <c r="BK14" s="27"/>
      <c r="BL14" s="27"/>
      <c r="BM14" s="27"/>
      <c r="BN14" s="27"/>
      <c r="BO14" s="27"/>
      <c r="BP14" s="27"/>
      <c r="BQ14" s="27"/>
      <c r="BR14" s="27"/>
      <c r="BS14" s="88"/>
      <c r="BT14" s="88"/>
      <c r="BU14" s="88"/>
      <c r="BV14" s="88"/>
      <c r="BW14" s="88"/>
      <c r="BX14" s="88"/>
      <c r="BY14" s="88"/>
      <c r="BZ14" s="88"/>
      <c r="CA14" s="88"/>
      <c r="CB14" s="88"/>
      <c r="CC14" s="88"/>
      <c r="CD14" s="90"/>
      <c r="CE14" s="19"/>
      <c r="CF14" s="16"/>
      <c r="CG14" s="17"/>
      <c r="CH14" s="17"/>
      <c r="CI14" s="16"/>
      <c r="CJ14" s="17"/>
      <c r="CK14" s="17"/>
      <c r="CL14" s="16"/>
      <c r="CM14" s="17"/>
      <c r="CN14" s="17"/>
      <c r="CO14" s="17"/>
      <c r="CP14" s="17"/>
      <c r="CQ14" s="17"/>
      <c r="CR14" s="16"/>
      <c r="CS14" s="17"/>
      <c r="CT14" s="17"/>
      <c r="CU14" s="16"/>
      <c r="CV14" s="17"/>
      <c r="CW14" s="17"/>
      <c r="CX14" s="21"/>
      <c r="CY14" s="17"/>
      <c r="CZ14" s="97"/>
      <c r="DA14" s="97"/>
      <c r="DB14" s="97"/>
      <c r="DC14" s="133"/>
      <c r="DD14" s="100"/>
      <c r="DE14" s="100"/>
      <c r="DF14" s="100"/>
      <c r="DG14" s="97"/>
      <c r="DH14" s="98"/>
      <c r="DI14" s="97"/>
      <c r="DJ14" s="97"/>
      <c r="DK14" s="17"/>
      <c r="DL14" s="17"/>
      <c r="DM14" s="17"/>
      <c r="DN14" s="17"/>
      <c r="DO14" s="17"/>
      <c r="DP14" s="88"/>
      <c r="DQ14" s="88"/>
      <c r="DR14" s="88"/>
      <c r="DS14" s="88"/>
      <c r="DT14" s="88"/>
      <c r="DU14" s="88"/>
      <c r="DV14" s="100"/>
      <c r="DW14" s="100"/>
      <c r="DX14" s="100"/>
      <c r="DY14" s="100"/>
      <c r="DZ14" s="100"/>
      <c r="EA14" s="100"/>
      <c r="EB14" s="100"/>
      <c r="EC14" s="100"/>
      <c r="ED14" s="107"/>
      <c r="EE14" s="102"/>
      <c r="EF14" s="100"/>
      <c r="EG14" s="100"/>
      <c r="EH14" s="100"/>
      <c r="EI14" s="144"/>
      <c r="EJ14" s="144"/>
      <c r="EK14" s="144"/>
      <c r="EL14" s="144"/>
      <c r="EM14" s="107"/>
      <c r="EN14" s="123"/>
      <c r="EO14" s="100"/>
      <c r="EP14" s="100"/>
      <c r="EQ14" s="100"/>
      <c r="ER14" s="100"/>
      <c r="ES14" s="100"/>
      <c r="ET14" s="100"/>
      <c r="EU14" s="100"/>
      <c r="EV14" s="143"/>
      <c r="EW14" s="155">
        <v>45658</v>
      </c>
      <c r="EX14" s="156">
        <v>45672</v>
      </c>
      <c r="EY14" s="160">
        <f t="shared" si="35"/>
        <v>14</v>
      </c>
    </row>
    <row r="15" spans="1:155" s="65" customFormat="1" ht="14.95" customHeight="1" x14ac:dyDescent="0.25">
      <c r="A15" s="193"/>
      <c r="B15" s="186" t="s">
        <v>26</v>
      </c>
      <c r="C15" s="22" t="s">
        <v>183</v>
      </c>
      <c r="D15" s="23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  <c r="AZ15" s="24"/>
      <c r="BA15" s="27"/>
      <c r="BB15" s="27"/>
      <c r="BC15" s="27"/>
      <c r="BD15" s="27"/>
      <c r="BE15" s="27"/>
      <c r="BF15" s="27"/>
      <c r="BG15" s="27"/>
      <c r="BH15" s="27"/>
      <c r="BI15" s="27"/>
      <c r="BJ15" s="27"/>
      <c r="BK15" s="27"/>
      <c r="BL15" s="27"/>
      <c r="BM15" s="27"/>
      <c r="BN15" s="27"/>
      <c r="BO15" s="27"/>
      <c r="BP15" s="27"/>
      <c r="BQ15" s="27"/>
      <c r="BR15" s="27"/>
      <c r="BS15" s="88"/>
      <c r="BT15" s="88"/>
      <c r="BU15" s="88"/>
      <c r="BV15" s="88"/>
      <c r="BW15" s="88"/>
      <c r="BX15" s="88"/>
      <c r="BY15" s="88"/>
      <c r="BZ15" s="88"/>
      <c r="CA15" s="88"/>
      <c r="CB15" s="88"/>
      <c r="CC15" s="88"/>
      <c r="CD15" s="90"/>
      <c r="CE15" s="19"/>
      <c r="CF15" s="16"/>
      <c r="CG15" s="17"/>
      <c r="CH15" s="17"/>
      <c r="CI15" s="16"/>
      <c r="CJ15" s="17"/>
      <c r="CK15" s="17"/>
      <c r="CL15" s="16"/>
      <c r="CM15" s="17"/>
      <c r="CN15" s="17"/>
      <c r="CO15" s="17"/>
      <c r="CP15" s="17"/>
      <c r="CQ15" s="17"/>
      <c r="CR15" s="16"/>
      <c r="CS15" s="17"/>
      <c r="CT15" s="17"/>
      <c r="CU15" s="16"/>
      <c r="CV15" s="17"/>
      <c r="CW15" s="17"/>
      <c r="CX15" s="21"/>
      <c r="CY15" s="17"/>
      <c r="CZ15" s="97"/>
      <c r="DA15" s="97"/>
      <c r="DB15" s="97"/>
      <c r="DC15" s="133"/>
      <c r="DD15" s="100"/>
      <c r="DE15" s="100"/>
      <c r="DF15" s="100"/>
      <c r="DG15" s="97"/>
      <c r="DH15" s="98"/>
      <c r="DI15" s="97"/>
      <c r="DJ15" s="97"/>
      <c r="DK15" s="17"/>
      <c r="DL15" s="17"/>
      <c r="DM15" s="17"/>
      <c r="DN15" s="17"/>
      <c r="DO15" s="17"/>
      <c r="DP15" s="88"/>
      <c r="DQ15" s="88"/>
      <c r="DR15" s="88"/>
      <c r="DS15" s="88"/>
      <c r="DT15" s="88"/>
      <c r="DU15" s="88"/>
      <c r="DV15" s="144"/>
      <c r="DW15" s="144"/>
      <c r="DX15" s="144"/>
      <c r="DY15" s="144"/>
      <c r="DZ15" s="144"/>
      <c r="EA15" s="144"/>
      <c r="EB15" s="144"/>
      <c r="EC15" s="144"/>
      <c r="ED15" s="157"/>
      <c r="EE15" s="102"/>
      <c r="EF15" s="100"/>
      <c r="EG15" s="100"/>
      <c r="EH15" s="100"/>
      <c r="EI15" s="100"/>
      <c r="EJ15" s="100"/>
      <c r="EK15" s="100"/>
      <c r="EL15" s="100"/>
      <c r="EM15" s="107"/>
      <c r="EN15" s="123"/>
      <c r="EO15" s="100"/>
      <c r="EP15" s="100"/>
      <c r="EQ15" s="100"/>
      <c r="ER15" s="100"/>
      <c r="ES15" s="100"/>
      <c r="ET15" s="100"/>
      <c r="EU15" s="100"/>
      <c r="EV15" s="143"/>
      <c r="EW15" s="155">
        <v>45580</v>
      </c>
      <c r="EX15" s="156">
        <v>45627</v>
      </c>
      <c r="EY15" s="160">
        <f t="shared" si="35"/>
        <v>47</v>
      </c>
    </row>
    <row r="16" spans="1:155" s="65" customFormat="1" ht="14.95" customHeight="1" x14ac:dyDescent="0.25">
      <c r="A16" s="195"/>
      <c r="B16" s="188"/>
      <c r="C16" s="22" t="s">
        <v>184</v>
      </c>
      <c r="D16" s="23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  <c r="AZ16" s="24"/>
      <c r="BA16" s="27"/>
      <c r="BB16" s="27"/>
      <c r="BC16" s="27"/>
      <c r="BD16" s="27"/>
      <c r="BE16" s="27"/>
      <c r="BF16" s="27"/>
      <c r="BG16" s="27"/>
      <c r="BH16" s="27"/>
      <c r="BI16" s="27"/>
      <c r="BJ16" s="27"/>
      <c r="BK16" s="27"/>
      <c r="BL16" s="27"/>
      <c r="BM16" s="27"/>
      <c r="BN16" s="27"/>
      <c r="BO16" s="27"/>
      <c r="BP16" s="27"/>
      <c r="BQ16" s="27"/>
      <c r="BR16" s="27"/>
      <c r="BS16" s="88"/>
      <c r="BT16" s="88"/>
      <c r="BU16" s="88"/>
      <c r="BV16" s="88"/>
      <c r="BW16" s="88"/>
      <c r="BX16" s="88"/>
      <c r="BY16" s="88"/>
      <c r="BZ16" s="88"/>
      <c r="CA16" s="88"/>
      <c r="CB16" s="88"/>
      <c r="CC16" s="88"/>
      <c r="CD16" s="90"/>
      <c r="CE16" s="19"/>
      <c r="CF16" s="16"/>
      <c r="CG16" s="17"/>
      <c r="CH16" s="17"/>
      <c r="CI16" s="16"/>
      <c r="CJ16" s="17"/>
      <c r="CK16" s="17"/>
      <c r="CL16" s="16"/>
      <c r="CM16" s="17"/>
      <c r="CN16" s="17"/>
      <c r="CO16" s="17"/>
      <c r="CP16" s="17"/>
      <c r="CQ16" s="17"/>
      <c r="CR16" s="16"/>
      <c r="CS16" s="17"/>
      <c r="CT16" s="17"/>
      <c r="CU16" s="16"/>
      <c r="CV16" s="17"/>
      <c r="CW16" s="17"/>
      <c r="CX16" s="21"/>
      <c r="CY16" s="17"/>
      <c r="CZ16" s="97"/>
      <c r="DA16" s="97"/>
      <c r="DB16" s="97"/>
      <c r="DC16" s="133"/>
      <c r="DD16" s="100"/>
      <c r="DE16" s="100"/>
      <c r="DF16" s="100"/>
      <c r="DG16" s="97"/>
      <c r="DH16" s="98"/>
      <c r="DI16" s="97"/>
      <c r="DJ16" s="97"/>
      <c r="DK16" s="17"/>
      <c r="DL16" s="17"/>
      <c r="DM16" s="17"/>
      <c r="DN16" s="17"/>
      <c r="DO16" s="17"/>
      <c r="DP16" s="88"/>
      <c r="DQ16" s="88"/>
      <c r="DR16" s="88"/>
      <c r="DS16" s="88"/>
      <c r="DT16" s="88"/>
      <c r="DU16" s="88"/>
      <c r="DV16" s="100"/>
      <c r="DW16" s="100"/>
      <c r="DX16" s="100"/>
      <c r="DY16" s="100"/>
      <c r="DZ16" s="100"/>
      <c r="EA16" s="100"/>
      <c r="EB16" s="100"/>
      <c r="EC16" s="100"/>
      <c r="ED16" s="170"/>
      <c r="EE16" s="157"/>
      <c r="EF16" s="158"/>
      <c r="EG16" s="144"/>
      <c r="EH16" s="144"/>
      <c r="EI16" s="144"/>
      <c r="EJ16" s="100"/>
      <c r="EK16" s="100"/>
      <c r="EL16" s="100"/>
      <c r="EM16" s="107"/>
      <c r="EN16" s="123"/>
      <c r="EO16" s="100"/>
      <c r="EP16" s="100"/>
      <c r="EQ16" s="100"/>
      <c r="ER16" s="100"/>
      <c r="ES16" s="100"/>
      <c r="ET16" s="100"/>
      <c r="EU16" s="100"/>
      <c r="EV16" s="143"/>
      <c r="EW16" s="155">
        <v>45627</v>
      </c>
      <c r="EX16" s="156">
        <v>45657</v>
      </c>
      <c r="EY16" s="160">
        <f t="shared" si="35"/>
        <v>30</v>
      </c>
    </row>
    <row r="17" spans="1:155" s="65" customFormat="1" ht="14.95" customHeight="1" x14ac:dyDescent="0.25">
      <c r="A17" s="193"/>
      <c r="B17" s="186" t="s">
        <v>25</v>
      </c>
      <c r="C17" s="22" t="s">
        <v>177</v>
      </c>
      <c r="D17" s="23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88"/>
      <c r="BT17" s="88"/>
      <c r="BU17" s="88"/>
      <c r="BV17" s="88"/>
      <c r="BW17" s="88"/>
      <c r="BX17" s="88"/>
      <c r="BY17" s="88"/>
      <c r="BZ17" s="88"/>
      <c r="CA17" s="88"/>
      <c r="CB17" s="88"/>
      <c r="CC17" s="88"/>
      <c r="CD17" s="90"/>
      <c r="CE17" s="19"/>
      <c r="CF17" s="16"/>
      <c r="CG17" s="17"/>
      <c r="CH17" s="17"/>
      <c r="CI17" s="16"/>
      <c r="CJ17" s="17"/>
      <c r="CK17" s="17"/>
      <c r="CL17" s="16"/>
      <c r="CM17" s="17"/>
      <c r="CN17" s="17"/>
      <c r="CO17" s="17"/>
      <c r="CP17" s="17"/>
      <c r="CQ17" s="17"/>
      <c r="CR17" s="16"/>
      <c r="CS17" s="17"/>
      <c r="CT17" s="17"/>
      <c r="CU17" s="16"/>
      <c r="CV17" s="17"/>
      <c r="CW17" s="17"/>
      <c r="CX17" s="21"/>
      <c r="CY17" s="17"/>
      <c r="CZ17" s="97"/>
      <c r="DA17" s="97"/>
      <c r="DB17" s="97"/>
      <c r="DC17" s="133"/>
      <c r="DD17" s="100"/>
      <c r="DE17" s="100"/>
      <c r="DF17" s="100"/>
      <c r="DG17" s="97"/>
      <c r="DH17" s="98"/>
      <c r="DI17" s="97"/>
      <c r="DJ17" s="97"/>
      <c r="DK17" s="17"/>
      <c r="DL17" s="17"/>
      <c r="DM17" s="17"/>
      <c r="DN17" s="17"/>
      <c r="DO17" s="17"/>
      <c r="DP17" s="88"/>
      <c r="DQ17" s="88"/>
      <c r="DR17" s="88"/>
      <c r="DS17" s="88"/>
      <c r="DT17" s="88"/>
      <c r="DU17" s="88"/>
      <c r="DV17" s="144"/>
      <c r="DW17" s="144"/>
      <c r="DX17" s="144"/>
      <c r="DY17" s="100"/>
      <c r="DZ17" s="100"/>
      <c r="EA17" s="100"/>
      <c r="EB17" s="100"/>
      <c r="EC17" s="100"/>
      <c r="ED17" s="107"/>
      <c r="EE17" s="102"/>
      <c r="EF17" s="100"/>
      <c r="EG17" s="100"/>
      <c r="EH17" s="100"/>
      <c r="EI17" s="100"/>
      <c r="EJ17" s="100"/>
      <c r="EK17" s="100"/>
      <c r="EL17" s="100"/>
      <c r="EM17" s="107"/>
      <c r="EN17" s="123"/>
      <c r="EO17" s="100"/>
      <c r="EP17" s="100"/>
      <c r="EQ17" s="100"/>
      <c r="ER17" s="100"/>
      <c r="ES17" s="100"/>
      <c r="ET17" s="100"/>
      <c r="EU17" s="100"/>
      <c r="EV17" s="143"/>
      <c r="EW17" s="155">
        <v>45580</v>
      </c>
      <c r="EX17" s="156">
        <v>45595</v>
      </c>
      <c r="EY17" s="160">
        <f t="shared" si="35"/>
        <v>15</v>
      </c>
    </row>
    <row r="18" spans="1:155" s="65" customFormat="1" ht="14.95" customHeight="1" x14ac:dyDescent="0.25">
      <c r="A18" s="194"/>
      <c r="B18" s="188"/>
      <c r="C18" s="22" t="s">
        <v>178</v>
      </c>
      <c r="D18" s="23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7"/>
      <c r="BP18" s="27"/>
      <c r="BQ18" s="27"/>
      <c r="BR18" s="27"/>
      <c r="BS18" s="88"/>
      <c r="BT18" s="88"/>
      <c r="BU18" s="88"/>
      <c r="BV18" s="88"/>
      <c r="BW18" s="88"/>
      <c r="BX18" s="88"/>
      <c r="BY18" s="88"/>
      <c r="BZ18" s="88"/>
      <c r="CA18" s="88"/>
      <c r="CB18" s="88"/>
      <c r="CC18" s="88"/>
      <c r="CD18" s="90"/>
      <c r="CE18" s="19"/>
      <c r="CF18" s="16"/>
      <c r="CG18" s="17"/>
      <c r="CH18" s="17"/>
      <c r="CI18" s="16"/>
      <c r="CJ18" s="17"/>
      <c r="CK18" s="17"/>
      <c r="CL18" s="16"/>
      <c r="CM18" s="17"/>
      <c r="CN18" s="17"/>
      <c r="CO18" s="17"/>
      <c r="CP18" s="17"/>
      <c r="CQ18" s="17"/>
      <c r="CR18" s="16"/>
      <c r="CS18" s="17"/>
      <c r="CT18" s="17"/>
      <c r="CU18" s="16"/>
      <c r="CV18" s="17"/>
      <c r="CW18" s="17"/>
      <c r="CX18" s="21"/>
      <c r="CY18" s="17"/>
      <c r="CZ18" s="97"/>
      <c r="DA18" s="97"/>
      <c r="DB18" s="97"/>
      <c r="DC18" s="133"/>
      <c r="DD18" s="100"/>
      <c r="DE18" s="100"/>
      <c r="DF18" s="100"/>
      <c r="DG18" s="97"/>
      <c r="DH18" s="98"/>
      <c r="DI18" s="97"/>
      <c r="DJ18" s="97"/>
      <c r="DK18" s="17"/>
      <c r="DL18" s="17"/>
      <c r="DM18" s="17"/>
      <c r="DN18" s="17"/>
      <c r="DO18" s="17"/>
      <c r="DP18" s="88"/>
      <c r="DQ18" s="88"/>
      <c r="DR18" s="88"/>
      <c r="DS18" s="88"/>
      <c r="DT18" s="88"/>
      <c r="DU18" s="88"/>
      <c r="DV18" s="100"/>
      <c r="DW18" s="100"/>
      <c r="DX18" s="144"/>
      <c r="DY18" s="144"/>
      <c r="DZ18" s="144"/>
      <c r="EA18" s="144"/>
      <c r="EB18" s="100"/>
      <c r="EC18" s="100"/>
      <c r="ED18" s="107"/>
      <c r="EE18" s="102"/>
      <c r="EF18" s="100"/>
      <c r="EG18" s="100"/>
      <c r="EH18" s="100"/>
      <c r="EI18" s="100"/>
      <c r="EJ18" s="100"/>
      <c r="EK18" s="100"/>
      <c r="EL18" s="100"/>
      <c r="EM18" s="107"/>
      <c r="EN18" s="123"/>
      <c r="EO18" s="100"/>
      <c r="EP18" s="100"/>
      <c r="EQ18" s="100"/>
      <c r="ER18" s="100"/>
      <c r="ES18" s="100"/>
      <c r="ET18" s="100"/>
      <c r="EU18" s="100"/>
      <c r="EV18" s="143"/>
      <c r="EW18" s="155">
        <v>45595</v>
      </c>
      <c r="EX18" s="156">
        <v>45611</v>
      </c>
      <c r="EY18" s="160">
        <f t="shared" si="35"/>
        <v>16</v>
      </c>
    </row>
    <row r="19" spans="1:155" s="65" customFormat="1" ht="14.95" customHeight="1" x14ac:dyDescent="0.25">
      <c r="A19" s="194"/>
      <c r="B19" s="188"/>
      <c r="C19" s="22" t="s">
        <v>179</v>
      </c>
      <c r="D19" s="23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  <c r="BM19" s="27"/>
      <c r="BN19" s="27"/>
      <c r="BO19" s="27"/>
      <c r="BP19" s="27"/>
      <c r="BQ19" s="27"/>
      <c r="BR19" s="27"/>
      <c r="BS19" s="88"/>
      <c r="BT19" s="88"/>
      <c r="BU19" s="88"/>
      <c r="BV19" s="88"/>
      <c r="BW19" s="88"/>
      <c r="BX19" s="88"/>
      <c r="BY19" s="88"/>
      <c r="BZ19" s="88"/>
      <c r="CA19" s="88"/>
      <c r="CB19" s="88"/>
      <c r="CC19" s="88"/>
      <c r="CD19" s="90"/>
      <c r="CE19" s="19"/>
      <c r="CF19" s="16"/>
      <c r="CG19" s="17"/>
      <c r="CH19" s="17"/>
      <c r="CI19" s="16"/>
      <c r="CJ19" s="17"/>
      <c r="CK19" s="17"/>
      <c r="CL19" s="16"/>
      <c r="CM19" s="17"/>
      <c r="CN19" s="17"/>
      <c r="CO19" s="17"/>
      <c r="CP19" s="17"/>
      <c r="CQ19" s="17"/>
      <c r="CR19" s="16"/>
      <c r="CS19" s="17"/>
      <c r="CT19" s="17"/>
      <c r="CU19" s="16"/>
      <c r="CV19" s="17"/>
      <c r="CW19" s="17"/>
      <c r="CX19" s="21"/>
      <c r="CY19" s="17"/>
      <c r="CZ19" s="97"/>
      <c r="DA19" s="97"/>
      <c r="DB19" s="97"/>
      <c r="DC19" s="133"/>
      <c r="DD19" s="100"/>
      <c r="DE19" s="100"/>
      <c r="DF19" s="100"/>
      <c r="DG19" s="97"/>
      <c r="DH19" s="98"/>
      <c r="DI19" s="97"/>
      <c r="DJ19" s="97"/>
      <c r="DK19" s="17"/>
      <c r="DL19" s="17"/>
      <c r="DM19" s="17"/>
      <c r="DN19" s="17"/>
      <c r="DO19" s="17"/>
      <c r="DP19" s="88"/>
      <c r="DQ19" s="88"/>
      <c r="DR19" s="88"/>
      <c r="DS19" s="88"/>
      <c r="DT19" s="88"/>
      <c r="DU19" s="88"/>
      <c r="DV19" s="100"/>
      <c r="DW19" s="100"/>
      <c r="DX19" s="100"/>
      <c r="DY19" s="100"/>
      <c r="DZ19" s="100"/>
      <c r="EA19" s="144"/>
      <c r="EB19" s="144"/>
      <c r="EC19" s="144"/>
      <c r="ED19" s="157"/>
      <c r="EE19" s="102"/>
      <c r="EF19" s="100"/>
      <c r="EG19" s="100"/>
      <c r="EH19" s="100"/>
      <c r="EI19" s="100"/>
      <c r="EJ19" s="100"/>
      <c r="EK19" s="100"/>
      <c r="EL19" s="100"/>
      <c r="EM19" s="107"/>
      <c r="EN19" s="123"/>
      <c r="EO19" s="100"/>
      <c r="EP19" s="100"/>
      <c r="EQ19" s="100"/>
      <c r="ER19" s="100"/>
      <c r="ES19" s="100"/>
      <c r="ET19" s="100"/>
      <c r="EU19" s="100"/>
      <c r="EV19" s="143"/>
      <c r="EW19" s="155">
        <v>45611</v>
      </c>
      <c r="EX19" s="156">
        <v>45627</v>
      </c>
      <c r="EY19" s="160">
        <f t="shared" si="35"/>
        <v>16</v>
      </c>
    </row>
    <row r="20" spans="1:155" s="65" customFormat="1" ht="14.95" customHeight="1" x14ac:dyDescent="0.25">
      <c r="A20" s="195"/>
      <c r="B20" s="187"/>
      <c r="C20" s="22" t="s">
        <v>180</v>
      </c>
      <c r="D20" s="23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BM20" s="27"/>
      <c r="BN20" s="27"/>
      <c r="BO20" s="27"/>
      <c r="BP20" s="27"/>
      <c r="BQ20" s="27"/>
      <c r="BR20" s="27"/>
      <c r="BS20" s="88"/>
      <c r="BT20" s="88"/>
      <c r="BU20" s="88"/>
      <c r="BV20" s="88"/>
      <c r="BW20" s="88"/>
      <c r="BX20" s="88"/>
      <c r="BY20" s="88"/>
      <c r="BZ20" s="88"/>
      <c r="CA20" s="88"/>
      <c r="CB20" s="88"/>
      <c r="CC20" s="88"/>
      <c r="CD20" s="90"/>
      <c r="CE20" s="19"/>
      <c r="CF20" s="16"/>
      <c r="CG20" s="17"/>
      <c r="CH20" s="17"/>
      <c r="CI20" s="16"/>
      <c r="CJ20" s="17"/>
      <c r="CK20" s="17"/>
      <c r="CL20" s="16"/>
      <c r="CM20" s="17"/>
      <c r="CN20" s="17"/>
      <c r="CO20" s="17"/>
      <c r="CP20" s="17"/>
      <c r="CQ20" s="17"/>
      <c r="CR20" s="16"/>
      <c r="CS20" s="17"/>
      <c r="CT20" s="17"/>
      <c r="CU20" s="16"/>
      <c r="CV20" s="17"/>
      <c r="CW20" s="17"/>
      <c r="CX20" s="21"/>
      <c r="CY20" s="17"/>
      <c r="CZ20" s="97"/>
      <c r="DA20" s="97"/>
      <c r="DB20" s="97"/>
      <c r="DC20" s="133"/>
      <c r="DD20" s="100"/>
      <c r="DE20" s="100"/>
      <c r="DF20" s="100"/>
      <c r="DG20" s="97"/>
      <c r="DH20" s="98"/>
      <c r="DI20" s="97"/>
      <c r="DJ20" s="97"/>
      <c r="DK20" s="17"/>
      <c r="DL20" s="17"/>
      <c r="DM20" s="17"/>
      <c r="DN20" s="17"/>
      <c r="DO20" s="17"/>
      <c r="DP20" s="88"/>
      <c r="DQ20" s="88"/>
      <c r="DR20" s="88"/>
      <c r="DS20" s="88"/>
      <c r="DT20" s="88"/>
      <c r="DU20" s="88"/>
      <c r="DV20" s="100"/>
      <c r="DW20" s="100"/>
      <c r="DX20" s="100"/>
      <c r="DY20" s="100"/>
      <c r="DZ20" s="100"/>
      <c r="EA20" s="100"/>
      <c r="EB20" s="100"/>
      <c r="EC20" s="100"/>
      <c r="ED20" s="107"/>
      <c r="EE20" s="102"/>
      <c r="EF20" s="100"/>
      <c r="EG20" s="100"/>
      <c r="EH20" s="100"/>
      <c r="EI20" s="100"/>
      <c r="EJ20" s="100"/>
      <c r="EK20" s="100"/>
      <c r="EL20" s="100"/>
      <c r="EM20" s="107"/>
      <c r="EN20" s="123"/>
      <c r="EO20" s="144"/>
      <c r="EP20" s="144"/>
      <c r="EQ20" s="144"/>
      <c r="ER20" s="144"/>
      <c r="ES20" s="100"/>
      <c r="ET20" s="100"/>
      <c r="EU20" s="100"/>
      <c r="EV20" s="143"/>
      <c r="EW20" s="155">
        <v>45689</v>
      </c>
      <c r="EX20" s="156">
        <v>45703</v>
      </c>
      <c r="EY20" s="160">
        <f t="shared" si="35"/>
        <v>14</v>
      </c>
    </row>
    <row r="21" spans="1:155" s="65" customFormat="1" ht="14.95" customHeight="1" x14ac:dyDescent="0.25">
      <c r="A21" s="193"/>
      <c r="B21" s="186" t="s">
        <v>30</v>
      </c>
      <c r="C21" s="22" t="s">
        <v>51</v>
      </c>
      <c r="D21" s="23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7"/>
      <c r="BP21" s="27"/>
      <c r="BQ21" s="27"/>
      <c r="BR21" s="27"/>
      <c r="BS21" s="88"/>
      <c r="BT21" s="88"/>
      <c r="BU21" s="88"/>
      <c r="BV21" s="88"/>
      <c r="BW21" s="88"/>
      <c r="BX21" s="88"/>
      <c r="BY21" s="88"/>
      <c r="BZ21" s="88"/>
      <c r="CA21" s="88"/>
      <c r="CB21" s="88"/>
      <c r="CC21" s="88"/>
      <c r="CD21" s="90"/>
      <c r="CE21" s="19"/>
      <c r="CF21" s="16"/>
      <c r="CG21" s="17"/>
      <c r="CH21" s="17"/>
      <c r="CI21" s="16"/>
      <c r="CJ21" s="17"/>
      <c r="CK21" s="17"/>
      <c r="CL21" s="16"/>
      <c r="CM21" s="17"/>
      <c r="CN21" s="17"/>
      <c r="CO21" s="17"/>
      <c r="CP21" s="17"/>
      <c r="CQ21" s="17"/>
      <c r="CR21" s="16"/>
      <c r="CS21" s="17"/>
      <c r="CT21" s="17"/>
      <c r="CU21" s="16"/>
      <c r="CV21" s="17"/>
      <c r="CW21" s="17"/>
      <c r="CX21" s="21"/>
      <c r="CY21" s="17"/>
      <c r="CZ21" s="97"/>
      <c r="DA21" s="97"/>
      <c r="DB21" s="97"/>
      <c r="DC21" s="133"/>
      <c r="DD21" s="100"/>
      <c r="DE21" s="100"/>
      <c r="DF21" s="100"/>
      <c r="DG21" s="97"/>
      <c r="DH21" s="98"/>
      <c r="DI21" s="97"/>
      <c r="DJ21" s="97"/>
      <c r="DK21" s="17"/>
      <c r="DL21" s="17"/>
      <c r="DM21" s="17"/>
      <c r="DN21" s="17"/>
      <c r="DO21" s="17"/>
      <c r="DP21" s="88"/>
      <c r="DQ21" s="88"/>
      <c r="DR21" s="88"/>
      <c r="DS21" s="88"/>
      <c r="DT21" s="88"/>
      <c r="DU21" s="88"/>
      <c r="DV21" s="100"/>
      <c r="DW21" s="100"/>
      <c r="DX21" s="100"/>
      <c r="DY21" s="100"/>
      <c r="DZ21" s="100"/>
      <c r="EA21" s="100"/>
      <c r="EB21" s="100"/>
      <c r="EC21" s="100"/>
      <c r="ED21" s="107"/>
      <c r="EE21" s="102"/>
      <c r="EF21" s="100"/>
      <c r="EG21" s="100"/>
      <c r="EH21" s="100"/>
      <c r="EI21" s="144"/>
      <c r="EJ21" s="144"/>
      <c r="EK21" s="144"/>
      <c r="EL21" s="144"/>
      <c r="EM21" s="107"/>
      <c r="EN21" s="123"/>
      <c r="EO21" s="100"/>
      <c r="EP21" s="100"/>
      <c r="EQ21" s="100"/>
      <c r="ER21" s="100"/>
      <c r="ES21" s="100"/>
      <c r="ET21" s="100"/>
      <c r="EU21" s="100"/>
      <c r="EV21" s="143"/>
      <c r="EW21" s="155">
        <v>45658</v>
      </c>
      <c r="EX21" s="156">
        <v>45672</v>
      </c>
      <c r="EY21" s="160">
        <f t="shared" si="35"/>
        <v>14</v>
      </c>
    </row>
    <row r="22" spans="1:155" s="65" customFormat="1" ht="14.95" customHeight="1" x14ac:dyDescent="0.25">
      <c r="A22" s="194"/>
      <c r="B22" s="188"/>
      <c r="C22" s="22" t="s">
        <v>31</v>
      </c>
      <c r="D22" s="23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88"/>
      <c r="BT22" s="88"/>
      <c r="BU22" s="88"/>
      <c r="BV22" s="88"/>
      <c r="BW22" s="88"/>
      <c r="BX22" s="88"/>
      <c r="BY22" s="88"/>
      <c r="BZ22" s="88"/>
      <c r="CA22" s="88"/>
      <c r="CB22" s="88"/>
      <c r="CC22" s="88"/>
      <c r="CD22" s="90"/>
      <c r="CE22" s="19"/>
      <c r="CF22" s="16"/>
      <c r="CG22" s="17"/>
      <c r="CH22" s="17"/>
      <c r="CI22" s="16"/>
      <c r="CJ22" s="17"/>
      <c r="CK22" s="17"/>
      <c r="CL22" s="100"/>
      <c r="CM22" s="100"/>
      <c r="CN22" s="97"/>
      <c r="CO22" s="97"/>
      <c r="CP22" s="97"/>
      <c r="CQ22" s="97"/>
      <c r="CR22" s="98"/>
      <c r="CS22" s="97"/>
      <c r="CT22" s="88"/>
      <c r="CU22" s="88"/>
      <c r="CV22" s="88"/>
      <c r="CW22" s="88"/>
      <c r="CX22" s="88"/>
      <c r="CY22" s="17"/>
      <c r="CZ22" s="17"/>
      <c r="DA22" s="17"/>
      <c r="DB22" s="17"/>
      <c r="DC22" s="133"/>
      <c r="DD22" s="88"/>
      <c r="DE22" s="88"/>
      <c r="DF22" s="17"/>
      <c r="DG22" s="17"/>
      <c r="DH22" s="16"/>
      <c r="DI22" s="17"/>
      <c r="DJ22" s="17"/>
      <c r="DK22" s="17"/>
      <c r="DL22" s="17"/>
      <c r="DM22" s="17"/>
      <c r="DN22" s="17"/>
      <c r="DO22" s="17"/>
      <c r="DP22" s="88"/>
      <c r="DQ22" s="88"/>
      <c r="DR22" s="88"/>
      <c r="DS22" s="88"/>
      <c r="DT22" s="88"/>
      <c r="DU22" s="88"/>
      <c r="DV22" s="100"/>
      <c r="DW22" s="100"/>
      <c r="DX22" s="100"/>
      <c r="DY22" s="100"/>
      <c r="DZ22" s="100"/>
      <c r="EA22" s="100"/>
      <c r="EB22" s="100"/>
      <c r="EC22" s="100"/>
      <c r="ED22" s="107"/>
      <c r="EE22" s="102"/>
      <c r="EF22" s="100"/>
      <c r="EG22" s="100"/>
      <c r="EH22" s="100"/>
      <c r="EI22" s="100"/>
      <c r="EJ22" s="100"/>
      <c r="EK22" s="100"/>
      <c r="EL22" s="144"/>
      <c r="EM22" s="157"/>
      <c r="EN22" s="164"/>
      <c r="EO22" s="144"/>
      <c r="EP22" s="97"/>
      <c r="EQ22" s="97"/>
      <c r="ER22" s="100"/>
      <c r="ES22" s="100"/>
      <c r="ET22" s="100"/>
      <c r="EU22" s="100"/>
      <c r="EV22" s="143"/>
      <c r="EW22" s="155">
        <v>45672</v>
      </c>
      <c r="EX22" s="156">
        <v>45688</v>
      </c>
      <c r="EY22" s="160">
        <f t="shared" si="35"/>
        <v>16</v>
      </c>
    </row>
    <row r="23" spans="1:155" s="65" customFormat="1" ht="14.95" customHeight="1" x14ac:dyDescent="0.25">
      <c r="A23" s="195"/>
      <c r="B23" s="187"/>
      <c r="C23" s="22" t="s">
        <v>32</v>
      </c>
      <c r="D23" s="23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  <c r="BS23" s="88"/>
      <c r="BT23" s="88"/>
      <c r="BU23" s="88"/>
      <c r="BV23" s="88"/>
      <c r="BW23" s="88"/>
      <c r="BX23" s="88"/>
      <c r="BY23" s="88"/>
      <c r="BZ23" s="88"/>
      <c r="CA23" s="88"/>
      <c r="CB23" s="88"/>
      <c r="CC23" s="88"/>
      <c r="CD23" s="90"/>
      <c r="CE23" s="19"/>
      <c r="CF23" s="16"/>
      <c r="CG23" s="17"/>
      <c r="CH23" s="17"/>
      <c r="CI23" s="16"/>
      <c r="CJ23" s="17"/>
      <c r="CK23" s="17"/>
      <c r="CL23" s="98"/>
      <c r="CM23" s="97"/>
      <c r="CN23" s="97"/>
      <c r="CO23" s="97"/>
      <c r="CP23" s="97"/>
      <c r="CQ23" s="97"/>
      <c r="CR23" s="98"/>
      <c r="CS23" s="97"/>
      <c r="CT23" s="17"/>
      <c r="CU23" s="16"/>
      <c r="CV23" s="17"/>
      <c r="CW23" s="17"/>
      <c r="CX23" s="21"/>
      <c r="CY23" s="17"/>
      <c r="CZ23" s="17"/>
      <c r="DA23" s="17"/>
      <c r="DB23" s="17"/>
      <c r="DC23" s="133"/>
      <c r="DD23" s="88"/>
      <c r="DE23" s="88"/>
      <c r="DF23" s="17"/>
      <c r="DG23" s="17"/>
      <c r="DH23" s="16"/>
      <c r="DI23" s="17"/>
      <c r="DJ23" s="17"/>
      <c r="DK23" s="17"/>
      <c r="DL23" s="17"/>
      <c r="DM23" s="17"/>
      <c r="DN23" s="17"/>
      <c r="DO23" s="17"/>
      <c r="DP23" s="88"/>
      <c r="DQ23" s="88"/>
      <c r="DR23" s="88"/>
      <c r="DS23" s="88"/>
      <c r="DT23" s="88"/>
      <c r="DU23" s="88"/>
      <c r="DV23" s="100"/>
      <c r="DW23" s="100"/>
      <c r="DX23" s="100"/>
      <c r="DY23" s="100"/>
      <c r="DZ23" s="100"/>
      <c r="EA23" s="100"/>
      <c r="EB23" s="100"/>
      <c r="EC23" s="100"/>
      <c r="ED23" s="107"/>
      <c r="EE23" s="102"/>
      <c r="EF23" s="100"/>
      <c r="EG23" s="100"/>
      <c r="EH23" s="100"/>
      <c r="EI23" s="100"/>
      <c r="EJ23" s="100"/>
      <c r="EK23" s="100"/>
      <c r="EL23" s="144"/>
      <c r="EM23" s="157"/>
      <c r="EN23" s="164"/>
      <c r="EO23" s="144"/>
      <c r="EP23" s="100"/>
      <c r="EQ23" s="100"/>
      <c r="ER23" s="100"/>
      <c r="ES23" s="100"/>
      <c r="ET23" s="100"/>
      <c r="EU23" s="100"/>
      <c r="EV23" s="143"/>
      <c r="EW23" s="155">
        <v>45672</v>
      </c>
      <c r="EX23" s="156">
        <v>45688</v>
      </c>
      <c r="EY23" s="160">
        <f t="shared" si="35"/>
        <v>16</v>
      </c>
    </row>
    <row r="24" spans="1:155" s="65" customFormat="1" ht="14.95" customHeight="1" x14ac:dyDescent="0.25">
      <c r="A24" s="193">
        <v>3</v>
      </c>
      <c r="B24" s="186" t="s">
        <v>33</v>
      </c>
      <c r="C24" s="22" t="s">
        <v>34</v>
      </c>
      <c r="D24" s="23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88"/>
      <c r="AI24" s="88"/>
      <c r="AJ24" s="26"/>
      <c r="AK24" s="26"/>
      <c r="AL24" s="26"/>
      <c r="AM24" s="26"/>
      <c r="AN24" s="88"/>
      <c r="AO24" s="24"/>
      <c r="AP24" s="24"/>
      <c r="AQ24" s="24"/>
      <c r="AR24" s="24"/>
      <c r="AS24" s="24"/>
      <c r="AT24" s="24"/>
      <c r="AU24" s="24"/>
      <c r="AV24" s="24"/>
      <c r="AW24" s="24"/>
      <c r="AX24" s="24"/>
      <c r="AY24" s="24"/>
      <c r="AZ24" s="24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88"/>
      <c r="BT24" s="88"/>
      <c r="BU24" s="88"/>
      <c r="BV24" s="88"/>
      <c r="BW24" s="88"/>
      <c r="BX24" s="88"/>
      <c r="BY24" s="88"/>
      <c r="BZ24" s="88"/>
      <c r="CA24" s="88"/>
      <c r="CB24" s="88"/>
      <c r="CC24" s="88"/>
      <c r="CD24" s="90"/>
      <c r="CE24" s="19"/>
      <c r="CF24" s="16"/>
      <c r="CG24" s="17"/>
      <c r="CH24" s="17"/>
      <c r="CI24" s="16"/>
      <c r="CJ24" s="17"/>
      <c r="CK24" s="20"/>
      <c r="CL24" s="30"/>
      <c r="CM24" s="20"/>
      <c r="CN24" s="20"/>
      <c r="CO24" s="20"/>
      <c r="CP24" s="20"/>
      <c r="CQ24" s="106"/>
      <c r="CR24" s="106"/>
      <c r="CS24" s="106"/>
      <c r="CT24" s="106"/>
      <c r="CU24" s="106"/>
      <c r="CV24" s="106"/>
      <c r="CW24" s="106"/>
      <c r="CX24" s="105"/>
      <c r="CY24" s="104"/>
      <c r="CZ24" s="104"/>
      <c r="DA24" s="104"/>
      <c r="DB24" s="104"/>
      <c r="DC24" s="133"/>
      <c r="DD24" s="106"/>
      <c r="DE24" s="106"/>
      <c r="DF24" s="20"/>
      <c r="DG24" s="30"/>
      <c r="DH24" s="20"/>
      <c r="DI24" s="20"/>
      <c r="DJ24" s="30"/>
      <c r="DK24" s="104"/>
      <c r="DL24" s="104"/>
      <c r="DM24" s="104"/>
      <c r="DN24" s="104"/>
      <c r="DO24" s="104"/>
      <c r="DP24" s="106"/>
      <c r="DQ24" s="106"/>
      <c r="DR24" s="92"/>
      <c r="DS24" s="92"/>
      <c r="DT24" s="92"/>
      <c r="DU24" s="92"/>
      <c r="DV24" s="144"/>
      <c r="DW24" s="144"/>
      <c r="DX24" s="144"/>
      <c r="DY24" s="144"/>
      <c r="DZ24" s="144"/>
      <c r="EA24" s="144"/>
      <c r="EB24" s="100"/>
      <c r="EC24" s="100"/>
      <c r="ED24" s="107"/>
      <c r="EE24" s="102"/>
      <c r="EF24" s="100"/>
      <c r="EG24" s="100"/>
      <c r="EH24" s="100"/>
      <c r="EI24" s="100"/>
      <c r="EJ24" s="100"/>
      <c r="EK24" s="100"/>
      <c r="EL24" s="100"/>
      <c r="EM24" s="107"/>
      <c r="EN24" s="123"/>
      <c r="EO24" s="100"/>
      <c r="EP24" s="100"/>
      <c r="EQ24" s="100"/>
      <c r="ER24" s="100"/>
      <c r="ES24" s="100"/>
      <c r="ET24" s="100"/>
      <c r="EU24" s="100"/>
      <c r="EV24" s="143"/>
      <c r="EW24" s="155">
        <v>45580</v>
      </c>
      <c r="EX24" s="156">
        <v>45611</v>
      </c>
      <c r="EY24" s="160">
        <f t="shared" si="35"/>
        <v>31</v>
      </c>
    </row>
    <row r="25" spans="1:155" s="65" customFormat="1" ht="14.95" customHeight="1" x14ac:dyDescent="0.25">
      <c r="A25" s="194"/>
      <c r="B25" s="188"/>
      <c r="C25" s="22" t="s">
        <v>35</v>
      </c>
      <c r="D25" s="23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88"/>
      <c r="AL25" s="26"/>
      <c r="AM25" s="26"/>
      <c r="AN25" s="26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88"/>
      <c r="BT25" s="88"/>
      <c r="BU25" s="88"/>
      <c r="BV25" s="88"/>
      <c r="BW25" s="88"/>
      <c r="BX25" s="88"/>
      <c r="BY25" s="88"/>
      <c r="BZ25" s="88"/>
      <c r="CA25" s="88"/>
      <c r="CB25" s="88"/>
      <c r="CC25" s="88"/>
      <c r="CD25" s="90"/>
      <c r="CE25" s="19"/>
      <c r="CF25" s="16"/>
      <c r="CG25" s="17"/>
      <c r="CH25" s="17"/>
      <c r="CI25" s="16"/>
      <c r="CJ25" s="17"/>
      <c r="CK25" s="20"/>
      <c r="CL25" s="30"/>
      <c r="CM25" s="20"/>
      <c r="CN25" s="20"/>
      <c r="CO25" s="20"/>
      <c r="CP25" s="20"/>
      <c r="CQ25" s="104"/>
      <c r="CR25" s="103"/>
      <c r="CS25" s="104"/>
      <c r="CT25" s="104"/>
      <c r="CU25" s="103"/>
      <c r="CV25" s="104"/>
      <c r="CW25" s="104"/>
      <c r="CX25" s="105"/>
      <c r="CY25" s="104"/>
      <c r="CZ25" s="104"/>
      <c r="DA25" s="104"/>
      <c r="DB25" s="104"/>
      <c r="DC25" s="133"/>
      <c r="DD25" s="106"/>
      <c r="DE25" s="106"/>
      <c r="DF25" s="20"/>
      <c r="DG25" s="20"/>
      <c r="DH25" s="30"/>
      <c r="DI25" s="20"/>
      <c r="DJ25" s="20"/>
      <c r="DK25" s="104"/>
      <c r="DL25" s="104"/>
      <c r="DM25" s="104"/>
      <c r="DN25" s="104"/>
      <c r="DO25" s="104"/>
      <c r="DP25" s="106"/>
      <c r="DQ25" s="106"/>
      <c r="DR25" s="106"/>
      <c r="DS25" s="106"/>
      <c r="DT25" s="106"/>
      <c r="DU25" s="106"/>
      <c r="DV25" s="100"/>
      <c r="DW25" s="100"/>
      <c r="DX25" s="100"/>
      <c r="DY25" s="100"/>
      <c r="DZ25" s="100"/>
      <c r="EA25" s="144"/>
      <c r="EB25" s="144"/>
      <c r="EC25" s="144"/>
      <c r="ED25" s="107"/>
      <c r="EE25" s="102"/>
      <c r="EF25" s="100"/>
      <c r="EG25" s="100"/>
      <c r="EH25" s="100"/>
      <c r="EI25" s="100"/>
      <c r="EJ25" s="100"/>
      <c r="EK25" s="100"/>
      <c r="EL25" s="100"/>
      <c r="EM25" s="107"/>
      <c r="EN25" s="123"/>
      <c r="EO25" s="100"/>
      <c r="EP25" s="100"/>
      <c r="EQ25" s="100"/>
      <c r="ER25" s="100"/>
      <c r="ES25" s="100"/>
      <c r="ET25" s="100"/>
      <c r="EU25" s="100"/>
      <c r="EV25" s="143"/>
      <c r="EW25" s="155">
        <v>45611</v>
      </c>
      <c r="EX25" s="156">
        <v>45626</v>
      </c>
      <c r="EY25" s="160">
        <f t="shared" si="35"/>
        <v>15</v>
      </c>
    </row>
    <row r="26" spans="1:155" s="65" customFormat="1" ht="14.95" customHeight="1" x14ac:dyDescent="0.25">
      <c r="A26" s="194"/>
      <c r="B26" s="188"/>
      <c r="C26" s="22" t="s">
        <v>36</v>
      </c>
      <c r="D26" s="23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88"/>
      <c r="AL26" s="88"/>
      <c r="AM26" s="24"/>
      <c r="AN26" s="26"/>
      <c r="AO26" s="26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  <c r="BS26" s="88"/>
      <c r="BT26" s="88"/>
      <c r="BU26" s="88"/>
      <c r="BV26" s="88"/>
      <c r="BW26" s="88"/>
      <c r="BX26" s="88"/>
      <c r="BY26" s="88"/>
      <c r="BZ26" s="88"/>
      <c r="CA26" s="88"/>
      <c r="CB26" s="88"/>
      <c r="CC26" s="88"/>
      <c r="CD26" s="90"/>
      <c r="CE26" s="19"/>
      <c r="CF26" s="16"/>
      <c r="CG26" s="17"/>
      <c r="CH26" s="17"/>
      <c r="CI26" s="16"/>
      <c r="CJ26" s="17"/>
      <c r="CK26" s="97"/>
      <c r="CL26" s="98"/>
      <c r="CM26" s="97"/>
      <c r="CN26" s="97"/>
      <c r="CO26" s="97"/>
      <c r="CP26" s="97"/>
      <c r="CQ26" s="97"/>
      <c r="CR26" s="98"/>
      <c r="CS26" s="97"/>
      <c r="CT26" s="97"/>
      <c r="CU26" s="98"/>
      <c r="CV26" s="97"/>
      <c r="CW26" s="97"/>
      <c r="CX26" s="99"/>
      <c r="CY26" s="97"/>
      <c r="CZ26" s="97"/>
      <c r="DA26" s="97"/>
      <c r="DB26" s="97"/>
      <c r="DC26" s="133"/>
      <c r="DD26" s="100"/>
      <c r="DE26" s="100"/>
      <c r="DF26" s="97"/>
      <c r="DG26" s="97"/>
      <c r="DH26" s="98"/>
      <c r="DI26" s="97"/>
      <c r="DJ26" s="97"/>
      <c r="DK26" s="97"/>
      <c r="DL26" s="97"/>
      <c r="DM26" s="97"/>
      <c r="DN26" s="97"/>
      <c r="DO26" s="97"/>
      <c r="DP26" s="100"/>
      <c r="DQ26" s="100"/>
      <c r="DR26" s="100"/>
      <c r="DS26" s="100"/>
      <c r="DT26" s="100"/>
      <c r="DU26" s="100"/>
      <c r="DV26" s="100"/>
      <c r="DW26" s="100"/>
      <c r="DX26" s="100"/>
      <c r="DY26" s="100"/>
      <c r="DZ26" s="100"/>
      <c r="EA26" s="100"/>
      <c r="EB26" s="100"/>
      <c r="EC26" s="144"/>
      <c r="ED26" s="157"/>
      <c r="EE26" s="158"/>
      <c r="EF26" s="144"/>
      <c r="EG26" s="100"/>
      <c r="EH26" s="100"/>
      <c r="EI26" s="100"/>
      <c r="EJ26" s="100"/>
      <c r="EK26" s="100"/>
      <c r="EL26" s="100"/>
      <c r="EM26" s="107"/>
      <c r="EN26" s="123"/>
      <c r="EO26" s="100"/>
      <c r="EP26" s="100"/>
      <c r="EQ26" s="100"/>
      <c r="ER26" s="100"/>
      <c r="ES26" s="100"/>
      <c r="ET26" s="100"/>
      <c r="EU26" s="100"/>
      <c r="EV26" s="143"/>
      <c r="EW26" s="155">
        <v>45626</v>
      </c>
      <c r="EX26" s="156">
        <v>45641</v>
      </c>
      <c r="EY26" s="160">
        <f t="shared" si="35"/>
        <v>15</v>
      </c>
    </row>
    <row r="27" spans="1:155" s="65" customFormat="1" ht="14.95" customHeight="1" x14ac:dyDescent="0.25">
      <c r="A27" s="194"/>
      <c r="B27" s="188"/>
      <c r="C27" s="22" t="s">
        <v>37</v>
      </c>
      <c r="D27" s="23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6"/>
      <c r="AL27" s="26"/>
      <c r="AM27" s="26"/>
      <c r="AN27" s="31"/>
      <c r="AO27" s="31"/>
      <c r="AP27" s="31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  <c r="BS27" s="88"/>
      <c r="BT27" s="88"/>
      <c r="BU27" s="88"/>
      <c r="BV27" s="88"/>
      <c r="BW27" s="88"/>
      <c r="BX27" s="88"/>
      <c r="BY27" s="88"/>
      <c r="BZ27" s="88"/>
      <c r="CA27" s="88"/>
      <c r="CB27" s="88"/>
      <c r="CC27" s="88"/>
      <c r="CD27" s="90"/>
      <c r="CE27" s="19"/>
      <c r="CF27" s="16"/>
      <c r="CG27" s="17"/>
      <c r="CH27" s="20"/>
      <c r="CI27" s="30"/>
      <c r="CJ27" s="20"/>
      <c r="CK27" s="20"/>
      <c r="CL27" s="30"/>
      <c r="CM27" s="104"/>
      <c r="CN27" s="104"/>
      <c r="CO27" s="104"/>
      <c r="CP27" s="104"/>
      <c r="CQ27" s="104"/>
      <c r="CR27" s="103"/>
      <c r="CS27" s="104"/>
      <c r="CT27" s="104"/>
      <c r="CU27" s="103"/>
      <c r="CV27" s="104"/>
      <c r="CW27" s="104"/>
      <c r="CX27" s="105"/>
      <c r="CY27" s="104"/>
      <c r="CZ27" s="104"/>
      <c r="DA27" s="104"/>
      <c r="DB27" s="104"/>
      <c r="DC27" s="133"/>
      <c r="DD27" s="106"/>
      <c r="DE27" s="106"/>
      <c r="DF27" s="104"/>
      <c r="DG27" s="104"/>
      <c r="DH27" s="103"/>
      <c r="DI27" s="104"/>
      <c r="DJ27" s="104"/>
      <c r="DK27" s="104"/>
      <c r="DL27" s="104"/>
      <c r="DM27" s="104"/>
      <c r="DN27" s="104"/>
      <c r="DO27" s="104"/>
      <c r="DP27" s="106"/>
      <c r="DQ27" s="106"/>
      <c r="DR27" s="106"/>
      <c r="DS27" s="106"/>
      <c r="DT27" s="92"/>
      <c r="DU27" s="92"/>
      <c r="DV27" s="144"/>
      <c r="DW27" s="144"/>
      <c r="DX27" s="144"/>
      <c r="DY27" s="144"/>
      <c r="DZ27" s="144"/>
      <c r="EA27" s="144"/>
      <c r="EB27" s="144"/>
      <c r="EC27" s="144"/>
      <c r="ED27" s="157"/>
      <c r="EE27" s="158"/>
      <c r="EF27" s="144"/>
      <c r="EG27" s="100"/>
      <c r="EH27" s="100"/>
      <c r="EI27" s="100"/>
      <c r="EJ27" s="100"/>
      <c r="EK27" s="100"/>
      <c r="EL27" s="100"/>
      <c r="EM27" s="107"/>
      <c r="EN27" s="123"/>
      <c r="EO27" s="100"/>
      <c r="EP27" s="100"/>
      <c r="EQ27" s="100"/>
      <c r="ER27" s="100"/>
      <c r="ES27" s="100"/>
      <c r="ET27" s="100"/>
      <c r="EU27" s="100"/>
      <c r="EV27" s="143"/>
      <c r="EW27" s="155">
        <v>45580</v>
      </c>
      <c r="EX27" s="156">
        <v>45611</v>
      </c>
      <c r="EY27" s="160">
        <f t="shared" si="35"/>
        <v>31</v>
      </c>
    </row>
    <row r="28" spans="1:155" s="65" customFormat="1" ht="14.95" customHeight="1" x14ac:dyDescent="0.25">
      <c r="A28" s="194"/>
      <c r="B28" s="188"/>
      <c r="C28" s="22" t="s">
        <v>38</v>
      </c>
      <c r="D28" s="23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  <c r="BS28" s="88"/>
      <c r="BT28" s="88"/>
      <c r="BU28" s="88"/>
      <c r="BV28" s="88"/>
      <c r="BW28" s="88"/>
      <c r="BX28" s="88"/>
      <c r="BY28" s="88"/>
      <c r="BZ28" s="88"/>
      <c r="CA28" s="88"/>
      <c r="CB28" s="88"/>
      <c r="CC28" s="88"/>
      <c r="CD28" s="90"/>
      <c r="CE28" s="19"/>
      <c r="CF28" s="16"/>
      <c r="CG28" s="17"/>
      <c r="CH28" s="17"/>
      <c r="CI28" s="16"/>
      <c r="CJ28" s="17"/>
      <c r="CK28" s="17"/>
      <c r="CL28" s="16"/>
      <c r="CM28" s="17"/>
      <c r="CN28" s="17"/>
      <c r="CO28" s="17"/>
      <c r="CP28" s="17"/>
      <c r="CQ28" s="17"/>
      <c r="CR28" s="16"/>
      <c r="CS28" s="97"/>
      <c r="CT28" s="97"/>
      <c r="CU28" s="98"/>
      <c r="CV28" s="97"/>
      <c r="CW28" s="97"/>
      <c r="CX28" s="99"/>
      <c r="CY28" s="97"/>
      <c r="CZ28" s="97"/>
      <c r="DA28" s="97"/>
      <c r="DB28" s="97"/>
      <c r="DC28" s="133"/>
      <c r="DD28" s="97"/>
      <c r="DE28" s="98"/>
      <c r="DF28" s="97"/>
      <c r="DG28" s="97"/>
      <c r="DH28" s="98"/>
      <c r="DI28" s="97"/>
      <c r="DJ28" s="97"/>
      <c r="DK28" s="97"/>
      <c r="DL28" s="97"/>
      <c r="DM28" s="97"/>
      <c r="DN28" s="97"/>
      <c r="DO28" s="97"/>
      <c r="DP28" s="100"/>
      <c r="DQ28" s="100"/>
      <c r="DR28" s="100"/>
      <c r="DS28" s="100"/>
      <c r="DT28" s="100"/>
      <c r="DU28" s="88"/>
      <c r="DV28" s="100"/>
      <c r="DW28" s="100"/>
      <c r="DX28" s="100"/>
      <c r="DY28" s="100"/>
      <c r="DZ28" s="100"/>
      <c r="EA28" s="100"/>
      <c r="EB28" s="100"/>
      <c r="EC28" s="100"/>
      <c r="ED28" s="107"/>
      <c r="EE28" s="102"/>
      <c r="EF28" s="144"/>
      <c r="EG28" s="144"/>
      <c r="EH28" s="144"/>
      <c r="EI28" s="144"/>
      <c r="EJ28" s="144"/>
      <c r="EK28" s="144"/>
      <c r="EL28" s="144"/>
      <c r="EM28" s="107"/>
      <c r="EN28" s="123"/>
      <c r="EO28" s="100"/>
      <c r="EP28" s="100"/>
      <c r="EQ28" s="100"/>
      <c r="ER28" s="100"/>
      <c r="ES28" s="100"/>
      <c r="ET28" s="100"/>
      <c r="EU28" s="100"/>
      <c r="EV28" s="143"/>
      <c r="EW28" s="155">
        <v>45641</v>
      </c>
      <c r="EX28" s="156">
        <v>45672</v>
      </c>
      <c r="EY28" s="160">
        <f t="shared" si="35"/>
        <v>31</v>
      </c>
    </row>
    <row r="29" spans="1:155" s="65" customFormat="1" ht="14.95" customHeight="1" x14ac:dyDescent="0.25">
      <c r="A29" s="194"/>
      <c r="B29" s="188"/>
      <c r="C29" s="22" t="s">
        <v>39</v>
      </c>
      <c r="D29" s="23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24"/>
      <c r="AY29" s="24"/>
      <c r="AZ29" s="24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  <c r="BS29" s="88"/>
      <c r="BT29" s="88"/>
      <c r="BU29" s="88"/>
      <c r="BV29" s="88"/>
      <c r="BW29" s="88"/>
      <c r="BX29" s="88"/>
      <c r="BY29" s="88"/>
      <c r="BZ29" s="88"/>
      <c r="CA29" s="88"/>
      <c r="CB29" s="88"/>
      <c r="CC29" s="88"/>
      <c r="CD29" s="90"/>
      <c r="CE29" s="19"/>
      <c r="CF29" s="16"/>
      <c r="CG29" s="17"/>
      <c r="CH29" s="17"/>
      <c r="CI29" s="16"/>
      <c r="CJ29" s="17"/>
      <c r="CK29" s="17"/>
      <c r="CL29" s="16"/>
      <c r="CM29" s="17"/>
      <c r="CN29" s="20"/>
      <c r="CO29" s="20"/>
      <c r="CP29" s="20"/>
      <c r="CQ29" s="20"/>
      <c r="CR29" s="103"/>
      <c r="CS29" s="104"/>
      <c r="CT29" s="104"/>
      <c r="CU29" s="103"/>
      <c r="CV29" s="104"/>
      <c r="CW29" s="104"/>
      <c r="CX29" s="105"/>
      <c r="CY29" s="104"/>
      <c r="CZ29" s="104"/>
      <c r="DA29" s="104"/>
      <c r="DB29" s="104"/>
      <c r="DC29" s="133"/>
      <c r="DD29" s="104"/>
      <c r="DE29" s="103"/>
      <c r="DF29" s="104"/>
      <c r="DG29" s="104"/>
      <c r="DH29" s="103"/>
      <c r="DI29" s="104"/>
      <c r="DJ29" s="104"/>
      <c r="DK29" s="104"/>
      <c r="DL29" s="104"/>
      <c r="DM29" s="104"/>
      <c r="DN29" s="104"/>
      <c r="DO29" s="104"/>
      <c r="DP29" s="106"/>
      <c r="DQ29" s="106"/>
      <c r="DR29" s="106"/>
      <c r="DS29" s="106"/>
      <c r="DT29" s="100"/>
      <c r="DU29" s="100"/>
      <c r="DV29" s="100"/>
      <c r="DW29" s="100"/>
      <c r="DX29" s="100"/>
      <c r="DY29" s="100"/>
      <c r="DZ29" s="100"/>
      <c r="EA29" s="100"/>
      <c r="EB29" s="100"/>
      <c r="EC29" s="100"/>
      <c r="ED29" s="107"/>
      <c r="EE29" s="102"/>
      <c r="EF29" s="100"/>
      <c r="EG29" s="100"/>
      <c r="EH29" s="100"/>
      <c r="EI29" s="144"/>
      <c r="EJ29" s="144"/>
      <c r="EK29" s="144"/>
      <c r="EL29" s="144"/>
      <c r="EM29" s="157"/>
      <c r="EN29" s="164"/>
      <c r="EO29" s="144"/>
      <c r="EP29" s="100"/>
      <c r="EQ29" s="100"/>
      <c r="ER29" s="100"/>
      <c r="ES29" s="100"/>
      <c r="ET29" s="100"/>
      <c r="EU29" s="100"/>
      <c r="EV29" s="143"/>
      <c r="EW29" s="155">
        <v>45658</v>
      </c>
      <c r="EX29" s="156">
        <v>45687</v>
      </c>
      <c r="EY29" s="160">
        <f t="shared" si="35"/>
        <v>29</v>
      </c>
    </row>
    <row r="30" spans="1:155" s="65" customFormat="1" ht="14.95" customHeight="1" x14ac:dyDescent="0.25">
      <c r="A30" s="195"/>
      <c r="B30" s="187"/>
      <c r="C30" s="22" t="s">
        <v>40</v>
      </c>
      <c r="D30" s="23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4"/>
      <c r="AY30" s="24"/>
      <c r="AZ30" s="24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  <c r="BS30" s="88"/>
      <c r="BT30" s="88"/>
      <c r="BU30" s="88"/>
      <c r="BV30" s="88"/>
      <c r="BW30" s="88"/>
      <c r="BX30" s="88"/>
      <c r="BY30" s="88"/>
      <c r="BZ30" s="88"/>
      <c r="CA30" s="88"/>
      <c r="CB30" s="88"/>
      <c r="CC30" s="88"/>
      <c r="CD30" s="90"/>
      <c r="CE30" s="19"/>
      <c r="CF30" s="16"/>
      <c r="CG30" s="17"/>
      <c r="CH30" s="17"/>
      <c r="CI30" s="16"/>
      <c r="CJ30" s="17"/>
      <c r="CK30" s="17"/>
      <c r="CL30" s="16"/>
      <c r="CM30" s="17"/>
      <c r="CN30" s="17"/>
      <c r="CO30" s="17"/>
      <c r="CP30" s="17"/>
      <c r="CQ30" s="88"/>
      <c r="CR30" s="88"/>
      <c r="CS30" s="88"/>
      <c r="CT30" s="100"/>
      <c r="CU30" s="100"/>
      <c r="CV30" s="100"/>
      <c r="CW30" s="100"/>
      <c r="CX30" s="99"/>
      <c r="CY30" s="97"/>
      <c r="CZ30" s="97"/>
      <c r="DA30" s="97"/>
      <c r="DB30" s="97"/>
      <c r="DC30" s="133"/>
      <c r="DD30" s="97"/>
      <c r="DE30" s="98"/>
      <c r="DF30" s="97"/>
      <c r="DG30" s="97"/>
      <c r="DH30" s="98"/>
      <c r="DI30" s="97"/>
      <c r="DJ30" s="97"/>
      <c r="DK30" s="97"/>
      <c r="DL30" s="97"/>
      <c r="DM30" s="97"/>
      <c r="DN30" s="97"/>
      <c r="DO30" s="97"/>
      <c r="DP30" s="100"/>
      <c r="DQ30" s="100"/>
      <c r="DR30" s="100"/>
      <c r="DS30" s="100"/>
      <c r="DT30" s="100"/>
      <c r="DU30" s="100"/>
      <c r="DV30" s="100"/>
      <c r="DW30" s="100"/>
      <c r="DX30" s="100"/>
      <c r="DY30" s="100"/>
      <c r="DZ30" s="100"/>
      <c r="EA30" s="100"/>
      <c r="EB30" s="100"/>
      <c r="EC30" s="100"/>
      <c r="ED30" s="107"/>
      <c r="EE30" s="102"/>
      <c r="EF30" s="100"/>
      <c r="EG30" s="100"/>
      <c r="EH30" s="100"/>
      <c r="EI30" s="144"/>
      <c r="EJ30" s="144"/>
      <c r="EK30" s="144"/>
      <c r="EL30" s="144"/>
      <c r="EM30" s="157"/>
      <c r="EN30" s="164"/>
      <c r="EO30" s="144"/>
      <c r="EP30" s="100"/>
      <c r="EQ30" s="100"/>
      <c r="ER30" s="100"/>
      <c r="ES30" s="100"/>
      <c r="ET30" s="100"/>
      <c r="EU30" s="100"/>
      <c r="EV30" s="143"/>
      <c r="EW30" s="155">
        <v>45658</v>
      </c>
      <c r="EX30" s="156">
        <v>45688</v>
      </c>
      <c r="EY30" s="160">
        <f t="shared" si="35"/>
        <v>30</v>
      </c>
    </row>
    <row r="31" spans="1:155" s="65" customFormat="1" ht="14.95" customHeight="1" x14ac:dyDescent="0.25">
      <c r="A31" s="202">
        <v>4</v>
      </c>
      <c r="B31" s="203" t="s">
        <v>41</v>
      </c>
      <c r="C31" s="22" t="s">
        <v>187</v>
      </c>
      <c r="D31" s="23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17"/>
      <c r="AO31" s="20"/>
      <c r="AP31" s="30"/>
      <c r="AQ31" s="20"/>
      <c r="AR31" s="20"/>
      <c r="AS31" s="33"/>
      <c r="AT31" s="24"/>
      <c r="AU31" s="24"/>
      <c r="AV31" s="24"/>
      <c r="AW31" s="24"/>
      <c r="AX31" s="24"/>
      <c r="AY31" s="24"/>
      <c r="AZ31" s="24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  <c r="BS31" s="88"/>
      <c r="BT31" s="88"/>
      <c r="BU31" s="88"/>
      <c r="BV31" s="88"/>
      <c r="BW31" s="88"/>
      <c r="BX31" s="88"/>
      <c r="BY31" s="88"/>
      <c r="BZ31" s="88"/>
      <c r="CA31" s="88"/>
      <c r="CB31" s="88"/>
      <c r="CC31" s="88"/>
      <c r="CD31" s="90"/>
      <c r="CE31" s="19"/>
      <c r="CF31" s="16"/>
      <c r="CG31" s="98"/>
      <c r="CH31" s="17"/>
      <c r="CI31" s="16"/>
      <c r="CJ31" s="17"/>
      <c r="CK31" s="17"/>
      <c r="CL31" s="16"/>
      <c r="CM31" s="17"/>
      <c r="CN31" s="17"/>
      <c r="CO31" s="17"/>
      <c r="CP31" s="17"/>
      <c r="CQ31" s="17"/>
      <c r="CR31" s="88"/>
      <c r="CS31" s="88"/>
      <c r="CT31" s="88"/>
      <c r="CU31" s="92"/>
      <c r="CV31" s="92"/>
      <c r="CW31" s="92"/>
      <c r="CX31" s="33"/>
      <c r="CY31" s="17"/>
      <c r="CZ31" s="17"/>
      <c r="DA31" s="17"/>
      <c r="DB31" s="17"/>
      <c r="DC31" s="133"/>
      <c r="DD31" s="17"/>
      <c r="DE31" s="16"/>
      <c r="DF31" s="17"/>
      <c r="DG31" s="17"/>
      <c r="DH31" s="16"/>
      <c r="DI31" s="17"/>
      <c r="DJ31" s="17"/>
      <c r="DK31" s="17"/>
      <c r="DL31" s="17"/>
      <c r="DM31" s="17"/>
      <c r="DN31" s="17"/>
      <c r="DO31" s="17"/>
      <c r="DP31" s="88"/>
      <c r="DQ31" s="88"/>
      <c r="DR31" s="88"/>
      <c r="DS31" s="88"/>
      <c r="DT31" s="88"/>
      <c r="DU31" s="88"/>
      <c r="DV31" s="100"/>
      <c r="DW31" s="100"/>
      <c r="DX31" s="100"/>
      <c r="DY31" s="100"/>
      <c r="DZ31" s="100"/>
      <c r="EA31" s="100"/>
      <c r="EB31" s="100"/>
      <c r="EC31" s="100"/>
      <c r="ED31" s="107"/>
      <c r="EE31" s="102"/>
      <c r="EF31" s="100"/>
      <c r="EG31" s="100"/>
      <c r="EH31" s="100"/>
      <c r="EI31" s="144"/>
      <c r="EJ31" s="144"/>
      <c r="EK31" s="144"/>
      <c r="EL31" s="144"/>
      <c r="EM31" s="107"/>
      <c r="EN31" s="123"/>
      <c r="EO31" s="100"/>
      <c r="EP31" s="100"/>
      <c r="EQ31" s="100"/>
      <c r="ER31" s="100"/>
      <c r="ES31" s="100"/>
      <c r="ET31" s="100"/>
      <c r="EU31" s="100"/>
      <c r="EV31" s="143"/>
      <c r="EW31" s="155">
        <v>45658</v>
      </c>
      <c r="EX31" s="156">
        <v>45672</v>
      </c>
      <c r="EY31" s="160">
        <f t="shared" si="35"/>
        <v>14</v>
      </c>
    </row>
    <row r="32" spans="1:155" s="65" customFormat="1" ht="14.95" customHeight="1" x14ac:dyDescent="0.25">
      <c r="A32" s="202"/>
      <c r="B32" s="203"/>
      <c r="C32" s="22" t="s">
        <v>42</v>
      </c>
      <c r="D32" s="23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4"/>
      <c r="AY32" s="24"/>
      <c r="AZ32" s="24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  <c r="BS32" s="88"/>
      <c r="BT32" s="88"/>
      <c r="BU32" s="88"/>
      <c r="BV32" s="88"/>
      <c r="BW32" s="88"/>
      <c r="BX32" s="88"/>
      <c r="BY32" s="88"/>
      <c r="BZ32" s="88"/>
      <c r="CA32" s="88"/>
      <c r="CB32" s="88"/>
      <c r="CC32" s="88"/>
      <c r="CD32" s="90"/>
      <c r="CE32" s="19"/>
      <c r="CF32" s="16"/>
      <c r="CG32" s="17"/>
      <c r="CH32" s="17"/>
      <c r="CI32" s="16"/>
      <c r="CJ32" s="17"/>
      <c r="CK32" s="17"/>
      <c r="CL32" s="16"/>
      <c r="CM32" s="17"/>
      <c r="CN32" s="17"/>
      <c r="CO32" s="17"/>
      <c r="CP32" s="17"/>
      <c r="CQ32" s="17"/>
      <c r="CR32" s="16"/>
      <c r="CS32" s="17"/>
      <c r="CT32" s="17"/>
      <c r="CU32" s="17"/>
      <c r="CV32" s="17"/>
      <c r="CW32" s="17"/>
      <c r="CX32" s="17"/>
      <c r="CY32" s="17"/>
      <c r="CZ32" s="17"/>
      <c r="DA32" s="17"/>
      <c r="DB32" s="17"/>
      <c r="DC32" s="133"/>
      <c r="DD32" s="17"/>
      <c r="DE32" s="16"/>
      <c r="DF32" s="17"/>
      <c r="DG32" s="97"/>
      <c r="DH32" s="97"/>
      <c r="DI32" s="97"/>
      <c r="DJ32" s="17"/>
      <c r="DK32" s="17"/>
      <c r="DL32" s="17"/>
      <c r="DM32" s="17"/>
      <c r="DN32" s="17"/>
      <c r="DO32" s="17"/>
      <c r="DP32" s="88"/>
      <c r="DQ32" s="88"/>
      <c r="DR32" s="88"/>
      <c r="DS32" s="88"/>
      <c r="DT32" s="88"/>
      <c r="DU32" s="88"/>
      <c r="DV32" s="100"/>
      <c r="DW32" s="100"/>
      <c r="DX32" s="100"/>
      <c r="DY32" s="100"/>
      <c r="DZ32" s="100"/>
      <c r="EA32" s="100"/>
      <c r="EB32" s="100"/>
      <c r="EC32" s="100"/>
      <c r="ED32" s="107"/>
      <c r="EE32" s="102"/>
      <c r="EF32" s="100"/>
      <c r="EG32" s="100"/>
      <c r="EH32" s="100"/>
      <c r="EI32" s="144"/>
      <c r="EJ32" s="144"/>
      <c r="EK32" s="144"/>
      <c r="EL32" s="144"/>
      <c r="EM32" s="157"/>
      <c r="EN32" s="164"/>
      <c r="EO32" s="144"/>
      <c r="EP32" s="100"/>
      <c r="EQ32" s="100"/>
      <c r="ER32" s="100"/>
      <c r="ES32" s="100"/>
      <c r="ET32" s="100"/>
      <c r="EU32" s="100"/>
      <c r="EV32" s="143"/>
      <c r="EW32" s="155">
        <v>45658</v>
      </c>
      <c r="EX32" s="156">
        <v>45688</v>
      </c>
      <c r="EY32" s="160">
        <f t="shared" si="35"/>
        <v>30</v>
      </c>
    </row>
    <row r="33" spans="1:155" s="65" customFormat="1" ht="14.95" customHeight="1" x14ac:dyDescent="0.25">
      <c r="A33" s="202"/>
      <c r="B33" s="203"/>
      <c r="C33" s="22" t="s">
        <v>43</v>
      </c>
      <c r="D33" s="23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4"/>
      <c r="AY33" s="24"/>
      <c r="AZ33" s="24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  <c r="BS33" s="88"/>
      <c r="BT33" s="88"/>
      <c r="BU33" s="88"/>
      <c r="BV33" s="88"/>
      <c r="BW33" s="88"/>
      <c r="BX33" s="88"/>
      <c r="BY33" s="88"/>
      <c r="BZ33" s="88"/>
      <c r="CA33" s="88"/>
      <c r="CB33" s="88"/>
      <c r="CC33" s="88"/>
      <c r="CD33" s="90"/>
      <c r="CE33" s="19"/>
      <c r="CF33" s="16"/>
      <c r="CG33" s="17"/>
      <c r="CH33" s="17"/>
      <c r="CI33" s="16"/>
      <c r="CJ33" s="17"/>
      <c r="CK33" s="17"/>
      <c r="CL33" s="16"/>
      <c r="CM33" s="17"/>
      <c r="CN33" s="17"/>
      <c r="CO33" s="17"/>
      <c r="CP33" s="17"/>
      <c r="CQ33" s="17"/>
      <c r="CR33" s="16"/>
      <c r="CS33" s="17"/>
      <c r="CT33" s="17"/>
      <c r="CU33" s="16"/>
      <c r="CV33" s="17"/>
      <c r="CW33" s="17"/>
      <c r="CX33" s="21"/>
      <c r="CY33" s="17"/>
      <c r="CZ33" s="17"/>
      <c r="DA33" s="17"/>
      <c r="DB33" s="17"/>
      <c r="DC33" s="133"/>
      <c r="DD33" s="17"/>
      <c r="DE33" s="16"/>
      <c r="DF33" s="97"/>
      <c r="DG33" s="97"/>
      <c r="DH33" s="98"/>
      <c r="DI33" s="97"/>
      <c r="DJ33" s="97"/>
      <c r="DK33" s="97"/>
      <c r="DL33" s="97"/>
      <c r="DM33" s="97"/>
      <c r="DN33" s="17"/>
      <c r="DO33" s="17"/>
      <c r="DP33" s="88"/>
      <c r="DQ33" s="88"/>
      <c r="DR33" s="88"/>
      <c r="DS33" s="88"/>
      <c r="DT33" s="88"/>
      <c r="DU33" s="88"/>
      <c r="DV33" s="100"/>
      <c r="DW33" s="100"/>
      <c r="DX33" s="100"/>
      <c r="DY33" s="100"/>
      <c r="DZ33" s="100"/>
      <c r="EA33" s="100"/>
      <c r="EB33" s="100"/>
      <c r="EC33" s="100"/>
      <c r="ED33" s="107"/>
      <c r="EE33" s="102"/>
      <c r="EF33" s="100"/>
      <c r="EG33" s="100"/>
      <c r="EH33" s="100"/>
      <c r="EI33" s="100"/>
      <c r="EJ33" s="100"/>
      <c r="EK33" s="100"/>
      <c r="EL33" s="100"/>
      <c r="EM33" s="107"/>
      <c r="EN33" s="123"/>
      <c r="EO33" s="144"/>
      <c r="EP33" s="144"/>
      <c r="EQ33" s="144"/>
      <c r="ER33" s="144"/>
      <c r="ES33" s="100"/>
      <c r="ET33" s="100"/>
      <c r="EU33" s="100"/>
      <c r="EV33" s="143"/>
      <c r="EW33" s="155">
        <v>45689</v>
      </c>
      <c r="EX33" s="156">
        <v>45703</v>
      </c>
      <c r="EY33" s="160">
        <f t="shared" si="35"/>
        <v>14</v>
      </c>
    </row>
    <row r="34" spans="1:155" s="65" customFormat="1" ht="14.95" customHeight="1" x14ac:dyDescent="0.25">
      <c r="A34" s="193">
        <v>5</v>
      </c>
      <c r="B34" s="186" t="s">
        <v>44</v>
      </c>
      <c r="C34" s="22" t="s">
        <v>45</v>
      </c>
      <c r="D34" s="23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88"/>
      <c r="AI34" s="88"/>
      <c r="AJ34" s="31"/>
      <c r="AK34" s="31"/>
      <c r="AL34" s="31"/>
      <c r="AM34" s="31"/>
      <c r="AN34" s="31"/>
      <c r="AO34" s="24"/>
      <c r="AP34" s="24"/>
      <c r="AQ34" s="24"/>
      <c r="AR34" s="24"/>
      <c r="AS34" s="24"/>
      <c r="AT34" s="24"/>
      <c r="AU34" s="24"/>
      <c r="AV34" s="24"/>
      <c r="AW34" s="24"/>
      <c r="AX34" s="24"/>
      <c r="AY34" s="24"/>
      <c r="AZ34" s="24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  <c r="BS34" s="88"/>
      <c r="BT34" s="88"/>
      <c r="BU34" s="88"/>
      <c r="BV34" s="88"/>
      <c r="BW34" s="88"/>
      <c r="BX34" s="88"/>
      <c r="BY34" s="88"/>
      <c r="BZ34" s="88"/>
      <c r="CA34" s="88"/>
      <c r="CB34" s="88"/>
      <c r="CC34" s="88"/>
      <c r="CD34" s="90"/>
      <c r="CE34" s="19"/>
      <c r="CF34" s="16"/>
      <c r="CG34" s="17"/>
      <c r="CH34" s="17"/>
      <c r="CI34" s="98"/>
      <c r="CJ34" s="97"/>
      <c r="CK34" s="97"/>
      <c r="CL34" s="98"/>
      <c r="CM34" s="97"/>
      <c r="CN34" s="17"/>
      <c r="CO34" s="17"/>
      <c r="CP34" s="17"/>
      <c r="CQ34" s="17"/>
      <c r="CR34" s="16"/>
      <c r="CS34" s="17"/>
      <c r="CT34" s="17"/>
      <c r="CU34" s="16"/>
      <c r="CV34" s="17"/>
      <c r="CW34" s="20"/>
      <c r="CX34" s="33"/>
      <c r="CY34" s="33"/>
      <c r="CZ34" s="33"/>
      <c r="DA34" s="33"/>
      <c r="DB34" s="33"/>
      <c r="DC34" s="134"/>
      <c r="DD34" s="104"/>
      <c r="DE34" s="103"/>
      <c r="DF34" s="104"/>
      <c r="DG34" s="104"/>
      <c r="DH34" s="103"/>
      <c r="DI34" s="104"/>
      <c r="DJ34" s="104"/>
      <c r="DK34" s="104"/>
      <c r="DL34" s="104"/>
      <c r="DM34" s="104"/>
      <c r="DN34" s="104"/>
      <c r="DO34" s="104"/>
      <c r="DP34" s="106"/>
      <c r="DQ34" s="106"/>
      <c r="DR34" s="106"/>
      <c r="DS34" s="106"/>
      <c r="DT34" s="92"/>
      <c r="DU34" s="92"/>
      <c r="DV34" s="144"/>
      <c r="DW34" s="144"/>
      <c r="DX34" s="144"/>
      <c r="DY34" s="144"/>
      <c r="DZ34" s="144"/>
      <c r="EA34" s="144"/>
      <c r="EB34" s="144"/>
      <c r="EC34" s="144"/>
      <c r="ED34" s="157"/>
      <c r="EE34" s="158"/>
      <c r="EF34" s="144"/>
      <c r="EG34" s="100"/>
      <c r="EH34" s="100"/>
      <c r="EI34" s="100"/>
      <c r="EJ34" s="100"/>
      <c r="EK34" s="100"/>
      <c r="EL34" s="100"/>
      <c r="EM34" s="107"/>
      <c r="EN34" s="123"/>
      <c r="EO34" s="100"/>
      <c r="EP34" s="100"/>
      <c r="EQ34" s="100"/>
      <c r="ER34" s="100"/>
      <c r="ES34" s="100"/>
      <c r="ET34" s="100"/>
      <c r="EU34" s="100"/>
      <c r="EV34" s="143"/>
      <c r="EW34" s="155">
        <v>45580</v>
      </c>
      <c r="EX34" s="156">
        <v>45641</v>
      </c>
      <c r="EY34" s="160">
        <f t="shared" si="35"/>
        <v>61</v>
      </c>
    </row>
    <row r="35" spans="1:155" s="65" customFormat="1" ht="14.95" customHeight="1" x14ac:dyDescent="0.25">
      <c r="A35" s="194"/>
      <c r="B35" s="188"/>
      <c r="C35" s="22" t="s">
        <v>46</v>
      </c>
      <c r="D35" s="23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88"/>
      <c r="AI35" s="88"/>
      <c r="AJ35" s="31"/>
      <c r="AK35" s="31"/>
      <c r="AL35" s="31"/>
      <c r="AM35" s="31"/>
      <c r="AN35" s="31"/>
      <c r="AO35" s="24"/>
      <c r="AP35" s="24"/>
      <c r="AQ35" s="24"/>
      <c r="AR35" s="24"/>
      <c r="AS35" s="24"/>
      <c r="AT35" s="24"/>
      <c r="AU35" s="24"/>
      <c r="AV35" s="24"/>
      <c r="AW35" s="24"/>
      <c r="AX35" s="24"/>
      <c r="AY35" s="24"/>
      <c r="AZ35" s="24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  <c r="BS35" s="88"/>
      <c r="BT35" s="88"/>
      <c r="BU35" s="88"/>
      <c r="BV35" s="88"/>
      <c r="BW35" s="88"/>
      <c r="BX35" s="88"/>
      <c r="BY35" s="88"/>
      <c r="BZ35" s="88"/>
      <c r="CA35" s="88"/>
      <c r="CB35" s="88"/>
      <c r="CC35" s="88"/>
      <c r="CD35" s="90"/>
      <c r="CE35" s="19"/>
      <c r="CF35" s="16"/>
      <c r="CG35" s="17"/>
      <c r="CH35" s="17"/>
      <c r="CI35" s="98"/>
      <c r="CJ35" s="97"/>
      <c r="CK35" s="97"/>
      <c r="CL35" s="98"/>
      <c r="CM35" s="97"/>
      <c r="CN35" s="17"/>
      <c r="CO35" s="17"/>
      <c r="CP35" s="17"/>
      <c r="CQ35" s="17"/>
      <c r="CR35" s="16"/>
      <c r="CS35" s="17"/>
      <c r="CT35" s="17"/>
      <c r="CU35" s="16"/>
      <c r="CV35" s="17"/>
      <c r="CW35" s="20"/>
      <c r="CX35" s="33"/>
      <c r="CY35" s="20"/>
      <c r="CZ35" s="20"/>
      <c r="DA35" s="20"/>
      <c r="DB35" s="20"/>
      <c r="DC35" s="133"/>
      <c r="DD35" s="104"/>
      <c r="DE35" s="103"/>
      <c r="DF35" s="104"/>
      <c r="DG35" s="104"/>
      <c r="DH35" s="103"/>
      <c r="DI35" s="104"/>
      <c r="DJ35" s="104"/>
      <c r="DK35" s="104"/>
      <c r="DL35" s="104"/>
      <c r="DM35" s="104"/>
      <c r="DN35" s="104"/>
      <c r="DO35" s="104"/>
      <c r="DP35" s="106"/>
      <c r="DQ35" s="106"/>
      <c r="DR35" s="106"/>
      <c r="DS35" s="106"/>
      <c r="DT35" s="92"/>
      <c r="DU35" s="92"/>
      <c r="DV35" s="144"/>
      <c r="DW35" s="144"/>
      <c r="DX35" s="144"/>
      <c r="DY35" s="144"/>
      <c r="DZ35" s="144"/>
      <c r="EA35" s="144"/>
      <c r="EB35" s="144"/>
      <c r="EC35" s="144"/>
      <c r="ED35" s="157"/>
      <c r="EE35" s="158"/>
      <c r="EF35" s="144"/>
      <c r="EG35" s="100"/>
      <c r="EH35" s="100"/>
      <c r="EI35" s="100"/>
      <c r="EJ35" s="100"/>
      <c r="EK35" s="100"/>
      <c r="EL35" s="100"/>
      <c r="EM35" s="107"/>
      <c r="EN35" s="123"/>
      <c r="EO35" s="100"/>
      <c r="EP35" s="100"/>
      <c r="EQ35" s="100"/>
      <c r="ER35" s="100"/>
      <c r="ES35" s="100"/>
      <c r="ET35" s="100"/>
      <c r="EU35" s="100"/>
      <c r="EV35" s="143"/>
      <c r="EW35" s="155">
        <v>45580</v>
      </c>
      <c r="EX35" s="156">
        <v>45641</v>
      </c>
      <c r="EY35" s="160">
        <f t="shared" si="35"/>
        <v>61</v>
      </c>
    </row>
    <row r="36" spans="1:155" s="65" customFormat="1" ht="14.95" customHeight="1" x14ac:dyDescent="0.25">
      <c r="A36" s="194"/>
      <c r="B36" s="188"/>
      <c r="C36" s="22" t="s">
        <v>47</v>
      </c>
      <c r="D36" s="23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24"/>
      <c r="AY36" s="24"/>
      <c r="AZ36" s="24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  <c r="BS36" s="88"/>
      <c r="BT36" s="88"/>
      <c r="BU36" s="88"/>
      <c r="BV36" s="88"/>
      <c r="BW36" s="88"/>
      <c r="BX36" s="88"/>
      <c r="BY36" s="88"/>
      <c r="BZ36" s="88"/>
      <c r="CA36" s="88"/>
      <c r="CB36" s="88"/>
      <c r="CC36" s="88"/>
      <c r="CD36" s="90"/>
      <c r="CE36" s="19"/>
      <c r="CF36" s="16"/>
      <c r="CG36" s="17"/>
      <c r="CH36" s="17"/>
      <c r="CI36" s="16"/>
      <c r="CJ36" s="17"/>
      <c r="CK36" s="17"/>
      <c r="CL36" s="16"/>
      <c r="CM36" s="17"/>
      <c r="CN36" s="17"/>
      <c r="CO36" s="17"/>
      <c r="CP36" s="17"/>
      <c r="CQ36" s="17"/>
      <c r="CR36" s="16"/>
      <c r="CS36" s="17"/>
      <c r="CT36" s="17"/>
      <c r="CU36" s="16"/>
      <c r="CV36" s="17"/>
      <c r="CW36" s="17"/>
      <c r="CX36" s="21"/>
      <c r="CY36" s="17"/>
      <c r="CZ36" s="17"/>
      <c r="DA36" s="17"/>
      <c r="DB36" s="17"/>
      <c r="DC36" s="133"/>
      <c r="DD36" s="17"/>
      <c r="DE36" s="16"/>
      <c r="DF36" s="17"/>
      <c r="DG36" s="17"/>
      <c r="DH36" s="16"/>
      <c r="DI36" s="17"/>
      <c r="DJ36" s="97"/>
      <c r="DK36" s="97"/>
      <c r="DL36" s="97"/>
      <c r="DM36" s="97"/>
      <c r="DN36" s="97"/>
      <c r="DO36" s="97"/>
      <c r="DP36" s="88"/>
      <c r="DQ36" s="88"/>
      <c r="DR36" s="88"/>
      <c r="DS36" s="88"/>
      <c r="DT36" s="88"/>
      <c r="DU36" s="88"/>
      <c r="DV36" s="100"/>
      <c r="DW36" s="100"/>
      <c r="DX36" s="100"/>
      <c r="DY36" s="100"/>
      <c r="DZ36" s="100"/>
      <c r="EA36" s="100"/>
      <c r="EB36" s="100"/>
      <c r="EC36" s="100"/>
      <c r="ED36" s="107"/>
      <c r="EE36" s="102"/>
      <c r="EF36" s="100"/>
      <c r="EG36" s="100"/>
      <c r="EH36" s="100"/>
      <c r="EI36" s="100"/>
      <c r="EJ36" s="100"/>
      <c r="EK36" s="100"/>
      <c r="EL36" s="144"/>
      <c r="EM36" s="157"/>
      <c r="EN36" s="164"/>
      <c r="EO36" s="144"/>
      <c r="EP36" s="144"/>
      <c r="EQ36" s="144"/>
      <c r="ER36" s="144"/>
      <c r="ES36" s="100"/>
      <c r="ET36" s="100"/>
      <c r="EU36" s="100"/>
      <c r="EV36" s="143"/>
      <c r="EW36" s="155">
        <v>45672</v>
      </c>
      <c r="EX36" s="156">
        <v>45703</v>
      </c>
      <c r="EY36" s="160">
        <f t="shared" si="35"/>
        <v>31</v>
      </c>
    </row>
    <row r="37" spans="1:155" s="65" customFormat="1" ht="14.95" customHeight="1" x14ac:dyDescent="0.25">
      <c r="A37" s="194"/>
      <c r="B37" s="188"/>
      <c r="C37" s="22" t="s">
        <v>48</v>
      </c>
      <c r="D37" s="23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24"/>
      <c r="AY37" s="24"/>
      <c r="AZ37" s="24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  <c r="BS37" s="88"/>
      <c r="BT37" s="88"/>
      <c r="BU37" s="88"/>
      <c r="BV37" s="88"/>
      <c r="BW37" s="88"/>
      <c r="BX37" s="88"/>
      <c r="BY37" s="88"/>
      <c r="BZ37" s="88"/>
      <c r="CA37" s="88"/>
      <c r="CB37" s="88"/>
      <c r="CC37" s="88"/>
      <c r="CD37" s="90"/>
      <c r="CE37" s="19"/>
      <c r="CF37" s="16"/>
      <c r="CG37" s="17"/>
      <c r="CH37" s="17"/>
      <c r="CI37" s="16"/>
      <c r="CJ37" s="17"/>
      <c r="CK37" s="17"/>
      <c r="CL37" s="16"/>
      <c r="CM37" s="17"/>
      <c r="CN37" s="17"/>
      <c r="CO37" s="17"/>
      <c r="CP37" s="17"/>
      <c r="CQ37" s="17"/>
      <c r="CR37" s="16"/>
      <c r="CS37" s="17"/>
      <c r="CT37" s="17"/>
      <c r="CU37" s="16"/>
      <c r="CV37" s="16"/>
      <c r="CW37" s="97"/>
      <c r="CX37" s="99"/>
      <c r="CY37" s="97"/>
      <c r="CZ37" s="97"/>
      <c r="DA37" s="97"/>
      <c r="DB37" s="97"/>
      <c r="DC37" s="133"/>
      <c r="DD37" s="97"/>
      <c r="DE37" s="98"/>
      <c r="DF37" s="17"/>
      <c r="DG37" s="17"/>
      <c r="DH37" s="16"/>
      <c r="DI37" s="17"/>
      <c r="DJ37" s="17"/>
      <c r="DK37" s="17"/>
      <c r="DL37" s="17"/>
      <c r="DM37" s="17"/>
      <c r="DN37" s="17"/>
      <c r="DO37" s="17"/>
      <c r="DP37" s="88"/>
      <c r="DQ37" s="88"/>
      <c r="DR37" s="88"/>
      <c r="DS37" s="88"/>
      <c r="DT37" s="88"/>
      <c r="DU37" s="88"/>
      <c r="DV37" s="100"/>
      <c r="DW37" s="100"/>
      <c r="DX37" s="100"/>
      <c r="DY37" s="100"/>
      <c r="DZ37" s="100"/>
      <c r="EA37" s="100"/>
      <c r="EB37" s="100"/>
      <c r="EC37" s="100"/>
      <c r="ED37" s="107"/>
      <c r="EE37" s="102"/>
      <c r="EF37" s="144"/>
      <c r="EG37" s="144"/>
      <c r="EH37" s="144"/>
      <c r="EI37" s="144"/>
      <c r="EJ37" s="144"/>
      <c r="EK37" s="144"/>
      <c r="EL37" s="144"/>
      <c r="EM37" s="107"/>
      <c r="EN37" s="123"/>
      <c r="EO37" s="100"/>
      <c r="EP37" s="100"/>
      <c r="EQ37" s="100"/>
      <c r="ER37" s="100"/>
      <c r="ES37" s="100"/>
      <c r="ET37" s="100"/>
      <c r="EU37" s="100"/>
      <c r="EV37" s="143"/>
      <c r="EW37" s="155">
        <v>45641</v>
      </c>
      <c r="EX37" s="156">
        <v>45672</v>
      </c>
      <c r="EY37" s="160">
        <f t="shared" si="35"/>
        <v>31</v>
      </c>
    </row>
    <row r="38" spans="1:155" s="65" customFormat="1" ht="14.95" customHeight="1" x14ac:dyDescent="0.25">
      <c r="A38" s="195"/>
      <c r="B38" s="187"/>
      <c r="C38" s="22" t="s">
        <v>49</v>
      </c>
      <c r="D38" s="23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24"/>
      <c r="AY38" s="24"/>
      <c r="AZ38" s="24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88"/>
      <c r="BT38" s="88"/>
      <c r="BU38" s="88"/>
      <c r="BV38" s="88"/>
      <c r="BW38" s="88"/>
      <c r="BX38" s="88"/>
      <c r="BY38" s="88"/>
      <c r="BZ38" s="88"/>
      <c r="CA38" s="88"/>
      <c r="CB38" s="88"/>
      <c r="CC38" s="88"/>
      <c r="CD38" s="90"/>
      <c r="CE38" s="19"/>
      <c r="CF38" s="16"/>
      <c r="CG38" s="17"/>
      <c r="CH38" s="17"/>
      <c r="CI38" s="16"/>
      <c r="CJ38" s="17"/>
      <c r="CK38" s="17"/>
      <c r="CL38" s="16"/>
      <c r="CM38" s="17"/>
      <c r="CN38" s="17"/>
      <c r="CO38" s="17"/>
      <c r="CP38" s="17"/>
      <c r="CQ38" s="17"/>
      <c r="CR38" s="16"/>
      <c r="CS38" s="17"/>
      <c r="CT38" s="17"/>
      <c r="CU38" s="16"/>
      <c r="CV38" s="17"/>
      <c r="CW38" s="20"/>
      <c r="CX38" s="33"/>
      <c r="CY38" s="20"/>
      <c r="CZ38" s="20"/>
      <c r="DA38" s="20"/>
      <c r="DB38" s="20"/>
      <c r="DC38" s="133"/>
      <c r="DD38" s="104"/>
      <c r="DE38" s="103"/>
      <c r="DF38" s="104"/>
      <c r="DG38" s="104"/>
      <c r="DH38" s="103"/>
      <c r="DI38" s="104"/>
      <c r="DJ38" s="104"/>
      <c r="DK38" s="104"/>
      <c r="DL38" s="104"/>
      <c r="DM38" s="104"/>
      <c r="DN38" s="104"/>
      <c r="DO38" s="104"/>
      <c r="DP38" s="106"/>
      <c r="DQ38" s="106"/>
      <c r="DR38" s="106"/>
      <c r="DS38" s="106"/>
      <c r="DT38" s="106"/>
      <c r="DU38" s="106"/>
      <c r="DV38" s="100"/>
      <c r="DW38" s="100"/>
      <c r="DX38" s="100"/>
      <c r="DY38" s="100"/>
      <c r="DZ38" s="100"/>
      <c r="EA38" s="100"/>
      <c r="EB38" s="100"/>
      <c r="EC38" s="100"/>
      <c r="ED38" s="107"/>
      <c r="EE38" s="102"/>
      <c r="EF38" s="100"/>
      <c r="EG38" s="100"/>
      <c r="EH38" s="100"/>
      <c r="EI38" s="100"/>
      <c r="EJ38" s="100"/>
      <c r="EK38" s="100"/>
      <c r="EL38" s="144"/>
      <c r="EM38" s="157"/>
      <c r="EN38" s="164"/>
      <c r="EO38" s="144"/>
      <c r="EP38" s="144"/>
      <c r="EQ38" s="144"/>
      <c r="ER38" s="144"/>
      <c r="ES38" s="100"/>
      <c r="ET38" s="100"/>
      <c r="EU38" s="100"/>
      <c r="EV38" s="143"/>
      <c r="EW38" s="155">
        <v>45672</v>
      </c>
      <c r="EX38" s="156">
        <v>45703</v>
      </c>
      <c r="EY38" s="160">
        <f t="shared" si="35"/>
        <v>31</v>
      </c>
    </row>
    <row r="39" spans="1:155" s="65" customFormat="1" ht="14.95" customHeight="1" x14ac:dyDescent="0.25">
      <c r="A39" s="193"/>
      <c r="B39" s="186" t="s">
        <v>167</v>
      </c>
      <c r="C39" s="22" t="s">
        <v>111</v>
      </c>
      <c r="D39" s="23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24"/>
      <c r="AY39" s="24"/>
      <c r="AZ39" s="24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88"/>
      <c r="BT39" s="88"/>
      <c r="BU39" s="88"/>
      <c r="BV39" s="88"/>
      <c r="BW39" s="88"/>
      <c r="BX39" s="88"/>
      <c r="BY39" s="88"/>
      <c r="BZ39" s="88"/>
      <c r="CA39" s="88"/>
      <c r="CB39" s="88"/>
      <c r="CC39" s="88"/>
      <c r="CD39" s="90"/>
      <c r="CE39" s="19"/>
      <c r="CF39" s="16"/>
      <c r="CG39" s="17"/>
      <c r="CH39" s="17"/>
      <c r="CI39" s="16"/>
      <c r="CJ39" s="17"/>
      <c r="CK39" s="17"/>
      <c r="CL39" s="16"/>
      <c r="CM39" s="17"/>
      <c r="CN39" s="17"/>
      <c r="CO39" s="17"/>
      <c r="CP39" s="17"/>
      <c r="CQ39" s="17"/>
      <c r="CR39" s="16"/>
      <c r="CS39" s="17"/>
      <c r="CT39" s="17"/>
      <c r="CU39" s="16"/>
      <c r="CV39" s="17"/>
      <c r="CW39" s="17"/>
      <c r="CX39" s="21"/>
      <c r="CY39" s="17"/>
      <c r="CZ39" s="17"/>
      <c r="DA39" s="17"/>
      <c r="DB39" s="17"/>
      <c r="DC39" s="133"/>
      <c r="DD39" s="17"/>
      <c r="DE39" s="16"/>
      <c r="DF39" s="17"/>
      <c r="DG39" s="17"/>
      <c r="DH39" s="98"/>
      <c r="DI39" s="97"/>
      <c r="DJ39" s="97"/>
      <c r="DK39" s="97"/>
      <c r="DL39" s="97"/>
      <c r="DM39" s="17"/>
      <c r="DN39" s="17"/>
      <c r="DO39" s="17"/>
      <c r="DP39" s="88"/>
      <c r="DQ39" s="92"/>
      <c r="DR39" s="92"/>
      <c r="DS39" s="92"/>
      <c r="DT39" s="92"/>
      <c r="DU39" s="88"/>
      <c r="DV39" s="144"/>
      <c r="DW39" s="144"/>
      <c r="DX39" s="100"/>
      <c r="DY39" s="100"/>
      <c r="DZ39" s="100"/>
      <c r="EA39" s="100"/>
      <c r="EB39" s="100"/>
      <c r="EC39" s="100"/>
      <c r="ED39" s="107"/>
      <c r="EE39" s="102"/>
      <c r="EF39" s="100"/>
      <c r="EG39" s="100"/>
      <c r="EH39" s="100"/>
      <c r="EI39" s="100"/>
      <c r="EJ39" s="100"/>
      <c r="EK39" s="100"/>
      <c r="EL39" s="100"/>
      <c r="EM39" s="107"/>
      <c r="EN39" s="123"/>
      <c r="EO39" s="100"/>
      <c r="EP39" s="100"/>
      <c r="EQ39" s="100"/>
      <c r="ER39" s="100"/>
      <c r="ES39" s="100"/>
      <c r="ET39" s="100"/>
      <c r="EU39" s="100"/>
      <c r="EV39" s="143"/>
      <c r="EW39" s="155">
        <v>45580</v>
      </c>
      <c r="EX39" s="156">
        <v>45583</v>
      </c>
      <c r="EY39" s="160">
        <f t="shared" si="35"/>
        <v>3</v>
      </c>
    </row>
    <row r="40" spans="1:155" s="65" customFormat="1" ht="14.95" customHeight="1" x14ac:dyDescent="0.25">
      <c r="A40" s="194"/>
      <c r="B40" s="188"/>
      <c r="C40" s="22" t="s">
        <v>155</v>
      </c>
      <c r="D40" s="23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24"/>
      <c r="AY40" s="24"/>
      <c r="AZ40" s="24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  <c r="BS40" s="88"/>
      <c r="BT40" s="88"/>
      <c r="BU40" s="88"/>
      <c r="BV40" s="88"/>
      <c r="BW40" s="88"/>
      <c r="BX40" s="88"/>
      <c r="BY40" s="88"/>
      <c r="BZ40" s="88"/>
      <c r="CA40" s="88"/>
      <c r="CB40" s="88"/>
      <c r="CC40" s="88"/>
      <c r="CD40" s="90"/>
      <c r="CE40" s="19"/>
      <c r="CF40" s="16"/>
      <c r="CG40" s="17"/>
      <c r="CH40" s="17"/>
      <c r="CI40" s="16"/>
      <c r="CJ40" s="17"/>
      <c r="CK40" s="17"/>
      <c r="CL40" s="16"/>
      <c r="CM40" s="17"/>
      <c r="CN40" s="17"/>
      <c r="CO40" s="17"/>
      <c r="CP40" s="17"/>
      <c r="CQ40" s="17"/>
      <c r="CR40" s="16"/>
      <c r="CS40" s="17"/>
      <c r="CT40" s="17"/>
      <c r="CU40" s="16"/>
      <c r="CV40" s="17"/>
      <c r="CW40" s="17"/>
      <c r="CX40" s="21"/>
      <c r="CY40" s="17"/>
      <c r="CZ40" s="17"/>
      <c r="DA40" s="17"/>
      <c r="DB40" s="17"/>
      <c r="DC40" s="133"/>
      <c r="DD40" s="17"/>
      <c r="DE40" s="16"/>
      <c r="DF40" s="17"/>
      <c r="DG40" s="17"/>
      <c r="DH40" s="98"/>
      <c r="DI40" s="97"/>
      <c r="DJ40" s="97"/>
      <c r="DK40" s="97"/>
      <c r="DL40" s="97"/>
      <c r="DM40" s="17"/>
      <c r="DN40" s="17"/>
      <c r="DO40" s="17"/>
      <c r="DP40" s="88"/>
      <c r="DQ40" s="92"/>
      <c r="DR40" s="92"/>
      <c r="DS40" s="92"/>
      <c r="DT40" s="92"/>
      <c r="DU40" s="88"/>
      <c r="DV40" s="100"/>
      <c r="DW40" s="144"/>
      <c r="DX40" s="100"/>
      <c r="DY40" s="100"/>
      <c r="DZ40" s="100"/>
      <c r="EA40" s="100"/>
      <c r="EB40" s="100"/>
      <c r="EC40" s="100"/>
      <c r="ED40" s="107"/>
      <c r="EE40" s="102"/>
      <c r="EF40" s="100"/>
      <c r="EG40" s="100"/>
      <c r="EH40" s="100"/>
      <c r="EI40" s="100"/>
      <c r="EJ40" s="100"/>
      <c r="EK40" s="100"/>
      <c r="EL40" s="100"/>
      <c r="EM40" s="107"/>
      <c r="EN40" s="123"/>
      <c r="EO40" s="100"/>
      <c r="EP40" s="100"/>
      <c r="EQ40" s="100"/>
      <c r="ER40" s="100"/>
      <c r="ES40" s="100"/>
      <c r="ET40" s="100"/>
      <c r="EU40" s="100"/>
      <c r="EV40" s="143"/>
      <c r="EW40" s="155">
        <v>45583</v>
      </c>
      <c r="EX40" s="156">
        <v>45586</v>
      </c>
      <c r="EY40" s="160">
        <f t="shared" si="35"/>
        <v>3</v>
      </c>
    </row>
    <row r="41" spans="1:155" s="65" customFormat="1" ht="14.95" customHeight="1" x14ac:dyDescent="0.25">
      <c r="A41" s="194"/>
      <c r="B41" s="188"/>
      <c r="C41" s="22" t="s">
        <v>156</v>
      </c>
      <c r="D41" s="23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24"/>
      <c r="AY41" s="24"/>
      <c r="AZ41" s="24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88"/>
      <c r="BT41" s="88"/>
      <c r="BU41" s="88"/>
      <c r="BV41" s="88"/>
      <c r="BW41" s="88"/>
      <c r="BX41" s="88"/>
      <c r="BY41" s="88"/>
      <c r="BZ41" s="88"/>
      <c r="CA41" s="88"/>
      <c r="CB41" s="88"/>
      <c r="CC41" s="88"/>
      <c r="CD41" s="90"/>
      <c r="CE41" s="19"/>
      <c r="CF41" s="16"/>
      <c r="CG41" s="17"/>
      <c r="CH41" s="17"/>
      <c r="CI41" s="16"/>
      <c r="CJ41" s="17"/>
      <c r="CK41" s="17"/>
      <c r="CL41" s="16"/>
      <c r="CM41" s="17"/>
      <c r="CN41" s="17"/>
      <c r="CO41" s="17"/>
      <c r="CP41" s="17"/>
      <c r="CQ41" s="17"/>
      <c r="CR41" s="16"/>
      <c r="CS41" s="17"/>
      <c r="CT41" s="17"/>
      <c r="CU41" s="16"/>
      <c r="CV41" s="17"/>
      <c r="CW41" s="17"/>
      <c r="CX41" s="21"/>
      <c r="CY41" s="17"/>
      <c r="CZ41" s="17"/>
      <c r="DA41" s="17"/>
      <c r="DB41" s="17"/>
      <c r="DC41" s="133"/>
      <c r="DD41" s="17"/>
      <c r="DE41" s="16"/>
      <c r="DF41" s="17"/>
      <c r="DG41" s="17"/>
      <c r="DH41" s="98"/>
      <c r="DI41" s="97"/>
      <c r="DJ41" s="97"/>
      <c r="DK41" s="97"/>
      <c r="DL41" s="97"/>
      <c r="DM41" s="17"/>
      <c r="DN41" s="17"/>
      <c r="DO41" s="17"/>
      <c r="DP41" s="88"/>
      <c r="DQ41" s="92"/>
      <c r="DR41" s="92"/>
      <c r="DS41" s="92"/>
      <c r="DT41" s="92"/>
      <c r="DU41" s="88"/>
      <c r="DV41" s="100"/>
      <c r="DW41" s="144"/>
      <c r="DX41" s="100"/>
      <c r="DY41" s="100"/>
      <c r="DZ41" s="100"/>
      <c r="EA41" s="100"/>
      <c r="EB41" s="100"/>
      <c r="EC41" s="100"/>
      <c r="ED41" s="107"/>
      <c r="EE41" s="102"/>
      <c r="EF41" s="100"/>
      <c r="EG41" s="100"/>
      <c r="EH41" s="100"/>
      <c r="EI41" s="100"/>
      <c r="EJ41" s="100"/>
      <c r="EK41" s="100"/>
      <c r="EL41" s="100"/>
      <c r="EM41" s="107"/>
      <c r="EN41" s="123"/>
      <c r="EO41" s="100"/>
      <c r="EP41" s="100"/>
      <c r="EQ41" s="100"/>
      <c r="ER41" s="100"/>
      <c r="ES41" s="100"/>
      <c r="ET41" s="100"/>
      <c r="EU41" s="100"/>
      <c r="EV41" s="143"/>
      <c r="EW41" s="155">
        <v>45586</v>
      </c>
      <c r="EX41" s="156">
        <v>45590</v>
      </c>
      <c r="EY41" s="160">
        <f t="shared" si="35"/>
        <v>4</v>
      </c>
    </row>
    <row r="42" spans="1:155" s="65" customFormat="1" ht="14.95" customHeight="1" x14ac:dyDescent="0.25">
      <c r="A42" s="194"/>
      <c r="B42" s="188"/>
      <c r="C42" s="22" t="s">
        <v>157</v>
      </c>
      <c r="D42" s="23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24"/>
      <c r="AY42" s="24"/>
      <c r="AZ42" s="24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88"/>
      <c r="BT42" s="88"/>
      <c r="BU42" s="88"/>
      <c r="BV42" s="88"/>
      <c r="BW42" s="88"/>
      <c r="BX42" s="88"/>
      <c r="BY42" s="88"/>
      <c r="BZ42" s="88"/>
      <c r="CA42" s="88"/>
      <c r="CB42" s="88"/>
      <c r="CC42" s="88"/>
      <c r="CD42" s="90"/>
      <c r="CE42" s="19"/>
      <c r="CF42" s="16"/>
      <c r="CG42" s="17"/>
      <c r="CH42" s="17"/>
      <c r="CI42" s="16"/>
      <c r="CJ42" s="17"/>
      <c r="CK42" s="17"/>
      <c r="CL42" s="16"/>
      <c r="CM42" s="17"/>
      <c r="CN42" s="17"/>
      <c r="CO42" s="17"/>
      <c r="CP42" s="17"/>
      <c r="CQ42" s="17"/>
      <c r="CR42" s="16"/>
      <c r="CS42" s="17"/>
      <c r="CT42" s="17"/>
      <c r="CU42" s="16"/>
      <c r="CV42" s="17"/>
      <c r="CW42" s="17"/>
      <c r="CX42" s="21"/>
      <c r="CY42" s="17"/>
      <c r="CZ42" s="17"/>
      <c r="DA42" s="17"/>
      <c r="DB42" s="17"/>
      <c r="DC42" s="133"/>
      <c r="DD42" s="17"/>
      <c r="DE42" s="16"/>
      <c r="DF42" s="17"/>
      <c r="DG42" s="17"/>
      <c r="DH42" s="98"/>
      <c r="DI42" s="97"/>
      <c r="DJ42" s="97"/>
      <c r="DK42" s="97"/>
      <c r="DL42" s="97"/>
      <c r="DM42" s="17"/>
      <c r="DN42" s="17"/>
      <c r="DO42" s="17"/>
      <c r="DP42" s="88"/>
      <c r="DQ42" s="92"/>
      <c r="DR42" s="92"/>
      <c r="DS42" s="92"/>
      <c r="DT42" s="92"/>
      <c r="DU42" s="88"/>
      <c r="DV42" s="100"/>
      <c r="DW42" s="144"/>
      <c r="DX42" s="144"/>
      <c r="DY42" s="100"/>
      <c r="DZ42" s="100"/>
      <c r="EA42" s="100"/>
      <c r="EB42" s="100"/>
      <c r="EC42" s="100"/>
      <c r="ED42" s="107"/>
      <c r="EE42" s="102"/>
      <c r="EF42" s="100"/>
      <c r="EG42" s="100"/>
      <c r="EH42" s="100"/>
      <c r="EI42" s="100"/>
      <c r="EJ42" s="100"/>
      <c r="EK42" s="100"/>
      <c r="EL42" s="100"/>
      <c r="EM42" s="107"/>
      <c r="EN42" s="123"/>
      <c r="EO42" s="100"/>
      <c r="EP42" s="100"/>
      <c r="EQ42" s="100"/>
      <c r="ER42" s="100"/>
      <c r="ES42" s="100"/>
      <c r="ET42" s="100"/>
      <c r="EU42" s="100"/>
      <c r="EV42" s="143"/>
      <c r="EW42" s="155">
        <v>45590</v>
      </c>
      <c r="EX42" s="156">
        <v>45595</v>
      </c>
      <c r="EY42" s="160">
        <f t="shared" si="35"/>
        <v>5</v>
      </c>
    </row>
    <row r="43" spans="1:155" s="65" customFormat="1" ht="14.95" customHeight="1" x14ac:dyDescent="0.25">
      <c r="A43" s="194"/>
      <c r="B43" s="188"/>
      <c r="C43" s="22" t="s">
        <v>158</v>
      </c>
      <c r="D43" s="23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24"/>
      <c r="AY43" s="24"/>
      <c r="AZ43" s="24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88"/>
      <c r="BT43" s="88"/>
      <c r="BU43" s="88"/>
      <c r="BV43" s="88"/>
      <c r="BW43" s="88"/>
      <c r="BX43" s="88"/>
      <c r="BY43" s="88"/>
      <c r="BZ43" s="88"/>
      <c r="CA43" s="88"/>
      <c r="CB43" s="88"/>
      <c r="CC43" s="88"/>
      <c r="CD43" s="90"/>
      <c r="CE43" s="19"/>
      <c r="CF43" s="16"/>
      <c r="CG43" s="17"/>
      <c r="CH43" s="17"/>
      <c r="CI43" s="16"/>
      <c r="CJ43" s="17"/>
      <c r="CK43" s="17"/>
      <c r="CL43" s="16"/>
      <c r="CM43" s="17"/>
      <c r="CN43" s="17"/>
      <c r="CO43" s="17"/>
      <c r="CP43" s="17"/>
      <c r="CQ43" s="17"/>
      <c r="CR43" s="16"/>
      <c r="CS43" s="17"/>
      <c r="CT43" s="17"/>
      <c r="CU43" s="16"/>
      <c r="CV43" s="17"/>
      <c r="CW43" s="17"/>
      <c r="CX43" s="21"/>
      <c r="CY43" s="17"/>
      <c r="CZ43" s="17"/>
      <c r="DA43" s="17"/>
      <c r="DB43" s="17"/>
      <c r="DC43" s="133"/>
      <c r="DD43" s="17"/>
      <c r="DE43" s="16"/>
      <c r="DF43" s="17"/>
      <c r="DG43" s="17"/>
      <c r="DH43" s="98"/>
      <c r="DI43" s="97"/>
      <c r="DJ43" s="97"/>
      <c r="DK43" s="97"/>
      <c r="DL43" s="97"/>
      <c r="DM43" s="17"/>
      <c r="DN43" s="17"/>
      <c r="DO43" s="17"/>
      <c r="DP43" s="88"/>
      <c r="DQ43" s="92"/>
      <c r="DR43" s="92"/>
      <c r="DS43" s="92"/>
      <c r="DT43" s="92"/>
      <c r="DU43" s="88"/>
      <c r="DV43" s="100"/>
      <c r="DW43" s="100"/>
      <c r="DX43" s="144"/>
      <c r="DY43" s="144"/>
      <c r="DZ43" s="144"/>
      <c r="EA43" s="144"/>
      <c r="EB43" s="144"/>
      <c r="EC43" s="144"/>
      <c r="ED43" s="107"/>
      <c r="EE43" s="102"/>
      <c r="EF43" s="100"/>
      <c r="EG43" s="100"/>
      <c r="EH43" s="100"/>
      <c r="EI43" s="100"/>
      <c r="EJ43" s="100"/>
      <c r="EK43" s="100"/>
      <c r="EL43" s="100"/>
      <c r="EM43" s="107"/>
      <c r="EN43" s="123"/>
      <c r="EO43" s="100"/>
      <c r="EP43" s="100"/>
      <c r="EQ43" s="100"/>
      <c r="ER43" s="100"/>
      <c r="ES43" s="100"/>
      <c r="ET43" s="100"/>
      <c r="EU43" s="100"/>
      <c r="EV43" s="143"/>
      <c r="EW43" s="155">
        <v>38290</v>
      </c>
      <c r="EX43" s="156">
        <v>45626</v>
      </c>
      <c r="EY43" s="160">
        <f t="shared" si="35"/>
        <v>7336</v>
      </c>
    </row>
    <row r="44" spans="1:155" s="65" customFormat="1" ht="14.95" customHeight="1" x14ac:dyDescent="0.25">
      <c r="A44" s="194"/>
      <c r="B44" s="188"/>
      <c r="C44" s="22" t="s">
        <v>159</v>
      </c>
      <c r="D44" s="23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88"/>
      <c r="BT44" s="88"/>
      <c r="BU44" s="88"/>
      <c r="BV44" s="88"/>
      <c r="BW44" s="88"/>
      <c r="BX44" s="88"/>
      <c r="BY44" s="88"/>
      <c r="BZ44" s="88"/>
      <c r="CA44" s="88"/>
      <c r="CB44" s="88"/>
      <c r="CC44" s="88"/>
      <c r="CD44" s="90"/>
      <c r="CE44" s="19"/>
      <c r="CF44" s="16"/>
      <c r="CG44" s="17"/>
      <c r="CH44" s="17"/>
      <c r="CI44" s="16"/>
      <c r="CJ44" s="17"/>
      <c r="CK44" s="17"/>
      <c r="CL44" s="16"/>
      <c r="CM44" s="17"/>
      <c r="CN44" s="17"/>
      <c r="CO44" s="17"/>
      <c r="CP44" s="17"/>
      <c r="CQ44" s="17"/>
      <c r="CR44" s="16"/>
      <c r="CS44" s="17"/>
      <c r="CT44" s="17"/>
      <c r="CU44" s="16"/>
      <c r="CV44" s="17"/>
      <c r="CW44" s="17"/>
      <c r="CX44" s="21"/>
      <c r="CY44" s="17"/>
      <c r="CZ44" s="17"/>
      <c r="DA44" s="17"/>
      <c r="DB44" s="17"/>
      <c r="DC44" s="133"/>
      <c r="DD44" s="17"/>
      <c r="DE44" s="16"/>
      <c r="DF44" s="17"/>
      <c r="DG44" s="17"/>
      <c r="DH44" s="98"/>
      <c r="DI44" s="97"/>
      <c r="DJ44" s="97"/>
      <c r="DK44" s="97"/>
      <c r="DL44" s="97"/>
      <c r="DM44" s="17"/>
      <c r="DN44" s="17"/>
      <c r="DO44" s="17"/>
      <c r="DP44" s="88"/>
      <c r="DQ44" s="92"/>
      <c r="DR44" s="92"/>
      <c r="DS44" s="92"/>
      <c r="DT44" s="92"/>
      <c r="DU44" s="88"/>
      <c r="DV44" s="144"/>
      <c r="DW44" s="144"/>
      <c r="DX44" s="144"/>
      <c r="DY44" s="144"/>
      <c r="DZ44" s="144"/>
      <c r="EA44" s="144"/>
      <c r="EB44" s="100"/>
      <c r="EC44" s="100"/>
      <c r="ED44" s="107"/>
      <c r="EE44" s="102"/>
      <c r="EF44" s="100"/>
      <c r="EG44" s="100"/>
      <c r="EH44" s="100"/>
      <c r="EI44" s="100"/>
      <c r="EJ44" s="100"/>
      <c r="EK44" s="100"/>
      <c r="EL44" s="100"/>
      <c r="EM44" s="107"/>
      <c r="EN44" s="123"/>
      <c r="EO44" s="100"/>
      <c r="EP44" s="100"/>
      <c r="EQ44" s="100"/>
      <c r="ER44" s="100"/>
      <c r="ES44" s="100"/>
      <c r="ET44" s="100"/>
      <c r="EU44" s="100"/>
      <c r="EV44" s="143"/>
      <c r="EW44" s="155">
        <v>45595</v>
      </c>
      <c r="EX44" s="156">
        <v>45611</v>
      </c>
      <c r="EY44" s="160">
        <f t="shared" si="35"/>
        <v>16</v>
      </c>
    </row>
    <row r="45" spans="1:155" s="65" customFormat="1" ht="14.95" customHeight="1" x14ac:dyDescent="0.25">
      <c r="A45" s="194"/>
      <c r="B45" s="188"/>
      <c r="C45" s="22" t="s">
        <v>160</v>
      </c>
      <c r="D45" s="23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88"/>
      <c r="BT45" s="88"/>
      <c r="BU45" s="88"/>
      <c r="BV45" s="88"/>
      <c r="BW45" s="88"/>
      <c r="BX45" s="88"/>
      <c r="BY45" s="88"/>
      <c r="BZ45" s="88"/>
      <c r="CA45" s="88"/>
      <c r="CB45" s="88"/>
      <c r="CC45" s="88"/>
      <c r="CD45" s="90"/>
      <c r="CE45" s="19"/>
      <c r="CF45" s="16"/>
      <c r="CG45" s="17"/>
      <c r="CH45" s="17"/>
      <c r="CI45" s="16"/>
      <c r="CJ45" s="17"/>
      <c r="CK45" s="17"/>
      <c r="CL45" s="16"/>
      <c r="CM45" s="17"/>
      <c r="CN45" s="17"/>
      <c r="CO45" s="17"/>
      <c r="CP45" s="17"/>
      <c r="CQ45" s="17"/>
      <c r="CR45" s="16"/>
      <c r="CS45" s="17"/>
      <c r="CT45" s="17"/>
      <c r="CU45" s="16"/>
      <c r="CV45" s="17"/>
      <c r="CW45" s="17"/>
      <c r="CX45" s="21"/>
      <c r="CY45" s="17"/>
      <c r="CZ45" s="17"/>
      <c r="DA45" s="17"/>
      <c r="DB45" s="17"/>
      <c r="DC45" s="133"/>
      <c r="DD45" s="17"/>
      <c r="DE45" s="16"/>
      <c r="DF45" s="17"/>
      <c r="DG45" s="17"/>
      <c r="DH45" s="98"/>
      <c r="DI45" s="97"/>
      <c r="DJ45" s="97"/>
      <c r="DK45" s="97"/>
      <c r="DL45" s="97"/>
      <c r="DM45" s="17"/>
      <c r="DN45" s="17"/>
      <c r="DO45" s="17"/>
      <c r="DP45" s="88"/>
      <c r="DQ45" s="92"/>
      <c r="DR45" s="92"/>
      <c r="DS45" s="92"/>
      <c r="DT45" s="92"/>
      <c r="DU45" s="88"/>
      <c r="DV45" s="100"/>
      <c r="DW45" s="100"/>
      <c r="DX45" s="100"/>
      <c r="DY45" s="100"/>
      <c r="DZ45" s="100"/>
      <c r="EA45" s="144"/>
      <c r="EB45" s="144"/>
      <c r="EC45" s="144"/>
      <c r="ED45" s="157"/>
      <c r="EE45" s="158"/>
      <c r="EF45" s="144"/>
      <c r="EG45" s="100"/>
      <c r="EH45" s="100"/>
      <c r="EI45" s="100"/>
      <c r="EJ45" s="100"/>
      <c r="EK45" s="100"/>
      <c r="EL45" s="100"/>
      <c r="EM45" s="107"/>
      <c r="EN45" s="123"/>
      <c r="EO45" s="100"/>
      <c r="EP45" s="100"/>
      <c r="EQ45" s="100"/>
      <c r="ER45" s="100"/>
      <c r="ES45" s="100"/>
      <c r="ET45" s="100"/>
      <c r="EU45" s="100"/>
      <c r="EV45" s="143"/>
      <c r="EW45" s="155">
        <v>45611</v>
      </c>
      <c r="EX45" s="156">
        <v>45641</v>
      </c>
      <c r="EY45" s="160">
        <f t="shared" si="35"/>
        <v>30</v>
      </c>
    </row>
    <row r="46" spans="1:155" s="65" customFormat="1" ht="14.95" customHeight="1" x14ac:dyDescent="0.25">
      <c r="A46" s="194"/>
      <c r="B46" s="188"/>
      <c r="C46" s="22" t="s">
        <v>23</v>
      </c>
      <c r="D46" s="23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88"/>
      <c r="BT46" s="88"/>
      <c r="BU46" s="88"/>
      <c r="BV46" s="88"/>
      <c r="BW46" s="88"/>
      <c r="BX46" s="88"/>
      <c r="BY46" s="88"/>
      <c r="BZ46" s="88"/>
      <c r="CA46" s="88"/>
      <c r="CB46" s="88"/>
      <c r="CC46" s="88"/>
      <c r="CD46" s="90"/>
      <c r="CE46" s="19"/>
      <c r="CF46" s="16"/>
      <c r="CG46" s="17"/>
      <c r="CH46" s="17"/>
      <c r="CI46" s="16"/>
      <c r="CJ46" s="17"/>
      <c r="CK46" s="17"/>
      <c r="CL46" s="16"/>
      <c r="CM46" s="17"/>
      <c r="CN46" s="17"/>
      <c r="CO46" s="17"/>
      <c r="CP46" s="17"/>
      <c r="CQ46" s="17"/>
      <c r="CR46" s="16"/>
      <c r="CS46" s="17"/>
      <c r="CT46" s="17"/>
      <c r="CU46" s="16"/>
      <c r="CV46" s="17"/>
      <c r="CW46" s="17"/>
      <c r="CX46" s="21"/>
      <c r="CY46" s="17"/>
      <c r="CZ46" s="17"/>
      <c r="DA46" s="17"/>
      <c r="DB46" s="17"/>
      <c r="DC46" s="133"/>
      <c r="DD46" s="17"/>
      <c r="DE46" s="16"/>
      <c r="DF46" s="17"/>
      <c r="DG46" s="17"/>
      <c r="DH46" s="98"/>
      <c r="DI46" s="97"/>
      <c r="DJ46" s="97"/>
      <c r="DK46" s="97"/>
      <c r="DL46" s="97"/>
      <c r="DM46" s="17"/>
      <c r="DN46" s="17"/>
      <c r="DO46" s="17"/>
      <c r="DP46" s="88"/>
      <c r="DQ46" s="92"/>
      <c r="DR46" s="92"/>
      <c r="DS46" s="92"/>
      <c r="DT46" s="92"/>
      <c r="DU46" s="88"/>
      <c r="DV46" s="100"/>
      <c r="DW46" s="100"/>
      <c r="DX46" s="100"/>
      <c r="DY46" s="100"/>
      <c r="DZ46" s="100"/>
      <c r="EA46" s="100"/>
      <c r="EB46" s="100"/>
      <c r="EC46" s="100"/>
      <c r="ED46" s="107"/>
      <c r="EE46" s="102"/>
      <c r="EF46" s="144"/>
      <c r="EG46" s="144"/>
      <c r="EH46" s="144"/>
      <c r="EI46" s="144"/>
      <c r="EJ46" s="100"/>
      <c r="EK46" s="100"/>
      <c r="EL46" s="100"/>
      <c r="EM46" s="107"/>
      <c r="EN46" s="123"/>
      <c r="EO46" s="100"/>
      <c r="EP46" s="100"/>
      <c r="EQ46" s="100"/>
      <c r="ER46" s="100"/>
      <c r="ES46" s="100"/>
      <c r="ET46" s="100"/>
      <c r="EU46" s="100"/>
      <c r="EV46" s="143"/>
      <c r="EW46" s="155">
        <v>45641</v>
      </c>
      <c r="EX46" s="156">
        <v>45656</v>
      </c>
      <c r="EY46" s="160">
        <f t="shared" si="35"/>
        <v>15</v>
      </c>
    </row>
    <row r="47" spans="1:155" s="65" customFormat="1" ht="14.95" customHeight="1" x14ac:dyDescent="0.25">
      <c r="A47" s="194"/>
      <c r="B47" s="188"/>
      <c r="C47" s="22" t="s">
        <v>161</v>
      </c>
      <c r="D47" s="23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88"/>
      <c r="BT47" s="88"/>
      <c r="BU47" s="88"/>
      <c r="BV47" s="88"/>
      <c r="BW47" s="88"/>
      <c r="BX47" s="88"/>
      <c r="BY47" s="88"/>
      <c r="BZ47" s="88"/>
      <c r="CA47" s="88"/>
      <c r="CB47" s="88"/>
      <c r="CC47" s="88"/>
      <c r="CD47" s="90"/>
      <c r="CE47" s="19"/>
      <c r="CF47" s="16"/>
      <c r="CG47" s="17"/>
      <c r="CH47" s="17"/>
      <c r="CI47" s="16"/>
      <c r="CJ47" s="17"/>
      <c r="CK47" s="17"/>
      <c r="CL47" s="16"/>
      <c r="CM47" s="17"/>
      <c r="CN47" s="17"/>
      <c r="CO47" s="17"/>
      <c r="CP47" s="17"/>
      <c r="CQ47" s="17"/>
      <c r="CR47" s="16"/>
      <c r="CS47" s="17"/>
      <c r="CT47" s="17"/>
      <c r="CU47" s="16"/>
      <c r="CV47" s="17"/>
      <c r="CW47" s="17"/>
      <c r="CX47" s="21"/>
      <c r="CY47" s="17"/>
      <c r="CZ47" s="17"/>
      <c r="DA47" s="17"/>
      <c r="DB47" s="17"/>
      <c r="DC47" s="133"/>
      <c r="DD47" s="17"/>
      <c r="DE47" s="16"/>
      <c r="DF47" s="17"/>
      <c r="DG47" s="17"/>
      <c r="DH47" s="98"/>
      <c r="DI47" s="97"/>
      <c r="DJ47" s="97"/>
      <c r="DK47" s="97"/>
      <c r="DL47" s="97"/>
      <c r="DM47" s="17"/>
      <c r="DN47" s="17"/>
      <c r="DO47" s="17"/>
      <c r="DP47" s="88"/>
      <c r="DQ47" s="92"/>
      <c r="DR47" s="92"/>
      <c r="DS47" s="92"/>
      <c r="DT47" s="92"/>
      <c r="DU47" s="88"/>
      <c r="DV47" s="100"/>
      <c r="DW47" s="100"/>
      <c r="DX47" s="100"/>
      <c r="DY47" s="100"/>
      <c r="DZ47" s="100"/>
      <c r="EA47" s="100"/>
      <c r="EB47" s="100"/>
      <c r="EC47" s="100"/>
      <c r="ED47" s="107"/>
      <c r="EE47" s="102"/>
      <c r="EF47" s="100"/>
      <c r="EG47" s="100"/>
      <c r="EH47" s="100"/>
      <c r="EI47" s="144"/>
      <c r="EJ47" s="144"/>
      <c r="EK47" s="144"/>
      <c r="EL47" s="144"/>
      <c r="EM47" s="157"/>
      <c r="EN47" s="164"/>
      <c r="EO47" s="144"/>
      <c r="EP47" s="144"/>
      <c r="EQ47" s="144"/>
      <c r="ER47" s="144"/>
      <c r="ES47" s="100"/>
      <c r="ET47" s="100"/>
      <c r="EU47" s="100"/>
      <c r="EV47" s="143"/>
      <c r="EW47" s="155">
        <v>45658</v>
      </c>
      <c r="EX47" s="156">
        <v>45703</v>
      </c>
      <c r="EY47" s="160">
        <f t="shared" si="35"/>
        <v>45</v>
      </c>
    </row>
    <row r="48" spans="1:155" s="65" customFormat="1" ht="14.95" customHeight="1" x14ac:dyDescent="0.25">
      <c r="A48" s="194"/>
      <c r="B48" s="188"/>
      <c r="C48" s="22" t="s">
        <v>162</v>
      </c>
      <c r="D48" s="23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88"/>
      <c r="BT48" s="88"/>
      <c r="BU48" s="88"/>
      <c r="BV48" s="88"/>
      <c r="BW48" s="88"/>
      <c r="BX48" s="88"/>
      <c r="BY48" s="88"/>
      <c r="BZ48" s="88"/>
      <c r="CA48" s="88"/>
      <c r="CB48" s="88"/>
      <c r="CC48" s="88"/>
      <c r="CD48" s="90"/>
      <c r="CE48" s="19"/>
      <c r="CF48" s="16"/>
      <c r="CG48" s="17"/>
      <c r="CH48" s="17"/>
      <c r="CI48" s="16"/>
      <c r="CJ48" s="17"/>
      <c r="CK48" s="17"/>
      <c r="CL48" s="16"/>
      <c r="CM48" s="17"/>
      <c r="CN48" s="17"/>
      <c r="CO48" s="17"/>
      <c r="CP48" s="17"/>
      <c r="CQ48" s="17"/>
      <c r="CR48" s="16"/>
      <c r="CS48" s="17"/>
      <c r="CT48" s="17"/>
      <c r="CU48" s="16"/>
      <c r="CV48" s="17"/>
      <c r="CW48" s="17"/>
      <c r="CX48" s="21"/>
      <c r="CY48" s="17"/>
      <c r="CZ48" s="17"/>
      <c r="DA48" s="17"/>
      <c r="DB48" s="17"/>
      <c r="DC48" s="133"/>
      <c r="DD48" s="17"/>
      <c r="DE48" s="16"/>
      <c r="DF48" s="17"/>
      <c r="DG48" s="17"/>
      <c r="DH48" s="98"/>
      <c r="DI48" s="97"/>
      <c r="DJ48" s="97"/>
      <c r="DK48" s="97"/>
      <c r="DL48" s="97"/>
      <c r="DM48" s="17"/>
      <c r="DN48" s="17"/>
      <c r="DO48" s="17"/>
      <c r="DP48" s="88"/>
      <c r="DQ48" s="92"/>
      <c r="DR48" s="92"/>
      <c r="DS48" s="92"/>
      <c r="DT48" s="92"/>
      <c r="DU48" s="88"/>
      <c r="DV48" s="100"/>
      <c r="DW48" s="100"/>
      <c r="DX48" s="100"/>
      <c r="DY48" s="100"/>
      <c r="DZ48" s="100"/>
      <c r="EA48" s="100"/>
      <c r="EB48" s="100"/>
      <c r="EC48" s="100"/>
      <c r="ED48" s="107"/>
      <c r="EE48" s="102"/>
      <c r="EF48" s="100"/>
      <c r="EG48" s="100"/>
      <c r="EH48" s="100"/>
      <c r="EI48" s="100"/>
      <c r="EJ48" s="100"/>
      <c r="EK48" s="100"/>
      <c r="EL48" s="144"/>
      <c r="EM48" s="157"/>
      <c r="EN48" s="164"/>
      <c r="EO48" s="144"/>
      <c r="EP48" s="144"/>
      <c r="EQ48" s="144"/>
      <c r="ER48" s="144"/>
      <c r="ES48" s="100"/>
      <c r="ET48" s="100"/>
      <c r="EU48" s="100"/>
      <c r="EV48" s="143"/>
      <c r="EW48" s="155">
        <v>45672</v>
      </c>
      <c r="EX48" s="156">
        <v>45703</v>
      </c>
      <c r="EY48" s="160">
        <f t="shared" si="35"/>
        <v>31</v>
      </c>
    </row>
    <row r="49" spans="1:155" s="65" customFormat="1" ht="14.95" customHeight="1" x14ac:dyDescent="0.25">
      <c r="A49" s="194"/>
      <c r="B49" s="188"/>
      <c r="C49" s="22" t="s">
        <v>163</v>
      </c>
      <c r="D49" s="23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24"/>
      <c r="AY49" s="24"/>
      <c r="AZ49" s="24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88"/>
      <c r="BT49" s="88"/>
      <c r="BU49" s="88"/>
      <c r="BV49" s="88"/>
      <c r="BW49" s="88"/>
      <c r="BX49" s="88"/>
      <c r="BY49" s="88"/>
      <c r="BZ49" s="88"/>
      <c r="CA49" s="88"/>
      <c r="CB49" s="88"/>
      <c r="CC49" s="88"/>
      <c r="CD49" s="90"/>
      <c r="CE49" s="19"/>
      <c r="CF49" s="16"/>
      <c r="CG49" s="17"/>
      <c r="CH49" s="17"/>
      <c r="CI49" s="16"/>
      <c r="CJ49" s="17"/>
      <c r="CK49" s="17"/>
      <c r="CL49" s="16"/>
      <c r="CM49" s="17"/>
      <c r="CN49" s="17"/>
      <c r="CO49" s="17"/>
      <c r="CP49" s="17"/>
      <c r="CQ49" s="17"/>
      <c r="CR49" s="16"/>
      <c r="CS49" s="17"/>
      <c r="CT49" s="17"/>
      <c r="CU49" s="16"/>
      <c r="CV49" s="17"/>
      <c r="CW49" s="17"/>
      <c r="CX49" s="21"/>
      <c r="CY49" s="17"/>
      <c r="CZ49" s="17"/>
      <c r="DA49" s="17"/>
      <c r="DB49" s="17"/>
      <c r="DC49" s="133"/>
      <c r="DD49" s="17"/>
      <c r="DE49" s="16"/>
      <c r="DF49" s="17"/>
      <c r="DG49" s="17"/>
      <c r="DH49" s="98"/>
      <c r="DI49" s="97"/>
      <c r="DJ49" s="97"/>
      <c r="DK49" s="97"/>
      <c r="DL49" s="97"/>
      <c r="DM49" s="17"/>
      <c r="DN49" s="17"/>
      <c r="DO49" s="17"/>
      <c r="DP49" s="88"/>
      <c r="DQ49" s="92"/>
      <c r="DR49" s="92"/>
      <c r="DS49" s="92"/>
      <c r="DT49" s="92"/>
      <c r="DU49" s="88"/>
      <c r="DV49" s="100"/>
      <c r="DW49" s="100"/>
      <c r="DX49" s="100"/>
      <c r="DY49" s="100"/>
      <c r="DZ49" s="100"/>
      <c r="EA49" s="100"/>
      <c r="EB49" s="100"/>
      <c r="EC49" s="100"/>
      <c r="ED49" s="107"/>
      <c r="EE49" s="102"/>
      <c r="EF49" s="100"/>
      <c r="EG49" s="100"/>
      <c r="EH49" s="100"/>
      <c r="EI49" s="100"/>
      <c r="EJ49" s="100"/>
      <c r="EK49" s="100"/>
      <c r="EL49" s="144"/>
      <c r="EM49" s="157"/>
      <c r="EN49" s="164"/>
      <c r="EO49" s="144"/>
      <c r="EP49" s="144"/>
      <c r="EQ49" s="144"/>
      <c r="ER49" s="144"/>
      <c r="ES49" s="100"/>
      <c r="ET49" s="100"/>
      <c r="EU49" s="100"/>
      <c r="EV49" s="143"/>
      <c r="EW49" s="155">
        <v>45672</v>
      </c>
      <c r="EX49" s="156">
        <v>45703</v>
      </c>
      <c r="EY49" s="160">
        <f t="shared" si="35"/>
        <v>31</v>
      </c>
    </row>
    <row r="50" spans="1:155" s="65" customFormat="1" ht="14.95" customHeight="1" x14ac:dyDescent="0.25">
      <c r="A50" s="194"/>
      <c r="B50" s="188"/>
      <c r="C50" s="22" t="s">
        <v>164</v>
      </c>
      <c r="D50" s="23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88"/>
      <c r="BT50" s="88"/>
      <c r="BU50" s="88"/>
      <c r="BV50" s="88"/>
      <c r="BW50" s="88"/>
      <c r="BX50" s="88"/>
      <c r="BY50" s="88"/>
      <c r="BZ50" s="88"/>
      <c r="CA50" s="88"/>
      <c r="CB50" s="88"/>
      <c r="CC50" s="88"/>
      <c r="CD50" s="90"/>
      <c r="CE50" s="19"/>
      <c r="CF50" s="16"/>
      <c r="CG50" s="17"/>
      <c r="CH50" s="17"/>
      <c r="CI50" s="16"/>
      <c r="CJ50" s="17"/>
      <c r="CK50" s="17"/>
      <c r="CL50" s="16"/>
      <c r="CM50" s="17"/>
      <c r="CN50" s="17"/>
      <c r="CO50" s="17"/>
      <c r="CP50" s="17"/>
      <c r="CQ50" s="17"/>
      <c r="CR50" s="16"/>
      <c r="CS50" s="17"/>
      <c r="CT50" s="17"/>
      <c r="CU50" s="16"/>
      <c r="CV50" s="17"/>
      <c r="CW50" s="17"/>
      <c r="CX50" s="21"/>
      <c r="CY50" s="17"/>
      <c r="CZ50" s="17"/>
      <c r="DA50" s="17"/>
      <c r="DB50" s="17"/>
      <c r="DC50" s="133"/>
      <c r="DD50" s="17"/>
      <c r="DE50" s="16"/>
      <c r="DF50" s="17"/>
      <c r="DG50" s="17"/>
      <c r="DH50" s="98"/>
      <c r="DI50" s="97"/>
      <c r="DJ50" s="97"/>
      <c r="DK50" s="97"/>
      <c r="DL50" s="97"/>
      <c r="DM50" s="17"/>
      <c r="DN50" s="17"/>
      <c r="DO50" s="17"/>
      <c r="DP50" s="88"/>
      <c r="DQ50" s="88"/>
      <c r="DR50" s="88"/>
      <c r="DS50" s="88"/>
      <c r="DT50" s="92"/>
      <c r="DU50" s="92"/>
      <c r="DV50" s="100"/>
      <c r="DW50" s="100"/>
      <c r="DX50" s="100"/>
      <c r="DY50" s="100"/>
      <c r="DZ50" s="100"/>
      <c r="EA50" s="100"/>
      <c r="EB50" s="100"/>
      <c r="EC50" s="100"/>
      <c r="ED50" s="107"/>
      <c r="EE50" s="102"/>
      <c r="EF50" s="100"/>
      <c r="EG50" s="100"/>
      <c r="EH50" s="100"/>
      <c r="EI50" s="144"/>
      <c r="EJ50" s="144"/>
      <c r="EK50" s="144"/>
      <c r="EL50" s="144"/>
      <c r="EM50" s="157"/>
      <c r="EN50" s="164"/>
      <c r="EO50" s="144"/>
      <c r="EP50" s="144"/>
      <c r="EQ50" s="144"/>
      <c r="ER50" s="144"/>
      <c r="ES50" s="100"/>
      <c r="ET50" s="100"/>
      <c r="EU50" s="100"/>
      <c r="EV50" s="143"/>
      <c r="EW50" s="155">
        <v>45658</v>
      </c>
      <c r="EX50" s="156">
        <v>45703</v>
      </c>
      <c r="EY50" s="160">
        <f t="shared" si="35"/>
        <v>45</v>
      </c>
    </row>
    <row r="51" spans="1:155" s="65" customFormat="1" ht="14.95" customHeight="1" x14ac:dyDescent="0.25">
      <c r="A51" s="194"/>
      <c r="B51" s="188"/>
      <c r="C51" s="22" t="s">
        <v>165</v>
      </c>
      <c r="D51" s="23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88"/>
      <c r="BT51" s="88"/>
      <c r="BU51" s="88"/>
      <c r="BV51" s="88"/>
      <c r="BW51" s="88"/>
      <c r="BX51" s="88"/>
      <c r="BY51" s="88"/>
      <c r="BZ51" s="88"/>
      <c r="CA51" s="88"/>
      <c r="CB51" s="88"/>
      <c r="CC51" s="88"/>
      <c r="CD51" s="90"/>
      <c r="CE51" s="19"/>
      <c r="CF51" s="16"/>
      <c r="CG51" s="17"/>
      <c r="CH51" s="17"/>
      <c r="CI51" s="16"/>
      <c r="CJ51" s="17"/>
      <c r="CK51" s="17"/>
      <c r="CL51" s="16"/>
      <c r="CM51" s="17"/>
      <c r="CN51" s="17"/>
      <c r="CO51" s="17"/>
      <c r="CP51" s="17"/>
      <c r="CQ51" s="17"/>
      <c r="CR51" s="16"/>
      <c r="CS51" s="17"/>
      <c r="CT51" s="17"/>
      <c r="CU51" s="16"/>
      <c r="CV51" s="17"/>
      <c r="CW51" s="17"/>
      <c r="CX51" s="21"/>
      <c r="CY51" s="17"/>
      <c r="CZ51" s="17"/>
      <c r="DA51" s="17"/>
      <c r="DB51" s="17"/>
      <c r="DC51" s="133"/>
      <c r="DD51" s="17"/>
      <c r="DE51" s="16"/>
      <c r="DF51" s="17"/>
      <c r="DG51" s="17"/>
      <c r="DH51" s="98"/>
      <c r="DI51" s="97"/>
      <c r="DJ51" s="97"/>
      <c r="DK51" s="97"/>
      <c r="DL51" s="97"/>
      <c r="DM51" s="97"/>
      <c r="DN51" s="17"/>
      <c r="DO51" s="17"/>
      <c r="DP51" s="88"/>
      <c r="DQ51" s="88"/>
      <c r="DR51" s="88"/>
      <c r="DS51" s="88"/>
      <c r="DT51" s="88"/>
      <c r="DU51" s="88"/>
      <c r="DV51" s="100"/>
      <c r="DW51" s="100"/>
      <c r="DX51" s="100"/>
      <c r="DY51" s="100"/>
      <c r="DZ51" s="100"/>
      <c r="EA51" s="100"/>
      <c r="EB51" s="100"/>
      <c r="EC51" s="100"/>
      <c r="ED51" s="107"/>
      <c r="EE51" s="102"/>
      <c r="EF51" s="100"/>
      <c r="EG51" s="100"/>
      <c r="EH51" s="100"/>
      <c r="EI51" s="100"/>
      <c r="EJ51" s="100"/>
      <c r="EK51" s="100"/>
      <c r="EL51" s="100"/>
      <c r="EM51" s="107"/>
      <c r="EN51" s="123"/>
      <c r="EO51" s="100"/>
      <c r="EP51" s="100"/>
      <c r="EQ51" s="100"/>
      <c r="ER51" s="144"/>
      <c r="ES51" s="144"/>
      <c r="ET51" s="144"/>
      <c r="EU51" s="100"/>
      <c r="EV51" s="143"/>
      <c r="EW51" s="155">
        <v>45703</v>
      </c>
      <c r="EX51" s="156">
        <v>45708</v>
      </c>
      <c r="EY51" s="160">
        <f t="shared" si="35"/>
        <v>5</v>
      </c>
    </row>
    <row r="52" spans="1:155" s="65" customFormat="1" ht="14.95" customHeight="1" x14ac:dyDescent="0.25">
      <c r="A52" s="194"/>
      <c r="B52" s="188"/>
      <c r="C52" s="22" t="s">
        <v>166</v>
      </c>
      <c r="D52" s="23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88"/>
      <c r="BT52" s="88"/>
      <c r="BU52" s="88"/>
      <c r="BV52" s="88"/>
      <c r="BW52" s="88"/>
      <c r="BX52" s="88"/>
      <c r="BY52" s="88"/>
      <c r="BZ52" s="88"/>
      <c r="CA52" s="88"/>
      <c r="CB52" s="88"/>
      <c r="CC52" s="88"/>
      <c r="CD52" s="90"/>
      <c r="CE52" s="19"/>
      <c r="CF52" s="16"/>
      <c r="CG52" s="17"/>
      <c r="CH52" s="17"/>
      <c r="CI52" s="16"/>
      <c r="CJ52" s="17"/>
      <c r="CK52" s="17"/>
      <c r="CL52" s="16"/>
      <c r="CM52" s="17"/>
      <c r="CN52" s="17"/>
      <c r="CO52" s="17"/>
      <c r="CP52" s="17"/>
      <c r="CQ52" s="17"/>
      <c r="CR52" s="16"/>
      <c r="CS52" s="17"/>
      <c r="CT52" s="17"/>
      <c r="CU52" s="16"/>
      <c r="CV52" s="17"/>
      <c r="CW52" s="17"/>
      <c r="CX52" s="21"/>
      <c r="CY52" s="17"/>
      <c r="CZ52" s="17"/>
      <c r="DA52" s="17"/>
      <c r="DB52" s="17"/>
      <c r="DC52" s="133"/>
      <c r="DD52" s="17"/>
      <c r="DE52" s="16"/>
      <c r="DF52" s="17"/>
      <c r="DG52" s="17"/>
      <c r="DH52" s="98"/>
      <c r="DI52" s="97"/>
      <c r="DJ52" s="97"/>
      <c r="DK52" s="97"/>
      <c r="DL52" s="97"/>
      <c r="DM52" s="97"/>
      <c r="DN52" s="17"/>
      <c r="DO52" s="17"/>
      <c r="DP52" s="88"/>
      <c r="DQ52" s="88"/>
      <c r="DR52" s="88"/>
      <c r="DS52" s="88"/>
      <c r="DT52" s="88"/>
      <c r="DU52" s="88"/>
      <c r="DV52" s="100"/>
      <c r="DW52" s="100"/>
      <c r="DX52" s="100"/>
      <c r="DY52" s="100"/>
      <c r="DZ52" s="100"/>
      <c r="EA52" s="100"/>
      <c r="EB52" s="100"/>
      <c r="EC52" s="100"/>
      <c r="ED52" s="107"/>
      <c r="EE52" s="102"/>
      <c r="EF52" s="100"/>
      <c r="EG52" s="100"/>
      <c r="EH52" s="100"/>
      <c r="EI52" s="100"/>
      <c r="EJ52" s="100"/>
      <c r="EK52" s="100"/>
      <c r="EL52" s="100"/>
      <c r="EM52" s="107"/>
      <c r="EN52" s="123"/>
      <c r="EO52" s="100"/>
      <c r="EP52" s="100"/>
      <c r="EQ52" s="100"/>
      <c r="ER52" s="100"/>
      <c r="ES52" s="100"/>
      <c r="ET52" s="100"/>
      <c r="EU52" s="100"/>
      <c r="EV52" s="143"/>
      <c r="EW52" s="89"/>
      <c r="EX52" s="88"/>
      <c r="EY52" s="160">
        <f t="shared" si="35"/>
        <v>0</v>
      </c>
    </row>
    <row r="53" spans="1:155" s="65" customFormat="1" ht="14.95" customHeight="1" x14ac:dyDescent="0.25">
      <c r="A53" s="202">
        <v>6</v>
      </c>
      <c r="B53" s="203" t="s">
        <v>50</v>
      </c>
      <c r="C53" s="22" t="s">
        <v>51</v>
      </c>
      <c r="D53" s="23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88"/>
      <c r="BT53" s="88"/>
      <c r="BU53" s="88"/>
      <c r="BV53" s="88"/>
      <c r="BW53" s="88"/>
      <c r="BX53" s="88"/>
      <c r="BY53" s="88"/>
      <c r="BZ53" s="88"/>
      <c r="CA53" s="88"/>
      <c r="CB53" s="88"/>
      <c r="CC53" s="88"/>
      <c r="CD53" s="90"/>
      <c r="CE53" s="19"/>
      <c r="CF53" s="16"/>
      <c r="CG53" s="17"/>
      <c r="CH53" s="17"/>
      <c r="CI53" s="16"/>
      <c r="CJ53" s="17"/>
      <c r="CK53" s="97"/>
      <c r="CL53" s="99"/>
      <c r="CM53" s="97"/>
      <c r="CN53" s="97"/>
      <c r="CO53" s="97"/>
      <c r="CP53" s="97"/>
      <c r="CQ53" s="17"/>
      <c r="CR53" s="16"/>
      <c r="CS53" s="17"/>
      <c r="CT53" s="17"/>
      <c r="CU53" s="16"/>
      <c r="CV53" s="17"/>
      <c r="CW53" s="17"/>
      <c r="CX53" s="21"/>
      <c r="CY53" s="17"/>
      <c r="CZ53" s="17"/>
      <c r="DA53" s="17"/>
      <c r="DB53" s="17"/>
      <c r="DC53" s="133"/>
      <c r="DD53" s="17"/>
      <c r="DE53" s="16"/>
      <c r="DF53" s="17"/>
      <c r="DG53" s="17"/>
      <c r="DH53" s="16"/>
      <c r="DI53" s="17"/>
      <c r="DJ53" s="17"/>
      <c r="DK53" s="17"/>
      <c r="DL53" s="17"/>
      <c r="DM53" s="17"/>
      <c r="DN53" s="17"/>
      <c r="DO53" s="17"/>
      <c r="DP53" s="88"/>
      <c r="DQ53" s="88"/>
      <c r="DR53" s="88"/>
      <c r="DS53" s="88"/>
      <c r="DT53" s="92"/>
      <c r="DU53" s="92"/>
      <c r="DV53" s="144"/>
      <c r="DW53" s="144"/>
      <c r="DX53" s="144"/>
      <c r="DY53" s="144"/>
      <c r="DZ53" s="144"/>
      <c r="EA53" s="144"/>
      <c r="EB53" s="144"/>
      <c r="EC53" s="144"/>
      <c r="ED53" s="157"/>
      <c r="EE53" s="158"/>
      <c r="EF53" s="144"/>
      <c r="EG53" s="144"/>
      <c r="EH53" s="144"/>
      <c r="EI53" s="100"/>
      <c r="EJ53" s="100"/>
      <c r="EK53" s="100"/>
      <c r="EL53" s="100"/>
      <c r="EM53" s="107"/>
      <c r="EN53" s="123"/>
      <c r="EO53" s="100"/>
      <c r="EP53" s="100"/>
      <c r="EQ53" s="100"/>
      <c r="ER53" s="100"/>
      <c r="ES53" s="100"/>
      <c r="ET53" s="100"/>
      <c r="EU53" s="100"/>
      <c r="EV53" s="143"/>
      <c r="EW53" s="155">
        <v>45580</v>
      </c>
      <c r="EX53" s="156">
        <v>45656</v>
      </c>
      <c r="EY53" s="160">
        <f t="shared" si="35"/>
        <v>76</v>
      </c>
    </row>
    <row r="54" spans="1:155" s="65" customFormat="1" ht="14.95" customHeight="1" x14ac:dyDescent="0.25">
      <c r="A54" s="202"/>
      <c r="B54" s="203"/>
      <c r="C54" s="22" t="s">
        <v>148</v>
      </c>
      <c r="D54" s="23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88"/>
      <c r="BT54" s="88"/>
      <c r="BU54" s="88"/>
      <c r="BV54" s="88"/>
      <c r="BW54" s="88"/>
      <c r="BX54" s="88"/>
      <c r="BY54" s="88"/>
      <c r="BZ54" s="88"/>
      <c r="CA54" s="88"/>
      <c r="CB54" s="88"/>
      <c r="CC54" s="88"/>
      <c r="CD54" s="90"/>
      <c r="CE54" s="19"/>
      <c r="CF54" s="16"/>
      <c r="CG54" s="17"/>
      <c r="CH54" s="17"/>
      <c r="CI54" s="16"/>
      <c r="CJ54" s="17"/>
      <c r="CK54" s="97"/>
      <c r="CL54" s="99"/>
      <c r="CM54" s="97"/>
      <c r="CN54" s="97"/>
      <c r="CO54" s="97"/>
      <c r="CP54" s="97"/>
      <c r="CQ54" s="17"/>
      <c r="CR54" s="16"/>
      <c r="CS54" s="17"/>
      <c r="CT54" s="17"/>
      <c r="CU54" s="16"/>
      <c r="CV54" s="17"/>
      <c r="CW54" s="17"/>
      <c r="CX54" s="21"/>
      <c r="CY54" s="17"/>
      <c r="CZ54" s="17"/>
      <c r="DA54" s="17"/>
      <c r="DB54" s="17"/>
      <c r="DC54" s="133"/>
      <c r="DD54" s="17"/>
      <c r="DE54" s="16"/>
      <c r="DF54" s="17"/>
      <c r="DG54" s="17"/>
      <c r="DH54" s="16"/>
      <c r="DI54" s="17"/>
      <c r="DJ54" s="17"/>
      <c r="DK54" s="17"/>
      <c r="DL54" s="17"/>
      <c r="DM54" s="17"/>
      <c r="DN54" s="17"/>
      <c r="DO54" s="17"/>
      <c r="DP54" s="88"/>
      <c r="DQ54" s="88"/>
      <c r="DR54" s="88"/>
      <c r="DS54" s="88"/>
      <c r="DT54" s="92"/>
      <c r="DU54" s="92"/>
      <c r="DV54" s="144"/>
      <c r="DW54" s="144"/>
      <c r="DX54" s="144"/>
      <c r="DY54" s="100"/>
      <c r="DZ54" s="100"/>
      <c r="EA54" s="100"/>
      <c r="EB54" s="100"/>
      <c r="EC54" s="100"/>
      <c r="ED54" s="107"/>
      <c r="EE54" s="102"/>
      <c r="EF54" s="100"/>
      <c r="EG54" s="100"/>
      <c r="EH54" s="100"/>
      <c r="EI54" s="100"/>
      <c r="EJ54" s="100"/>
      <c r="EK54" s="100"/>
      <c r="EL54" s="100"/>
      <c r="EM54" s="107"/>
      <c r="EN54" s="123"/>
      <c r="EO54" s="100"/>
      <c r="EP54" s="100"/>
      <c r="EQ54" s="100"/>
      <c r="ER54" s="100"/>
      <c r="ES54" s="100"/>
      <c r="ET54" s="100"/>
      <c r="EU54" s="100"/>
      <c r="EV54" s="143"/>
      <c r="EW54" s="155">
        <v>45580</v>
      </c>
      <c r="EX54" s="156">
        <v>45595</v>
      </c>
      <c r="EY54" s="160">
        <f t="shared" si="35"/>
        <v>15</v>
      </c>
    </row>
    <row r="55" spans="1:155" s="65" customFormat="1" ht="14.95" customHeight="1" x14ac:dyDescent="0.25">
      <c r="A55" s="202"/>
      <c r="B55" s="203"/>
      <c r="C55" s="22" t="s">
        <v>149</v>
      </c>
      <c r="D55" s="23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88"/>
      <c r="BT55" s="88"/>
      <c r="BU55" s="88"/>
      <c r="BV55" s="88"/>
      <c r="BW55" s="88"/>
      <c r="BX55" s="88"/>
      <c r="BY55" s="88"/>
      <c r="BZ55" s="88"/>
      <c r="CA55" s="88"/>
      <c r="CB55" s="88"/>
      <c r="CC55" s="88"/>
      <c r="CD55" s="90"/>
      <c r="CE55" s="19"/>
      <c r="CF55" s="16"/>
      <c r="CG55" s="17"/>
      <c r="CH55" s="17"/>
      <c r="CI55" s="16"/>
      <c r="CJ55" s="17"/>
      <c r="CK55" s="97"/>
      <c r="CL55" s="99"/>
      <c r="CM55" s="97"/>
      <c r="CN55" s="97"/>
      <c r="CO55" s="97"/>
      <c r="CP55" s="97"/>
      <c r="CQ55" s="17"/>
      <c r="CR55" s="16"/>
      <c r="CS55" s="17"/>
      <c r="CT55" s="17"/>
      <c r="CU55" s="16"/>
      <c r="CV55" s="17"/>
      <c r="CW55" s="17"/>
      <c r="CX55" s="21"/>
      <c r="CY55" s="17"/>
      <c r="CZ55" s="17"/>
      <c r="DA55" s="17"/>
      <c r="DB55" s="17"/>
      <c r="DC55" s="133"/>
      <c r="DD55" s="17"/>
      <c r="DE55" s="16"/>
      <c r="DF55" s="17"/>
      <c r="DG55" s="17"/>
      <c r="DH55" s="16"/>
      <c r="DI55" s="17"/>
      <c r="DJ55" s="17"/>
      <c r="DK55" s="17"/>
      <c r="DL55" s="17"/>
      <c r="DM55" s="17"/>
      <c r="DN55" s="17"/>
      <c r="DO55" s="17"/>
      <c r="DP55" s="88"/>
      <c r="DQ55" s="88"/>
      <c r="DR55" s="88"/>
      <c r="DS55" s="88"/>
      <c r="DT55" s="92"/>
      <c r="DU55" s="92"/>
      <c r="DV55" s="100"/>
      <c r="DW55" s="100"/>
      <c r="DX55" s="144"/>
      <c r="DY55" s="144"/>
      <c r="DZ55" s="144"/>
      <c r="EA55" s="144"/>
      <c r="EB55" s="100"/>
      <c r="EC55" s="100"/>
      <c r="ED55" s="107"/>
      <c r="EE55" s="102"/>
      <c r="EF55" s="100"/>
      <c r="EG55" s="100"/>
      <c r="EH55" s="100"/>
      <c r="EI55" s="100"/>
      <c r="EJ55" s="100"/>
      <c r="EK55" s="100"/>
      <c r="EL55" s="100"/>
      <c r="EM55" s="107"/>
      <c r="EN55" s="123"/>
      <c r="EO55" s="100"/>
      <c r="EP55" s="100"/>
      <c r="EQ55" s="100"/>
      <c r="ER55" s="100"/>
      <c r="ES55" s="100"/>
      <c r="ET55" s="100"/>
      <c r="EU55" s="100"/>
      <c r="EV55" s="143"/>
      <c r="EW55" s="155">
        <v>45595</v>
      </c>
      <c r="EX55" s="156">
        <v>45611</v>
      </c>
      <c r="EY55" s="160">
        <f t="shared" si="35"/>
        <v>16</v>
      </c>
    </row>
    <row r="56" spans="1:155" s="65" customFormat="1" ht="14.95" customHeight="1" x14ac:dyDescent="0.25">
      <c r="A56" s="202"/>
      <c r="B56" s="203"/>
      <c r="C56" s="22" t="s">
        <v>150</v>
      </c>
      <c r="D56" s="23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88"/>
      <c r="BT56" s="88"/>
      <c r="BU56" s="88"/>
      <c r="BV56" s="88"/>
      <c r="BW56" s="88"/>
      <c r="BX56" s="88"/>
      <c r="BY56" s="88"/>
      <c r="BZ56" s="88"/>
      <c r="CA56" s="88"/>
      <c r="CB56" s="88"/>
      <c r="CC56" s="88"/>
      <c r="CD56" s="90"/>
      <c r="CE56" s="19"/>
      <c r="CF56" s="16"/>
      <c r="CG56" s="17"/>
      <c r="CH56" s="17"/>
      <c r="CI56" s="16"/>
      <c r="CJ56" s="17"/>
      <c r="CK56" s="97"/>
      <c r="CL56" s="99"/>
      <c r="CM56" s="97"/>
      <c r="CN56" s="97"/>
      <c r="CO56" s="97"/>
      <c r="CP56" s="97"/>
      <c r="CQ56" s="17"/>
      <c r="CR56" s="16"/>
      <c r="CS56" s="17"/>
      <c r="CT56" s="17"/>
      <c r="CU56" s="16"/>
      <c r="CV56" s="17"/>
      <c r="CW56" s="17"/>
      <c r="CX56" s="21"/>
      <c r="CY56" s="17"/>
      <c r="CZ56" s="17"/>
      <c r="DA56" s="17"/>
      <c r="DB56" s="17"/>
      <c r="DC56" s="133"/>
      <c r="DD56" s="17"/>
      <c r="DE56" s="16"/>
      <c r="DF56" s="17"/>
      <c r="DG56" s="17"/>
      <c r="DH56" s="16"/>
      <c r="DI56" s="17"/>
      <c r="DJ56" s="17"/>
      <c r="DK56" s="17"/>
      <c r="DL56" s="17"/>
      <c r="DM56" s="17"/>
      <c r="DN56" s="17"/>
      <c r="DO56" s="17"/>
      <c r="DP56" s="88"/>
      <c r="DQ56" s="88"/>
      <c r="DR56" s="88"/>
      <c r="DS56" s="88"/>
      <c r="DT56" s="92"/>
      <c r="DU56" s="92"/>
      <c r="DV56" s="100"/>
      <c r="DW56" s="100"/>
      <c r="DX56" s="100"/>
      <c r="DY56" s="100"/>
      <c r="DZ56" s="100"/>
      <c r="EA56" s="144"/>
      <c r="EB56" s="144"/>
      <c r="EC56" s="144"/>
      <c r="ED56" s="157"/>
      <c r="EE56" s="158"/>
      <c r="EF56" s="144"/>
      <c r="EG56" s="100"/>
      <c r="EH56" s="100"/>
      <c r="EI56" s="100"/>
      <c r="EJ56" s="100"/>
      <c r="EK56" s="100"/>
      <c r="EL56" s="100"/>
      <c r="EM56" s="107"/>
      <c r="EN56" s="123"/>
      <c r="EO56" s="100"/>
      <c r="EP56" s="100"/>
      <c r="EQ56" s="100"/>
      <c r="ER56" s="100"/>
      <c r="ES56" s="100"/>
      <c r="ET56" s="100"/>
      <c r="EU56" s="100"/>
      <c r="EV56" s="143"/>
      <c r="EW56" s="155">
        <v>45611</v>
      </c>
      <c r="EX56" s="156">
        <v>45641</v>
      </c>
      <c r="EY56" s="160">
        <f t="shared" si="35"/>
        <v>30</v>
      </c>
    </row>
    <row r="57" spans="1:155" s="65" customFormat="1" ht="14.95" customHeight="1" x14ac:dyDescent="0.25">
      <c r="A57" s="202"/>
      <c r="B57" s="203"/>
      <c r="C57" s="22" t="s">
        <v>151</v>
      </c>
      <c r="D57" s="23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88"/>
      <c r="BT57" s="88"/>
      <c r="BU57" s="88"/>
      <c r="BV57" s="88"/>
      <c r="BW57" s="88"/>
      <c r="BX57" s="88"/>
      <c r="BY57" s="88"/>
      <c r="BZ57" s="88"/>
      <c r="CA57" s="88"/>
      <c r="CB57" s="88"/>
      <c r="CC57" s="88"/>
      <c r="CD57" s="90"/>
      <c r="CE57" s="19"/>
      <c r="CF57" s="16"/>
      <c r="CG57" s="17"/>
      <c r="CH57" s="17"/>
      <c r="CI57" s="16"/>
      <c r="CJ57" s="17"/>
      <c r="CK57" s="97"/>
      <c r="CL57" s="99"/>
      <c r="CM57" s="97"/>
      <c r="CN57" s="97"/>
      <c r="CO57" s="97"/>
      <c r="CP57" s="97"/>
      <c r="CQ57" s="17"/>
      <c r="CR57" s="16"/>
      <c r="CS57" s="17"/>
      <c r="CT57" s="17"/>
      <c r="CU57" s="16"/>
      <c r="CV57" s="17"/>
      <c r="CW57" s="17"/>
      <c r="CX57" s="21"/>
      <c r="CY57" s="17"/>
      <c r="CZ57" s="17"/>
      <c r="DA57" s="17"/>
      <c r="DB57" s="17"/>
      <c r="DC57" s="133"/>
      <c r="DD57" s="17"/>
      <c r="DE57" s="16"/>
      <c r="DF57" s="17"/>
      <c r="DG57" s="17"/>
      <c r="DH57" s="16"/>
      <c r="DI57" s="17"/>
      <c r="DJ57" s="17"/>
      <c r="DK57" s="17"/>
      <c r="DL57" s="17"/>
      <c r="DM57" s="17"/>
      <c r="DN57" s="17"/>
      <c r="DO57" s="17"/>
      <c r="DP57" s="88"/>
      <c r="DQ57" s="88"/>
      <c r="DR57" s="88"/>
      <c r="DS57" s="88"/>
      <c r="DT57" s="92"/>
      <c r="DU57" s="92"/>
      <c r="DV57" s="100"/>
      <c r="DW57" s="100"/>
      <c r="DX57" s="100"/>
      <c r="DY57" s="100"/>
      <c r="DZ57" s="100"/>
      <c r="EA57" s="100"/>
      <c r="EB57" s="100"/>
      <c r="EC57" s="144"/>
      <c r="ED57" s="157"/>
      <c r="EE57" s="158"/>
      <c r="EF57" s="144"/>
      <c r="EG57" s="100"/>
      <c r="EH57" s="100"/>
      <c r="EI57" s="100"/>
      <c r="EJ57" s="100"/>
      <c r="EK57" s="100"/>
      <c r="EL57" s="100"/>
      <c r="EM57" s="107"/>
      <c r="EN57" s="123"/>
      <c r="EO57" s="100"/>
      <c r="EP57" s="100"/>
      <c r="EQ57" s="100"/>
      <c r="ER57" s="100"/>
      <c r="ES57" s="100"/>
      <c r="ET57" s="100"/>
      <c r="EU57" s="100"/>
      <c r="EV57" s="143"/>
      <c r="EW57" s="155">
        <v>45626</v>
      </c>
      <c r="EX57" s="156">
        <v>45641</v>
      </c>
      <c r="EY57" s="160">
        <f t="shared" si="35"/>
        <v>15</v>
      </c>
    </row>
    <row r="58" spans="1:155" s="65" customFormat="1" ht="14.95" customHeight="1" x14ac:dyDescent="0.25">
      <c r="A58" s="202"/>
      <c r="B58" s="203"/>
      <c r="C58" s="22" t="s">
        <v>152</v>
      </c>
      <c r="D58" s="23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88"/>
      <c r="BT58" s="88"/>
      <c r="BU58" s="88"/>
      <c r="BV58" s="88"/>
      <c r="BW58" s="88"/>
      <c r="BX58" s="88"/>
      <c r="BY58" s="88"/>
      <c r="BZ58" s="88"/>
      <c r="CA58" s="88"/>
      <c r="CB58" s="88"/>
      <c r="CC58" s="88"/>
      <c r="CD58" s="90"/>
      <c r="CE58" s="19"/>
      <c r="CF58" s="16"/>
      <c r="CG58" s="17"/>
      <c r="CH58" s="17"/>
      <c r="CI58" s="16"/>
      <c r="CJ58" s="17"/>
      <c r="CK58" s="97"/>
      <c r="CL58" s="99"/>
      <c r="CM58" s="97"/>
      <c r="CN58" s="97"/>
      <c r="CO58" s="97"/>
      <c r="CP58" s="97"/>
      <c r="CQ58" s="17"/>
      <c r="CR58" s="16"/>
      <c r="CS58" s="17"/>
      <c r="CT58" s="17"/>
      <c r="CU58" s="16"/>
      <c r="CV58" s="17"/>
      <c r="CW58" s="17"/>
      <c r="CX58" s="21"/>
      <c r="CY58" s="17"/>
      <c r="CZ58" s="17"/>
      <c r="DA58" s="17"/>
      <c r="DB58" s="17"/>
      <c r="DC58" s="133"/>
      <c r="DD58" s="17"/>
      <c r="DE58" s="16"/>
      <c r="DF58" s="17"/>
      <c r="DG58" s="17"/>
      <c r="DH58" s="16"/>
      <c r="DI58" s="17"/>
      <c r="DJ58" s="17"/>
      <c r="DK58" s="17"/>
      <c r="DL58" s="17"/>
      <c r="DM58" s="17"/>
      <c r="DN58" s="17"/>
      <c r="DO58" s="17"/>
      <c r="DP58" s="88"/>
      <c r="DQ58" s="88"/>
      <c r="DR58" s="88"/>
      <c r="DS58" s="88"/>
      <c r="DT58" s="92"/>
      <c r="DU58" s="92"/>
      <c r="DV58" s="100"/>
      <c r="DW58" s="100"/>
      <c r="DX58" s="100"/>
      <c r="DY58" s="100"/>
      <c r="DZ58" s="100"/>
      <c r="EA58" s="100"/>
      <c r="EB58" s="100"/>
      <c r="EC58" s="100"/>
      <c r="ED58" s="107"/>
      <c r="EE58" s="102"/>
      <c r="EF58" s="144"/>
      <c r="EG58" s="144"/>
      <c r="EH58" s="144"/>
      <c r="EI58" s="144"/>
      <c r="EJ58" s="100"/>
      <c r="EK58" s="100"/>
      <c r="EL58" s="100"/>
      <c r="EM58" s="107"/>
      <c r="EN58" s="123"/>
      <c r="EO58" s="100"/>
      <c r="EP58" s="100"/>
      <c r="EQ58" s="100"/>
      <c r="ER58" s="100"/>
      <c r="ES58" s="100"/>
      <c r="ET58" s="100"/>
      <c r="EU58" s="100"/>
      <c r="EV58" s="143"/>
      <c r="EW58" s="155">
        <v>45641</v>
      </c>
      <c r="EX58" s="156">
        <v>45656</v>
      </c>
      <c r="EY58" s="160">
        <f t="shared" si="35"/>
        <v>15</v>
      </c>
    </row>
    <row r="59" spans="1:155" s="65" customFormat="1" ht="14.95" customHeight="1" x14ac:dyDescent="0.25">
      <c r="A59" s="202"/>
      <c r="B59" s="203"/>
      <c r="C59" s="22" t="s">
        <v>43</v>
      </c>
      <c r="D59" s="23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88"/>
      <c r="BT59" s="88"/>
      <c r="BU59" s="88"/>
      <c r="BV59" s="88"/>
      <c r="BW59" s="88"/>
      <c r="BX59" s="88"/>
      <c r="BY59" s="88"/>
      <c r="BZ59" s="88"/>
      <c r="CA59" s="88"/>
      <c r="CB59" s="88"/>
      <c r="CC59" s="88"/>
      <c r="CD59" s="90"/>
      <c r="CE59" s="19"/>
      <c r="CF59" s="16"/>
      <c r="CG59" s="17"/>
      <c r="CH59" s="17"/>
      <c r="CI59" s="16"/>
      <c r="CJ59" s="17"/>
      <c r="CK59" s="97"/>
      <c r="CL59" s="99"/>
      <c r="CM59" s="97"/>
      <c r="CN59" s="97"/>
      <c r="CO59" s="97"/>
      <c r="CP59" s="97"/>
      <c r="CQ59" s="17"/>
      <c r="CR59" s="16"/>
      <c r="CS59" s="17"/>
      <c r="CT59" s="17"/>
      <c r="CU59" s="16"/>
      <c r="CV59" s="17"/>
      <c r="CW59" s="17"/>
      <c r="CX59" s="21"/>
      <c r="CY59" s="17"/>
      <c r="CZ59" s="17"/>
      <c r="DA59" s="17"/>
      <c r="DB59" s="17"/>
      <c r="DC59" s="133"/>
      <c r="DD59" s="17"/>
      <c r="DE59" s="16"/>
      <c r="DF59" s="17"/>
      <c r="DG59" s="17"/>
      <c r="DH59" s="16"/>
      <c r="DI59" s="17"/>
      <c r="DJ59" s="17"/>
      <c r="DK59" s="17"/>
      <c r="DL59" s="17"/>
      <c r="DM59" s="17"/>
      <c r="DN59" s="17"/>
      <c r="DO59" s="17"/>
      <c r="DP59" s="88"/>
      <c r="DQ59" s="88"/>
      <c r="DR59" s="88"/>
      <c r="DS59" s="88"/>
      <c r="DT59" s="92"/>
      <c r="DU59" s="92"/>
      <c r="DV59" s="100"/>
      <c r="DW59" s="100"/>
      <c r="DX59" s="100"/>
      <c r="DY59" s="100"/>
      <c r="DZ59" s="100"/>
      <c r="EA59" s="100"/>
      <c r="EB59" s="100"/>
      <c r="EC59" s="100"/>
      <c r="ED59" s="107"/>
      <c r="EE59" s="102"/>
      <c r="EF59" s="100"/>
      <c r="EG59" s="100"/>
      <c r="EH59" s="100"/>
      <c r="EI59" s="144"/>
      <c r="EJ59" s="144"/>
      <c r="EK59" s="144"/>
      <c r="EL59" s="144"/>
      <c r="EM59" s="107"/>
      <c r="EN59" s="123"/>
      <c r="EO59" s="100"/>
      <c r="EP59" s="100"/>
      <c r="EQ59" s="100"/>
      <c r="ER59" s="100"/>
      <c r="ES59" s="100"/>
      <c r="ET59" s="100"/>
      <c r="EU59" s="100"/>
      <c r="EV59" s="143"/>
      <c r="EW59" s="155">
        <v>45658</v>
      </c>
      <c r="EX59" s="156">
        <v>45672</v>
      </c>
      <c r="EY59" s="160">
        <f t="shared" si="35"/>
        <v>14</v>
      </c>
    </row>
    <row r="60" spans="1:155" s="65" customFormat="1" ht="14.95" customHeight="1" x14ac:dyDescent="0.25">
      <c r="A60" s="202"/>
      <c r="B60" s="203"/>
      <c r="C60" s="22" t="s">
        <v>54</v>
      </c>
      <c r="D60" s="23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88"/>
      <c r="BT60" s="88"/>
      <c r="BU60" s="88"/>
      <c r="BV60" s="88"/>
      <c r="BW60" s="88"/>
      <c r="BX60" s="88"/>
      <c r="BY60" s="88"/>
      <c r="BZ60" s="88"/>
      <c r="CA60" s="88"/>
      <c r="CB60" s="88"/>
      <c r="CC60" s="88"/>
      <c r="CD60" s="90"/>
      <c r="CE60" s="19"/>
      <c r="CF60" s="16"/>
      <c r="CG60" s="17"/>
      <c r="CH60" s="17"/>
      <c r="CI60" s="16"/>
      <c r="CJ60" s="17"/>
      <c r="CK60" s="97"/>
      <c r="CL60" s="99"/>
      <c r="CM60" s="97"/>
      <c r="CN60" s="97"/>
      <c r="CO60" s="97"/>
      <c r="CP60" s="97"/>
      <c r="CQ60" s="17"/>
      <c r="CR60" s="16"/>
      <c r="CS60" s="17"/>
      <c r="CT60" s="17"/>
      <c r="CU60" s="16"/>
      <c r="CV60" s="17"/>
      <c r="CW60" s="17"/>
      <c r="CX60" s="21"/>
      <c r="CY60" s="17"/>
      <c r="CZ60" s="17"/>
      <c r="DA60" s="17"/>
      <c r="DB60" s="17"/>
      <c r="DC60" s="133"/>
      <c r="DD60" s="17"/>
      <c r="DE60" s="16"/>
      <c r="DF60" s="17"/>
      <c r="DG60" s="17"/>
      <c r="DH60" s="16"/>
      <c r="DI60" s="17"/>
      <c r="DJ60" s="17"/>
      <c r="DK60" s="17"/>
      <c r="DL60" s="17"/>
      <c r="DM60" s="17"/>
      <c r="DN60" s="17"/>
      <c r="DO60" s="17"/>
      <c r="DP60" s="88"/>
      <c r="DQ60" s="88"/>
      <c r="DR60" s="88"/>
      <c r="DS60" s="88"/>
      <c r="DT60" s="92"/>
      <c r="DU60" s="92"/>
      <c r="DV60" s="100"/>
      <c r="DW60" s="100"/>
      <c r="DX60" s="100"/>
      <c r="DY60" s="100"/>
      <c r="DZ60" s="100"/>
      <c r="EA60" s="100"/>
      <c r="EB60" s="100"/>
      <c r="EC60" s="100"/>
      <c r="ED60" s="107"/>
      <c r="EE60" s="102"/>
      <c r="EF60" s="100"/>
      <c r="EG60" s="100"/>
      <c r="EH60" s="100"/>
      <c r="EI60" s="100"/>
      <c r="EJ60" s="100"/>
      <c r="EK60" s="100"/>
      <c r="EL60" s="144"/>
      <c r="EM60" s="157"/>
      <c r="EN60" s="164"/>
      <c r="EO60" s="144"/>
      <c r="EP60" s="100"/>
      <c r="EQ60" s="100"/>
      <c r="ER60" s="100"/>
      <c r="ES60" s="100"/>
      <c r="ET60" s="100"/>
      <c r="EU60" s="100"/>
      <c r="EV60" s="143"/>
      <c r="EW60" s="155">
        <v>45672</v>
      </c>
      <c r="EX60" s="156">
        <v>45687</v>
      </c>
      <c r="EY60" s="160">
        <f t="shared" si="35"/>
        <v>15</v>
      </c>
    </row>
    <row r="61" spans="1:155" s="65" customFormat="1" ht="14.95" customHeight="1" x14ac:dyDescent="0.25">
      <c r="A61" s="202"/>
      <c r="B61" s="203"/>
      <c r="C61" s="22" t="s">
        <v>52</v>
      </c>
      <c r="D61" s="23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88"/>
      <c r="BT61" s="88"/>
      <c r="BU61" s="88"/>
      <c r="BV61" s="88"/>
      <c r="BW61" s="88"/>
      <c r="BX61" s="88"/>
      <c r="BY61" s="88"/>
      <c r="BZ61" s="88"/>
      <c r="CA61" s="88"/>
      <c r="CB61" s="88"/>
      <c r="CC61" s="88"/>
      <c r="CD61" s="90"/>
      <c r="CE61" s="19"/>
      <c r="CF61" s="16"/>
      <c r="CG61" s="17"/>
      <c r="CH61" s="17"/>
      <c r="CI61" s="16"/>
      <c r="CJ61" s="17"/>
      <c r="CK61" s="17"/>
      <c r="CL61" s="16"/>
      <c r="CM61" s="17"/>
      <c r="CN61" s="17"/>
      <c r="CO61" s="17"/>
      <c r="CP61" s="17"/>
      <c r="CQ61" s="17"/>
      <c r="CR61" s="16"/>
      <c r="CS61" s="17"/>
      <c r="CT61" s="17"/>
      <c r="CU61" s="16"/>
      <c r="CV61" s="17"/>
      <c r="CW61" s="17"/>
      <c r="CX61" s="21"/>
      <c r="CY61" s="17"/>
      <c r="CZ61" s="17"/>
      <c r="DA61" s="17"/>
      <c r="DB61" s="17"/>
      <c r="DC61" s="133"/>
      <c r="DD61" s="17"/>
      <c r="DE61" s="16"/>
      <c r="DF61" s="17"/>
      <c r="DG61" s="97"/>
      <c r="DH61" s="98"/>
      <c r="DI61" s="97"/>
      <c r="DJ61" s="97"/>
      <c r="DK61" s="97"/>
      <c r="DL61" s="97"/>
      <c r="DM61" s="97"/>
      <c r="DN61" s="97"/>
      <c r="DO61" s="97"/>
      <c r="DP61" s="88"/>
      <c r="DQ61" s="88"/>
      <c r="DR61" s="88"/>
      <c r="DS61" s="88"/>
      <c r="DT61" s="88"/>
      <c r="DU61" s="88"/>
      <c r="DV61" s="100"/>
      <c r="DW61" s="100"/>
      <c r="DX61" s="100"/>
      <c r="DY61" s="100"/>
      <c r="DZ61" s="100"/>
      <c r="EA61" s="100"/>
      <c r="EB61" s="100"/>
      <c r="EC61" s="100"/>
      <c r="ED61" s="107"/>
      <c r="EE61" s="102"/>
      <c r="EF61" s="100"/>
      <c r="EG61" s="100"/>
      <c r="EH61" s="100"/>
      <c r="EI61" s="100"/>
      <c r="EJ61" s="100"/>
      <c r="EK61" s="100"/>
      <c r="EL61" s="144"/>
      <c r="EM61" s="157"/>
      <c r="EN61" s="164"/>
      <c r="EO61" s="144"/>
      <c r="EP61" s="100"/>
      <c r="EQ61" s="100"/>
      <c r="ER61" s="100"/>
      <c r="ES61" s="100"/>
      <c r="ET61" s="100"/>
      <c r="EU61" s="100"/>
      <c r="EV61" s="143"/>
      <c r="EW61" s="155">
        <v>45672</v>
      </c>
      <c r="EX61" s="156">
        <v>45687</v>
      </c>
      <c r="EY61" s="160">
        <f t="shared" si="35"/>
        <v>15</v>
      </c>
    </row>
    <row r="62" spans="1:155" s="65" customFormat="1" ht="14.95" customHeight="1" x14ac:dyDescent="0.25">
      <c r="A62" s="202"/>
      <c r="B62" s="203"/>
      <c r="C62" s="22" t="s">
        <v>53</v>
      </c>
      <c r="D62" s="23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88"/>
      <c r="BT62" s="88"/>
      <c r="BU62" s="88"/>
      <c r="BV62" s="88"/>
      <c r="BW62" s="88"/>
      <c r="BX62" s="88"/>
      <c r="BY62" s="88"/>
      <c r="BZ62" s="88"/>
      <c r="CA62" s="88"/>
      <c r="CB62" s="88"/>
      <c r="CC62" s="88"/>
      <c r="CD62" s="90"/>
      <c r="CE62" s="19"/>
      <c r="CF62" s="16"/>
      <c r="CG62" s="17"/>
      <c r="CH62" s="17"/>
      <c r="CI62" s="16"/>
      <c r="CJ62" s="17"/>
      <c r="CK62" s="17"/>
      <c r="CL62" s="16"/>
      <c r="CM62" s="17"/>
      <c r="CN62" s="17"/>
      <c r="CO62" s="17"/>
      <c r="CP62" s="17"/>
      <c r="CQ62" s="17"/>
      <c r="CR62" s="16"/>
      <c r="CS62" s="17"/>
      <c r="CT62" s="17"/>
      <c r="CU62" s="16"/>
      <c r="CV62" s="17"/>
      <c r="CW62" s="17"/>
      <c r="CX62" s="21"/>
      <c r="CY62" s="17"/>
      <c r="CZ62" s="17"/>
      <c r="DA62" s="17"/>
      <c r="DB62" s="17"/>
      <c r="DC62" s="133"/>
      <c r="DD62" s="17"/>
      <c r="DE62" s="16"/>
      <c r="DF62" s="17"/>
      <c r="DG62" s="97"/>
      <c r="DH62" s="98"/>
      <c r="DI62" s="97"/>
      <c r="DJ62" s="97"/>
      <c r="DK62" s="97"/>
      <c r="DL62" s="97"/>
      <c r="DM62" s="97"/>
      <c r="DN62" s="97"/>
      <c r="DO62" s="97"/>
      <c r="DP62" s="88"/>
      <c r="DQ62" s="88"/>
      <c r="DR62" s="88"/>
      <c r="DS62" s="88"/>
      <c r="DT62" s="88"/>
      <c r="DU62" s="88"/>
      <c r="DV62" s="100"/>
      <c r="DW62" s="100"/>
      <c r="DX62" s="100"/>
      <c r="DY62" s="100"/>
      <c r="DZ62" s="100"/>
      <c r="EA62" s="100"/>
      <c r="EB62" s="100"/>
      <c r="EC62" s="100"/>
      <c r="ED62" s="107"/>
      <c r="EE62" s="102"/>
      <c r="EF62" s="100"/>
      <c r="EG62" s="100"/>
      <c r="EH62" s="100"/>
      <c r="EI62" s="100"/>
      <c r="EJ62" s="100"/>
      <c r="EK62" s="100"/>
      <c r="EL62" s="100"/>
      <c r="EM62" s="107"/>
      <c r="EN62" s="123"/>
      <c r="EO62" s="144"/>
      <c r="EP62" s="144"/>
      <c r="EQ62" s="144"/>
      <c r="ER62" s="144"/>
      <c r="ES62" s="100"/>
      <c r="ET62" s="100"/>
      <c r="EU62" s="100"/>
      <c r="EV62" s="143"/>
      <c r="EW62" s="155">
        <v>45689</v>
      </c>
      <c r="EX62" s="156">
        <v>45703</v>
      </c>
      <c r="EY62" s="160">
        <f t="shared" si="35"/>
        <v>14</v>
      </c>
    </row>
    <row r="63" spans="1:155" s="65" customFormat="1" ht="14.95" customHeight="1" x14ac:dyDescent="0.25">
      <c r="A63" s="139"/>
      <c r="B63" s="186" t="s">
        <v>153</v>
      </c>
      <c r="C63" s="22" t="s">
        <v>154</v>
      </c>
      <c r="D63" s="23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88"/>
      <c r="BT63" s="88"/>
      <c r="BU63" s="88"/>
      <c r="BV63" s="88"/>
      <c r="BW63" s="88"/>
      <c r="BX63" s="88"/>
      <c r="BY63" s="88"/>
      <c r="BZ63" s="88"/>
      <c r="CA63" s="88"/>
      <c r="CB63" s="88"/>
      <c r="CC63" s="88"/>
      <c r="CD63" s="90"/>
      <c r="CE63" s="19"/>
      <c r="CF63" s="16"/>
      <c r="CG63" s="17"/>
      <c r="CH63" s="17"/>
      <c r="CI63" s="16"/>
      <c r="CJ63" s="17"/>
      <c r="CK63" s="17"/>
      <c r="CL63" s="16"/>
      <c r="CM63" s="17"/>
      <c r="CN63" s="17"/>
      <c r="CO63" s="17"/>
      <c r="CP63" s="17"/>
      <c r="CQ63" s="17"/>
      <c r="CR63" s="16"/>
      <c r="CS63" s="17"/>
      <c r="CT63" s="17"/>
      <c r="CU63" s="16"/>
      <c r="CV63" s="17"/>
      <c r="CW63" s="17"/>
      <c r="CX63" s="21"/>
      <c r="CY63" s="17"/>
      <c r="CZ63" s="17"/>
      <c r="DA63" s="17"/>
      <c r="DB63" s="17"/>
      <c r="DC63" s="133"/>
      <c r="DD63" s="17"/>
      <c r="DE63" s="16"/>
      <c r="DF63" s="17"/>
      <c r="DG63" s="97"/>
      <c r="DH63" s="98"/>
      <c r="DI63" s="97"/>
      <c r="DJ63" s="97"/>
      <c r="DK63" s="97"/>
      <c r="DL63" s="97"/>
      <c r="DM63" s="97"/>
      <c r="DN63" s="97"/>
      <c r="DO63" s="97"/>
      <c r="DP63" s="88"/>
      <c r="DQ63" s="88"/>
      <c r="DR63" s="88"/>
      <c r="DS63" s="88"/>
      <c r="DT63" s="88"/>
      <c r="DU63" s="88"/>
      <c r="DV63" s="100"/>
      <c r="DW63" s="100"/>
      <c r="DX63" s="100"/>
      <c r="DY63" s="100"/>
      <c r="DZ63" s="100"/>
      <c r="EA63" s="144"/>
      <c r="EB63" s="144"/>
      <c r="EC63" s="144"/>
      <c r="ED63" s="157"/>
      <c r="EE63" s="158"/>
      <c r="EF63" s="144"/>
      <c r="EG63" s="100"/>
      <c r="EH63" s="100"/>
      <c r="EI63" s="100"/>
      <c r="EJ63" s="100"/>
      <c r="EK63" s="100"/>
      <c r="EL63" s="100"/>
      <c r="EM63" s="107"/>
      <c r="EN63" s="123"/>
      <c r="EO63" s="100"/>
      <c r="EP63" s="100"/>
      <c r="EQ63" s="100"/>
      <c r="ER63" s="100"/>
      <c r="ES63" s="100"/>
      <c r="ET63" s="100"/>
      <c r="EU63" s="100"/>
      <c r="EV63" s="143"/>
      <c r="EW63" s="155">
        <v>45611</v>
      </c>
      <c r="EX63" s="156">
        <v>45631</v>
      </c>
      <c r="EY63" s="160">
        <f t="shared" si="35"/>
        <v>20</v>
      </c>
    </row>
    <row r="64" spans="1:155" s="65" customFormat="1" ht="14.95" customHeight="1" x14ac:dyDescent="0.25">
      <c r="A64" s="139"/>
      <c r="B64" s="188"/>
      <c r="C64" s="22" t="s">
        <v>43</v>
      </c>
      <c r="D64" s="23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88"/>
      <c r="BT64" s="88"/>
      <c r="BU64" s="88"/>
      <c r="BV64" s="88"/>
      <c r="BW64" s="88"/>
      <c r="BX64" s="88"/>
      <c r="BY64" s="88"/>
      <c r="BZ64" s="88"/>
      <c r="CA64" s="88"/>
      <c r="CB64" s="88"/>
      <c r="CC64" s="88"/>
      <c r="CD64" s="90"/>
      <c r="CE64" s="19"/>
      <c r="CF64" s="16"/>
      <c r="CG64" s="17"/>
      <c r="CH64" s="17"/>
      <c r="CI64" s="16"/>
      <c r="CJ64" s="17"/>
      <c r="CK64" s="17"/>
      <c r="CL64" s="16"/>
      <c r="CM64" s="17"/>
      <c r="CN64" s="17"/>
      <c r="CO64" s="17"/>
      <c r="CP64" s="17"/>
      <c r="CQ64" s="17"/>
      <c r="CR64" s="16"/>
      <c r="CS64" s="17"/>
      <c r="CT64" s="17"/>
      <c r="CU64" s="16"/>
      <c r="CV64" s="17"/>
      <c r="CW64" s="17"/>
      <c r="CX64" s="21"/>
      <c r="CY64" s="17"/>
      <c r="CZ64" s="17"/>
      <c r="DA64" s="17"/>
      <c r="DB64" s="17"/>
      <c r="DC64" s="133"/>
      <c r="DD64" s="17"/>
      <c r="DE64" s="16"/>
      <c r="DF64" s="17"/>
      <c r="DG64" s="97"/>
      <c r="DH64" s="98"/>
      <c r="DI64" s="97"/>
      <c r="DJ64" s="97"/>
      <c r="DK64" s="97"/>
      <c r="DL64" s="97"/>
      <c r="DM64" s="97"/>
      <c r="DN64" s="97"/>
      <c r="DO64" s="97"/>
      <c r="DP64" s="88"/>
      <c r="DQ64" s="88"/>
      <c r="DR64" s="88"/>
      <c r="DS64" s="88"/>
      <c r="DT64" s="88"/>
      <c r="DU64" s="88"/>
      <c r="DV64" s="100"/>
      <c r="DW64" s="100"/>
      <c r="DX64" s="100"/>
      <c r="DY64" s="100"/>
      <c r="DZ64" s="100"/>
      <c r="EA64" s="100"/>
      <c r="EB64" s="100"/>
      <c r="EC64" s="100"/>
      <c r="ED64" s="107"/>
      <c r="EE64" s="102"/>
      <c r="EF64" s="100"/>
      <c r="EG64" s="100"/>
      <c r="EH64" s="100"/>
      <c r="EI64" s="144"/>
      <c r="EJ64" s="144"/>
      <c r="EK64" s="144"/>
      <c r="EL64" s="144"/>
      <c r="EM64" s="157"/>
      <c r="EN64" s="164"/>
      <c r="EO64" s="144"/>
      <c r="EP64" s="100"/>
      <c r="EQ64" s="100"/>
      <c r="ER64" s="100"/>
      <c r="ES64" s="100"/>
      <c r="ET64" s="100"/>
      <c r="EU64" s="100"/>
      <c r="EV64" s="143"/>
      <c r="EW64" s="155">
        <v>45658</v>
      </c>
      <c r="EX64" s="156">
        <v>45687</v>
      </c>
      <c r="EY64" s="160">
        <f t="shared" si="35"/>
        <v>29</v>
      </c>
    </row>
    <row r="65" spans="1:155" s="65" customFormat="1" ht="14.95" customHeight="1" x14ac:dyDescent="0.25">
      <c r="A65" s="139"/>
      <c r="B65" s="188"/>
      <c r="C65" s="22" t="s">
        <v>152</v>
      </c>
      <c r="D65" s="23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88"/>
      <c r="BT65" s="88"/>
      <c r="BU65" s="88"/>
      <c r="BV65" s="88"/>
      <c r="BW65" s="88"/>
      <c r="BX65" s="88"/>
      <c r="BY65" s="88"/>
      <c r="BZ65" s="88"/>
      <c r="CA65" s="88"/>
      <c r="CB65" s="88"/>
      <c r="CC65" s="88"/>
      <c r="CD65" s="90"/>
      <c r="CE65" s="19"/>
      <c r="CF65" s="16"/>
      <c r="CG65" s="17"/>
      <c r="CH65" s="17"/>
      <c r="CI65" s="16"/>
      <c r="CJ65" s="17"/>
      <c r="CK65" s="17"/>
      <c r="CL65" s="16"/>
      <c r="CM65" s="17"/>
      <c r="CN65" s="17"/>
      <c r="CO65" s="17"/>
      <c r="CP65" s="17"/>
      <c r="CQ65" s="17"/>
      <c r="CR65" s="16"/>
      <c r="CS65" s="17"/>
      <c r="CT65" s="17"/>
      <c r="CU65" s="16"/>
      <c r="CV65" s="17"/>
      <c r="CW65" s="17"/>
      <c r="CX65" s="21"/>
      <c r="CY65" s="17"/>
      <c r="CZ65" s="17"/>
      <c r="DA65" s="17"/>
      <c r="DB65" s="17"/>
      <c r="DC65" s="133"/>
      <c r="DD65" s="17"/>
      <c r="DE65" s="16"/>
      <c r="DF65" s="17"/>
      <c r="DG65" s="97"/>
      <c r="DH65" s="98"/>
      <c r="DI65" s="97"/>
      <c r="DJ65" s="97"/>
      <c r="DK65" s="97"/>
      <c r="DL65" s="97"/>
      <c r="DM65" s="97"/>
      <c r="DN65" s="97"/>
      <c r="DO65" s="97"/>
      <c r="DP65" s="88"/>
      <c r="DQ65" s="88"/>
      <c r="DR65" s="88"/>
      <c r="DS65" s="88"/>
      <c r="DT65" s="88"/>
      <c r="DU65" s="88"/>
      <c r="DV65" s="100"/>
      <c r="DW65" s="100"/>
      <c r="DX65" s="100"/>
      <c r="DY65" s="100"/>
      <c r="DZ65" s="100"/>
      <c r="EA65" s="100"/>
      <c r="EB65" s="100"/>
      <c r="EC65" s="100"/>
      <c r="ED65" s="107"/>
      <c r="EE65" s="102"/>
      <c r="EF65" s="144"/>
      <c r="EG65" s="144"/>
      <c r="EH65" s="144"/>
      <c r="EI65" s="144"/>
      <c r="EJ65" s="100"/>
      <c r="EK65" s="100"/>
      <c r="EL65" s="100"/>
      <c r="EM65" s="107"/>
      <c r="EN65" s="123"/>
      <c r="EO65" s="100"/>
      <c r="EP65" s="100"/>
      <c r="EQ65" s="100"/>
      <c r="ER65" s="100"/>
      <c r="ES65" s="100"/>
      <c r="ET65" s="100"/>
      <c r="EU65" s="100"/>
      <c r="EV65" s="143"/>
      <c r="EW65" s="155">
        <v>45641</v>
      </c>
      <c r="EX65" s="156">
        <v>45656</v>
      </c>
      <c r="EY65" s="160">
        <f t="shared" si="35"/>
        <v>15</v>
      </c>
    </row>
    <row r="66" spans="1:155" s="65" customFormat="1" ht="14.95" customHeight="1" x14ac:dyDescent="0.25">
      <c r="A66" s="194"/>
      <c r="B66" s="188"/>
      <c r="C66" s="22" t="s">
        <v>54</v>
      </c>
      <c r="D66" s="23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88"/>
      <c r="BT66" s="88"/>
      <c r="BU66" s="88"/>
      <c r="BV66" s="88"/>
      <c r="BW66" s="88"/>
      <c r="BX66" s="88"/>
      <c r="BY66" s="88"/>
      <c r="BZ66" s="88"/>
      <c r="CA66" s="88"/>
      <c r="CB66" s="88"/>
      <c r="CC66" s="88"/>
      <c r="CD66" s="90"/>
      <c r="CE66" s="19"/>
      <c r="CF66" s="16"/>
      <c r="CG66" s="17"/>
      <c r="CH66" s="17"/>
      <c r="CI66" s="16"/>
      <c r="CJ66" s="17"/>
      <c r="CK66" s="17"/>
      <c r="CL66" s="16"/>
      <c r="CM66" s="17"/>
      <c r="CN66" s="17"/>
      <c r="CO66" s="17"/>
      <c r="CP66" s="17"/>
      <c r="CQ66" s="17"/>
      <c r="CR66" s="16"/>
      <c r="CS66" s="17"/>
      <c r="CT66" s="17"/>
      <c r="CU66" s="16"/>
      <c r="CV66" s="17"/>
      <c r="CW66" s="17"/>
      <c r="CX66" s="21"/>
      <c r="CY66" s="17"/>
      <c r="CZ66" s="17"/>
      <c r="DA66" s="17"/>
      <c r="DB66" s="17"/>
      <c r="DC66" s="133"/>
      <c r="DD66" s="17"/>
      <c r="DE66" s="16"/>
      <c r="DF66" s="17"/>
      <c r="DG66" s="97"/>
      <c r="DH66" s="97"/>
      <c r="DI66" s="97"/>
      <c r="DJ66" s="97"/>
      <c r="DK66" s="97"/>
      <c r="DL66" s="97"/>
      <c r="DM66" s="97"/>
      <c r="DN66" s="97"/>
      <c r="DO66" s="17"/>
      <c r="DP66" s="88"/>
      <c r="DQ66" s="88"/>
      <c r="DR66" s="88"/>
      <c r="DS66" s="88"/>
      <c r="DT66" s="88"/>
      <c r="DU66" s="88"/>
      <c r="DV66" s="100"/>
      <c r="DW66" s="100"/>
      <c r="DX66" s="100"/>
      <c r="DY66" s="100"/>
      <c r="DZ66" s="100"/>
      <c r="EA66" s="100"/>
      <c r="EB66" s="100"/>
      <c r="EC66" s="100"/>
      <c r="ED66" s="107"/>
      <c r="EE66" s="102"/>
      <c r="EF66" s="100"/>
      <c r="EG66" s="100"/>
      <c r="EH66" s="100"/>
      <c r="EI66" s="100"/>
      <c r="EJ66" s="100"/>
      <c r="EK66" s="100"/>
      <c r="EL66" s="144"/>
      <c r="EM66" s="157"/>
      <c r="EN66" s="164"/>
      <c r="EO66" s="144"/>
      <c r="EP66" s="100"/>
      <c r="EQ66" s="100"/>
      <c r="ER66" s="100"/>
      <c r="ES66" s="100"/>
      <c r="ET66" s="100"/>
      <c r="EU66" s="100"/>
      <c r="EV66" s="143"/>
      <c r="EW66" s="155">
        <v>45672</v>
      </c>
      <c r="EX66" s="156">
        <v>45687</v>
      </c>
      <c r="EY66" s="160">
        <f t="shared" si="35"/>
        <v>15</v>
      </c>
    </row>
    <row r="67" spans="1:155" s="65" customFormat="1" ht="14.95" customHeight="1" x14ac:dyDescent="0.25">
      <c r="A67" s="195"/>
      <c r="B67" s="187"/>
      <c r="C67" s="22" t="s">
        <v>53</v>
      </c>
      <c r="D67" s="23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88"/>
      <c r="BT67" s="88"/>
      <c r="BU67" s="88"/>
      <c r="BV67" s="88"/>
      <c r="BW67" s="88"/>
      <c r="BX67" s="88"/>
      <c r="BY67" s="88"/>
      <c r="BZ67" s="88"/>
      <c r="CA67" s="88"/>
      <c r="CB67" s="88"/>
      <c r="CC67" s="88"/>
      <c r="CD67" s="90"/>
      <c r="CE67" s="19"/>
      <c r="CF67" s="16"/>
      <c r="CG67" s="17"/>
      <c r="CH67" s="17"/>
      <c r="CI67" s="16"/>
      <c r="CJ67" s="17"/>
      <c r="CK67" s="17"/>
      <c r="CL67" s="16"/>
      <c r="CM67" s="17"/>
      <c r="CN67" s="17"/>
      <c r="CO67" s="17"/>
      <c r="CP67" s="17"/>
      <c r="CQ67" s="17"/>
      <c r="CR67" s="16"/>
      <c r="CS67" s="17"/>
      <c r="CT67" s="17"/>
      <c r="CU67" s="16"/>
      <c r="CV67" s="17"/>
      <c r="CW67" s="17"/>
      <c r="CX67" s="21"/>
      <c r="CY67" s="17"/>
      <c r="CZ67" s="17"/>
      <c r="DA67" s="17"/>
      <c r="DB67" s="17"/>
      <c r="DC67" s="133"/>
      <c r="DD67" s="17"/>
      <c r="DE67" s="16"/>
      <c r="DF67" s="17"/>
      <c r="DG67" s="97"/>
      <c r="DH67" s="98"/>
      <c r="DI67" s="97"/>
      <c r="DJ67" s="97"/>
      <c r="DK67" s="97"/>
      <c r="DL67" s="97"/>
      <c r="DM67" s="97"/>
      <c r="DN67" s="97"/>
      <c r="DO67" s="17"/>
      <c r="DP67" s="88"/>
      <c r="DQ67" s="88"/>
      <c r="DR67" s="88"/>
      <c r="DS67" s="88"/>
      <c r="DT67" s="88"/>
      <c r="DU67" s="88"/>
      <c r="DV67" s="100"/>
      <c r="DW67" s="100"/>
      <c r="DX67" s="100"/>
      <c r="DY67" s="100"/>
      <c r="DZ67" s="100"/>
      <c r="EA67" s="100"/>
      <c r="EB67" s="100"/>
      <c r="EC67" s="100"/>
      <c r="ED67" s="107"/>
      <c r="EE67" s="102"/>
      <c r="EF67" s="100"/>
      <c r="EG67" s="100"/>
      <c r="EH67" s="100"/>
      <c r="EI67" s="100"/>
      <c r="EJ67" s="100"/>
      <c r="EK67" s="100"/>
      <c r="EL67" s="100"/>
      <c r="EM67" s="107"/>
      <c r="EN67" s="123"/>
      <c r="EO67" s="144"/>
      <c r="EP67" s="144"/>
      <c r="EQ67" s="144"/>
      <c r="ER67" s="144"/>
      <c r="ES67" s="100"/>
      <c r="ET67" s="100"/>
      <c r="EU67" s="100"/>
      <c r="EV67" s="143"/>
      <c r="EW67" s="155">
        <v>45687</v>
      </c>
      <c r="EX67" s="156">
        <v>45703</v>
      </c>
      <c r="EY67" s="160">
        <f t="shared" si="35"/>
        <v>16</v>
      </c>
    </row>
    <row r="68" spans="1:155" s="65" customFormat="1" ht="14.95" customHeight="1" x14ac:dyDescent="0.25">
      <c r="A68" s="193">
        <v>8</v>
      </c>
      <c r="B68" s="193" t="s">
        <v>12</v>
      </c>
      <c r="C68" s="22" t="s">
        <v>55</v>
      </c>
      <c r="D68" s="23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88"/>
      <c r="BT68" s="88"/>
      <c r="BU68" s="88"/>
      <c r="BV68" s="88"/>
      <c r="BW68" s="88"/>
      <c r="BX68" s="88"/>
      <c r="BY68" s="88"/>
      <c r="BZ68" s="88"/>
      <c r="CA68" s="88"/>
      <c r="CB68" s="88"/>
      <c r="CC68" s="88"/>
      <c r="CD68" s="90"/>
      <c r="CE68" s="19"/>
      <c r="CF68" s="16"/>
      <c r="CG68" s="17"/>
      <c r="CH68" s="17"/>
      <c r="CI68" s="16"/>
      <c r="CJ68" s="17"/>
      <c r="CK68" s="17"/>
      <c r="CL68" s="16"/>
      <c r="CM68" s="17"/>
      <c r="CN68" s="17"/>
      <c r="CO68" s="17"/>
      <c r="CP68" s="17"/>
      <c r="CQ68" s="17"/>
      <c r="CR68" s="17"/>
      <c r="CS68" s="17"/>
      <c r="CT68" s="17"/>
      <c r="CU68" s="16"/>
      <c r="CV68" s="17"/>
      <c r="CW68" s="17"/>
      <c r="CX68" s="21"/>
      <c r="CY68" s="17"/>
      <c r="CZ68" s="97"/>
      <c r="DA68" s="97"/>
      <c r="DB68" s="97"/>
      <c r="DC68" s="133"/>
      <c r="DD68" s="97"/>
      <c r="DE68" s="98"/>
      <c r="DF68" s="97"/>
      <c r="DG68" s="97"/>
      <c r="DH68" s="98"/>
      <c r="DI68" s="97"/>
      <c r="DJ68" s="97"/>
      <c r="DK68" s="97"/>
      <c r="DL68" s="97"/>
      <c r="DM68" s="97"/>
      <c r="DN68" s="17"/>
      <c r="DO68" s="17"/>
      <c r="DP68" s="88"/>
      <c r="DQ68" s="88"/>
      <c r="DR68" s="88"/>
      <c r="DS68" s="88"/>
      <c r="DT68" s="88"/>
      <c r="DU68" s="88"/>
      <c r="DV68" s="100"/>
      <c r="DW68" s="100"/>
      <c r="DX68" s="100"/>
      <c r="DY68" s="100"/>
      <c r="DZ68" s="100"/>
      <c r="EA68" s="100"/>
      <c r="EB68" s="100"/>
      <c r="EC68" s="100"/>
      <c r="ED68" s="157"/>
      <c r="EE68" s="158"/>
      <c r="EF68" s="144"/>
      <c r="EG68" s="100"/>
      <c r="EH68" s="100"/>
      <c r="EI68" s="100"/>
      <c r="EJ68" s="100"/>
      <c r="EK68" s="100"/>
      <c r="EL68" s="100"/>
      <c r="EM68" s="107"/>
      <c r="EN68" s="123"/>
      <c r="EO68" s="100"/>
      <c r="EP68" s="100"/>
      <c r="EQ68" s="100"/>
      <c r="ER68" s="100"/>
      <c r="ES68" s="100"/>
      <c r="ET68" s="100"/>
      <c r="EU68" s="100"/>
      <c r="EV68" s="143"/>
      <c r="EW68" s="155">
        <v>45627</v>
      </c>
      <c r="EX68" s="156">
        <v>45631</v>
      </c>
      <c r="EY68" s="160">
        <f t="shared" si="35"/>
        <v>4</v>
      </c>
    </row>
    <row r="69" spans="1:155" s="65" customFormat="1" ht="14.95" customHeight="1" x14ac:dyDescent="0.25">
      <c r="A69" s="194"/>
      <c r="B69" s="194"/>
      <c r="C69" s="22" t="s">
        <v>171</v>
      </c>
      <c r="D69" s="23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  <c r="AL69" s="24"/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88"/>
      <c r="BT69" s="88"/>
      <c r="BU69" s="88"/>
      <c r="BV69" s="88"/>
      <c r="BW69" s="88"/>
      <c r="BX69" s="88"/>
      <c r="BY69" s="88"/>
      <c r="BZ69" s="88"/>
      <c r="CA69" s="88"/>
      <c r="CB69" s="88"/>
      <c r="CC69" s="88"/>
      <c r="CD69" s="90"/>
      <c r="CE69" s="19"/>
      <c r="CF69" s="16"/>
      <c r="CG69" s="17"/>
      <c r="CH69" s="17"/>
      <c r="CI69" s="16"/>
      <c r="CJ69" s="17"/>
      <c r="CK69" s="17"/>
      <c r="CL69" s="16"/>
      <c r="CM69" s="17"/>
      <c r="CN69" s="17"/>
      <c r="CO69" s="17"/>
      <c r="CP69" s="17"/>
      <c r="CQ69" s="17"/>
      <c r="CR69" s="17"/>
      <c r="CS69" s="17"/>
      <c r="CT69" s="17"/>
      <c r="CU69" s="16"/>
      <c r="CV69" s="17"/>
      <c r="CW69" s="17"/>
      <c r="CX69" s="21"/>
      <c r="CY69" s="17"/>
      <c r="CZ69" s="97"/>
      <c r="DA69" s="97"/>
      <c r="DB69" s="97"/>
      <c r="DC69" s="133"/>
      <c r="DD69" s="97"/>
      <c r="DE69" s="98"/>
      <c r="DF69" s="97"/>
      <c r="DG69" s="97"/>
      <c r="DH69" s="98"/>
      <c r="DI69" s="97"/>
      <c r="DJ69" s="97"/>
      <c r="DK69" s="97"/>
      <c r="DL69" s="97"/>
      <c r="DM69" s="97"/>
      <c r="DN69" s="17"/>
      <c r="DO69" s="17"/>
      <c r="DP69" s="88"/>
      <c r="DQ69" s="88"/>
      <c r="DR69" s="88"/>
      <c r="DS69" s="88"/>
      <c r="DT69" s="88"/>
      <c r="DU69" s="88"/>
      <c r="DV69" s="100"/>
      <c r="DW69" s="100"/>
      <c r="DX69" s="100"/>
      <c r="DY69" s="100"/>
      <c r="DZ69" s="100"/>
      <c r="EA69" s="100"/>
      <c r="EB69" s="100"/>
      <c r="EC69" s="100"/>
      <c r="ED69" s="107"/>
      <c r="EE69" s="102"/>
      <c r="EF69" s="144"/>
      <c r="EG69" s="100"/>
      <c r="EH69" s="100"/>
      <c r="EI69" s="100"/>
      <c r="EJ69" s="100"/>
      <c r="EK69" s="100"/>
      <c r="EL69" s="100"/>
      <c r="EM69" s="107"/>
      <c r="EN69" s="123"/>
      <c r="EO69" s="100"/>
      <c r="EP69" s="100"/>
      <c r="EQ69" s="100"/>
      <c r="ER69" s="100"/>
      <c r="ES69" s="100"/>
      <c r="ET69" s="100"/>
      <c r="EU69" s="100"/>
      <c r="EV69" s="143"/>
      <c r="EW69" s="155">
        <v>45631</v>
      </c>
      <c r="EX69" s="156">
        <v>45636</v>
      </c>
      <c r="EY69" s="160">
        <f t="shared" si="35"/>
        <v>5</v>
      </c>
    </row>
    <row r="70" spans="1:155" s="65" customFormat="1" ht="14.95" customHeight="1" x14ac:dyDescent="0.25">
      <c r="A70" s="194"/>
      <c r="B70" s="194"/>
      <c r="C70" s="22" t="s">
        <v>172</v>
      </c>
      <c r="D70" s="23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  <c r="AL70" s="24"/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90"/>
      <c r="CE70" s="19"/>
      <c r="CF70" s="16"/>
      <c r="CG70" s="17"/>
      <c r="CH70" s="17"/>
      <c r="CI70" s="16"/>
      <c r="CJ70" s="17"/>
      <c r="CK70" s="17"/>
      <c r="CL70" s="16"/>
      <c r="CM70" s="17"/>
      <c r="CN70" s="17"/>
      <c r="CO70" s="17"/>
      <c r="CP70" s="17"/>
      <c r="CQ70" s="17"/>
      <c r="CR70" s="17"/>
      <c r="CS70" s="17"/>
      <c r="CT70" s="17"/>
      <c r="CU70" s="16"/>
      <c r="CV70" s="17"/>
      <c r="CW70" s="17"/>
      <c r="CX70" s="21"/>
      <c r="CY70" s="17"/>
      <c r="CZ70" s="97"/>
      <c r="DA70" s="97"/>
      <c r="DB70" s="97"/>
      <c r="DC70" s="133"/>
      <c r="DD70" s="97"/>
      <c r="DE70" s="98"/>
      <c r="DF70" s="97"/>
      <c r="DG70" s="97"/>
      <c r="DH70" s="98"/>
      <c r="DI70" s="97"/>
      <c r="DJ70" s="97"/>
      <c r="DK70" s="97"/>
      <c r="DL70" s="97"/>
      <c r="DM70" s="97"/>
      <c r="DN70" s="17"/>
      <c r="DO70" s="17"/>
      <c r="DP70" s="88"/>
      <c r="DQ70" s="88"/>
      <c r="DR70" s="88"/>
      <c r="DS70" s="88"/>
      <c r="DT70" s="88"/>
      <c r="DU70" s="88"/>
      <c r="DV70" s="100"/>
      <c r="DW70" s="100"/>
      <c r="DX70" s="100"/>
      <c r="DY70" s="100"/>
      <c r="DZ70" s="100"/>
      <c r="EA70" s="100"/>
      <c r="EB70" s="100"/>
      <c r="EC70" s="100"/>
      <c r="ED70" s="107"/>
      <c r="EE70" s="102"/>
      <c r="EF70" s="144"/>
      <c r="EG70" s="100"/>
      <c r="EH70" s="100"/>
      <c r="EI70" s="100"/>
      <c r="EJ70" s="100"/>
      <c r="EK70" s="100"/>
      <c r="EL70" s="100"/>
      <c r="EM70" s="107"/>
      <c r="EN70" s="123"/>
      <c r="EO70" s="100"/>
      <c r="EP70" s="100"/>
      <c r="EQ70" s="100"/>
      <c r="ER70" s="100"/>
      <c r="ES70" s="100"/>
      <c r="ET70" s="100"/>
      <c r="EU70" s="100"/>
      <c r="EV70" s="143"/>
      <c r="EW70" s="155">
        <v>45636</v>
      </c>
      <c r="EX70" s="156">
        <v>45641</v>
      </c>
      <c r="EY70" s="160">
        <f t="shared" si="35"/>
        <v>5</v>
      </c>
    </row>
    <row r="71" spans="1:155" s="65" customFormat="1" ht="14.95" customHeight="1" x14ac:dyDescent="0.25">
      <c r="A71" s="194"/>
      <c r="B71" s="194"/>
      <c r="C71" s="22" t="s">
        <v>174</v>
      </c>
      <c r="D71" s="23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  <c r="AL71" s="24"/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90"/>
      <c r="CE71" s="19"/>
      <c r="CF71" s="16"/>
      <c r="CG71" s="17"/>
      <c r="CH71" s="17"/>
      <c r="CI71" s="16"/>
      <c r="CJ71" s="17"/>
      <c r="CK71" s="17"/>
      <c r="CL71" s="16"/>
      <c r="CM71" s="17"/>
      <c r="CN71" s="17"/>
      <c r="CO71" s="17"/>
      <c r="CP71" s="17"/>
      <c r="CQ71" s="17"/>
      <c r="CR71" s="17"/>
      <c r="CS71" s="17"/>
      <c r="CT71" s="17"/>
      <c r="CU71" s="16"/>
      <c r="CV71" s="17"/>
      <c r="CW71" s="17"/>
      <c r="CX71" s="21"/>
      <c r="CY71" s="17"/>
      <c r="CZ71" s="97"/>
      <c r="DA71" s="97"/>
      <c r="DB71" s="97"/>
      <c r="DC71" s="133"/>
      <c r="DD71" s="97"/>
      <c r="DE71" s="98"/>
      <c r="DF71" s="97"/>
      <c r="DG71" s="97"/>
      <c r="DH71" s="98"/>
      <c r="DI71" s="97"/>
      <c r="DJ71" s="97"/>
      <c r="DK71" s="97"/>
      <c r="DL71" s="97"/>
      <c r="DM71" s="97"/>
      <c r="DN71" s="17"/>
      <c r="DO71" s="17"/>
      <c r="DP71" s="88"/>
      <c r="DQ71" s="88"/>
      <c r="DR71" s="88"/>
      <c r="DS71" s="88"/>
      <c r="DT71" s="88"/>
      <c r="DU71" s="88"/>
      <c r="DV71" s="100"/>
      <c r="DW71" s="100"/>
      <c r="DX71" s="100"/>
      <c r="DY71" s="100"/>
      <c r="DZ71" s="100"/>
      <c r="EA71" s="100"/>
      <c r="EB71" s="100"/>
      <c r="EC71" s="100"/>
      <c r="ED71" s="107"/>
      <c r="EE71" s="102"/>
      <c r="EF71" s="144"/>
      <c r="EG71" s="100"/>
      <c r="EH71" s="100"/>
      <c r="EI71" s="100"/>
      <c r="EJ71" s="100"/>
      <c r="EK71" s="100"/>
      <c r="EL71" s="100"/>
      <c r="EM71" s="107"/>
      <c r="EN71" s="123"/>
      <c r="EO71" s="100"/>
      <c r="EP71" s="100"/>
      <c r="EQ71" s="100"/>
      <c r="ER71" s="100"/>
      <c r="ES71" s="100"/>
      <c r="ET71" s="100"/>
      <c r="EU71" s="100"/>
      <c r="EV71" s="143"/>
      <c r="EW71" s="155">
        <v>45631</v>
      </c>
      <c r="EX71" s="156">
        <v>45636</v>
      </c>
      <c r="EY71" s="160">
        <f t="shared" si="35"/>
        <v>5</v>
      </c>
    </row>
    <row r="72" spans="1:155" s="65" customFormat="1" ht="14.95" customHeight="1" x14ac:dyDescent="0.25">
      <c r="A72" s="194"/>
      <c r="B72" s="194"/>
      <c r="C72" s="22" t="s">
        <v>173</v>
      </c>
      <c r="D72" s="23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4"/>
      <c r="AM72" s="24"/>
      <c r="AN72" s="24"/>
      <c r="AO72" s="24"/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90"/>
      <c r="CE72" s="19"/>
      <c r="CF72" s="16"/>
      <c r="CG72" s="17"/>
      <c r="CH72" s="17"/>
      <c r="CI72" s="16"/>
      <c r="CJ72" s="17"/>
      <c r="CK72" s="17"/>
      <c r="CL72" s="16"/>
      <c r="CM72" s="17"/>
      <c r="CN72" s="17"/>
      <c r="CO72" s="17"/>
      <c r="CP72" s="17"/>
      <c r="CQ72" s="17"/>
      <c r="CR72" s="16"/>
      <c r="CS72" s="17"/>
      <c r="CT72" s="17"/>
      <c r="CU72" s="17"/>
      <c r="CV72" s="17"/>
      <c r="CW72" s="17"/>
      <c r="CX72" s="17"/>
      <c r="CY72" s="17"/>
      <c r="CZ72" s="97"/>
      <c r="DA72" s="97"/>
      <c r="DB72" s="97"/>
      <c r="DC72" s="133"/>
      <c r="DD72" s="97"/>
      <c r="DE72" s="97"/>
      <c r="DF72" s="97"/>
      <c r="DG72" s="97"/>
      <c r="DH72" s="97"/>
      <c r="DI72" s="97"/>
      <c r="DJ72" s="97"/>
      <c r="DK72" s="97"/>
      <c r="DL72" s="97"/>
      <c r="DM72" s="97"/>
      <c r="DN72" s="17"/>
      <c r="DO72" s="17"/>
      <c r="DP72" s="88"/>
      <c r="DQ72" s="88"/>
      <c r="DR72" s="88"/>
      <c r="DS72" s="88"/>
      <c r="DT72" s="88"/>
      <c r="DU72" s="88"/>
      <c r="DV72" s="100"/>
      <c r="DW72" s="100"/>
      <c r="DX72" s="100"/>
      <c r="DY72" s="100"/>
      <c r="DZ72" s="100"/>
      <c r="EA72" s="100"/>
      <c r="EB72" s="100"/>
      <c r="EC72" s="100"/>
      <c r="ED72" s="107"/>
      <c r="EE72" s="102"/>
      <c r="EF72" s="144"/>
      <c r="EG72" s="100"/>
      <c r="EH72" s="100"/>
      <c r="EI72" s="100"/>
      <c r="EJ72" s="100"/>
      <c r="EK72" s="100"/>
      <c r="EL72" s="100"/>
      <c r="EM72" s="107"/>
      <c r="EN72" s="123"/>
      <c r="EO72" s="100"/>
      <c r="EP72" s="100"/>
      <c r="EQ72" s="100"/>
      <c r="ER72" s="100"/>
      <c r="ES72" s="100"/>
      <c r="ET72" s="100"/>
      <c r="EU72" s="100"/>
      <c r="EV72" s="143"/>
      <c r="EW72" s="155">
        <v>45636</v>
      </c>
      <c r="EX72" s="156">
        <v>45641</v>
      </c>
      <c r="EY72" s="160">
        <f t="shared" si="35"/>
        <v>5</v>
      </c>
    </row>
    <row r="73" spans="1:155" s="65" customFormat="1" ht="14.95" customHeight="1" x14ac:dyDescent="0.25">
      <c r="A73" s="194"/>
      <c r="B73" s="194"/>
      <c r="C73" s="22" t="s">
        <v>175</v>
      </c>
      <c r="D73" s="23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/>
      <c r="AK73" s="24"/>
      <c r="AL73" s="24"/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88"/>
      <c r="BT73" s="88"/>
      <c r="BU73" s="88"/>
      <c r="BV73" s="88"/>
      <c r="BW73" s="88"/>
      <c r="BX73" s="88"/>
      <c r="BY73" s="88"/>
      <c r="BZ73" s="88"/>
      <c r="CA73" s="88"/>
      <c r="CB73" s="88"/>
      <c r="CC73" s="88"/>
      <c r="CD73" s="90"/>
      <c r="CE73" s="19"/>
      <c r="CF73" s="16"/>
      <c r="CG73" s="17"/>
      <c r="CH73" s="17"/>
      <c r="CI73" s="16"/>
      <c r="CJ73" s="17"/>
      <c r="CK73" s="17"/>
      <c r="CL73" s="16"/>
      <c r="CM73" s="17"/>
      <c r="CN73" s="17"/>
      <c r="CO73" s="17"/>
      <c r="CP73" s="17"/>
      <c r="CQ73" s="17"/>
      <c r="CR73" s="16"/>
      <c r="CS73" s="17"/>
      <c r="CT73" s="17"/>
      <c r="CU73" s="17"/>
      <c r="CV73" s="17"/>
      <c r="CW73" s="17"/>
      <c r="CX73" s="17"/>
      <c r="CY73" s="17"/>
      <c r="CZ73" s="97"/>
      <c r="DA73" s="97"/>
      <c r="DB73" s="97"/>
      <c r="DC73" s="133"/>
      <c r="DD73" s="97"/>
      <c r="DE73" s="97"/>
      <c r="DF73" s="97"/>
      <c r="DG73" s="97"/>
      <c r="DH73" s="97"/>
      <c r="DI73" s="97"/>
      <c r="DJ73" s="97"/>
      <c r="DK73" s="97"/>
      <c r="DL73" s="97"/>
      <c r="DM73" s="97"/>
      <c r="DN73" s="17"/>
      <c r="DO73" s="17"/>
      <c r="DP73" s="88"/>
      <c r="DQ73" s="88"/>
      <c r="DR73" s="88"/>
      <c r="DS73" s="88"/>
      <c r="DT73" s="88"/>
      <c r="DU73" s="88"/>
      <c r="DV73" s="100"/>
      <c r="DW73" s="100"/>
      <c r="DX73" s="100"/>
      <c r="DY73" s="100"/>
      <c r="DZ73" s="100"/>
      <c r="EA73" s="100"/>
      <c r="EB73" s="100"/>
      <c r="EC73" s="100"/>
      <c r="ED73" s="107"/>
      <c r="EE73" s="102"/>
      <c r="EF73" s="144"/>
      <c r="EG73" s="144"/>
      <c r="EH73" s="144"/>
      <c r="EI73" s="100"/>
      <c r="EJ73" s="100"/>
      <c r="EK73" s="100"/>
      <c r="EL73" s="100"/>
      <c r="EM73" s="107"/>
      <c r="EN73" s="123"/>
      <c r="EO73" s="100"/>
      <c r="EP73" s="100"/>
      <c r="EQ73" s="100"/>
      <c r="ER73" s="100"/>
      <c r="ES73" s="100"/>
      <c r="ET73" s="100"/>
      <c r="EU73" s="100"/>
      <c r="EV73" s="143"/>
      <c r="EW73" s="155">
        <v>45641</v>
      </c>
      <c r="EX73" s="156">
        <v>45644</v>
      </c>
      <c r="EY73" s="160">
        <f t="shared" si="35"/>
        <v>3</v>
      </c>
    </row>
    <row r="74" spans="1:155" s="65" customFormat="1" ht="14.95" customHeight="1" x14ac:dyDescent="0.25">
      <c r="A74" s="194"/>
      <c r="B74" s="194"/>
      <c r="C74" s="22" t="s">
        <v>176</v>
      </c>
      <c r="D74" s="23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/>
      <c r="AK74" s="24"/>
      <c r="AL74" s="24"/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4"/>
      <c r="AY74" s="24"/>
      <c r="AZ74" s="24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88"/>
      <c r="BT74" s="88"/>
      <c r="BU74" s="88"/>
      <c r="BV74" s="88"/>
      <c r="BW74" s="88"/>
      <c r="BX74" s="88"/>
      <c r="BY74" s="88"/>
      <c r="BZ74" s="88"/>
      <c r="CA74" s="88"/>
      <c r="CB74" s="88"/>
      <c r="CC74" s="88"/>
      <c r="CD74" s="90"/>
      <c r="CE74" s="19"/>
      <c r="CF74" s="16"/>
      <c r="CG74" s="17"/>
      <c r="CH74" s="17"/>
      <c r="CI74" s="16"/>
      <c r="CJ74" s="17"/>
      <c r="CK74" s="17"/>
      <c r="CL74" s="16"/>
      <c r="CM74" s="17"/>
      <c r="CN74" s="17"/>
      <c r="CO74" s="17"/>
      <c r="CP74" s="17"/>
      <c r="CQ74" s="17"/>
      <c r="CR74" s="16"/>
      <c r="CS74" s="17"/>
      <c r="CT74" s="17"/>
      <c r="CU74" s="17"/>
      <c r="CV74" s="17"/>
      <c r="CW74" s="17"/>
      <c r="CX74" s="17"/>
      <c r="CY74" s="17"/>
      <c r="CZ74" s="97"/>
      <c r="DA74" s="97"/>
      <c r="DB74" s="97"/>
      <c r="DC74" s="133"/>
      <c r="DD74" s="97"/>
      <c r="DE74" s="97"/>
      <c r="DF74" s="97"/>
      <c r="DG74" s="97"/>
      <c r="DH74" s="97"/>
      <c r="DI74" s="97"/>
      <c r="DJ74" s="97"/>
      <c r="DK74" s="97"/>
      <c r="DL74" s="97"/>
      <c r="DM74" s="97"/>
      <c r="DN74" s="17"/>
      <c r="DO74" s="17"/>
      <c r="DP74" s="88"/>
      <c r="DQ74" s="88"/>
      <c r="DR74" s="88"/>
      <c r="DS74" s="88"/>
      <c r="DT74" s="88"/>
      <c r="DU74" s="88"/>
      <c r="DV74" s="100"/>
      <c r="DW74" s="100"/>
      <c r="DX74" s="100"/>
      <c r="DY74" s="100"/>
      <c r="DZ74" s="100"/>
      <c r="EA74" s="100"/>
      <c r="EB74" s="100"/>
      <c r="EC74" s="100"/>
      <c r="ED74" s="107"/>
      <c r="EE74" s="102"/>
      <c r="EF74" s="100"/>
      <c r="EG74" s="100"/>
      <c r="EH74" s="144"/>
      <c r="EI74" s="144"/>
      <c r="EJ74" s="100"/>
      <c r="EK74" s="100"/>
      <c r="EL74" s="100"/>
      <c r="EM74" s="107"/>
      <c r="EN74" s="123"/>
      <c r="EO74" s="100"/>
      <c r="EP74" s="100"/>
      <c r="EQ74" s="100"/>
      <c r="ER74" s="100"/>
      <c r="ES74" s="100"/>
      <c r="ET74" s="100"/>
      <c r="EU74" s="100"/>
      <c r="EV74" s="143"/>
      <c r="EW74" s="155">
        <v>45644</v>
      </c>
      <c r="EX74" s="156">
        <v>45646</v>
      </c>
      <c r="EY74" s="160">
        <f t="shared" si="35"/>
        <v>2</v>
      </c>
    </row>
    <row r="75" spans="1:155" s="65" customFormat="1" ht="14.95" customHeight="1" x14ac:dyDescent="0.25">
      <c r="A75" s="195"/>
      <c r="B75" s="195"/>
      <c r="C75" s="22" t="s">
        <v>56</v>
      </c>
      <c r="D75" s="23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4"/>
      <c r="AZ75" s="24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88"/>
      <c r="BT75" s="88"/>
      <c r="BU75" s="88"/>
      <c r="BV75" s="88"/>
      <c r="BW75" s="88"/>
      <c r="BX75" s="88"/>
      <c r="BY75" s="88"/>
      <c r="BZ75" s="88"/>
      <c r="CA75" s="88"/>
      <c r="CB75" s="88"/>
      <c r="CC75" s="88"/>
      <c r="CD75" s="90"/>
      <c r="CE75" s="19"/>
      <c r="CF75" s="16"/>
      <c r="CG75" s="17"/>
      <c r="CH75" s="17"/>
      <c r="CI75" s="16"/>
      <c r="CJ75" s="17"/>
      <c r="CK75" s="17"/>
      <c r="CL75" s="16"/>
      <c r="CM75" s="17"/>
      <c r="CN75" s="17"/>
      <c r="CO75" s="17"/>
      <c r="CP75" s="17"/>
      <c r="CQ75" s="17"/>
      <c r="CR75" s="16"/>
      <c r="CS75" s="17"/>
      <c r="CT75" s="17"/>
      <c r="CU75" s="16"/>
      <c r="CV75" s="17"/>
      <c r="CW75" s="17"/>
      <c r="CX75" s="21"/>
      <c r="CY75" s="17"/>
      <c r="CZ75" s="97"/>
      <c r="DA75" s="97"/>
      <c r="DB75" s="97"/>
      <c r="DC75" s="133"/>
      <c r="DD75" s="97"/>
      <c r="DE75" s="98"/>
      <c r="DF75" s="97"/>
      <c r="DG75" s="97"/>
      <c r="DH75" s="97"/>
      <c r="DI75" s="97"/>
      <c r="DJ75" s="97"/>
      <c r="DK75" s="97"/>
      <c r="DL75" s="97"/>
      <c r="DM75" s="97"/>
      <c r="DN75" s="17"/>
      <c r="DO75" s="17"/>
      <c r="DP75" s="88"/>
      <c r="DQ75" s="88"/>
      <c r="DR75" s="88"/>
      <c r="DS75" s="88"/>
      <c r="DT75" s="88"/>
      <c r="DU75" s="88"/>
      <c r="DV75" s="100"/>
      <c r="DW75" s="100"/>
      <c r="DX75" s="100"/>
      <c r="DY75" s="100"/>
      <c r="DZ75" s="100"/>
      <c r="EA75" s="100"/>
      <c r="EB75" s="100"/>
      <c r="EC75" s="100"/>
      <c r="ED75" s="107"/>
      <c r="EE75" s="102"/>
      <c r="EF75" s="100"/>
      <c r="EG75" s="100"/>
      <c r="EH75" s="100"/>
      <c r="EI75" s="144"/>
      <c r="EJ75" s="100"/>
      <c r="EK75" s="100"/>
      <c r="EL75" s="100"/>
      <c r="EM75" s="107"/>
      <c r="EN75" s="123"/>
      <c r="EO75" s="100"/>
      <c r="EP75" s="100"/>
      <c r="EQ75" s="100"/>
      <c r="ER75" s="100"/>
      <c r="ES75" s="100"/>
      <c r="ET75" s="100"/>
      <c r="EU75" s="100"/>
      <c r="EV75" s="143"/>
      <c r="EW75" s="155">
        <v>45646</v>
      </c>
      <c r="EX75" s="156">
        <v>45656</v>
      </c>
      <c r="EY75" s="160">
        <f t="shared" si="35"/>
        <v>10</v>
      </c>
    </row>
    <row r="76" spans="1:155" s="65" customFormat="1" ht="14.95" customHeight="1" x14ac:dyDescent="0.25">
      <c r="A76" s="193">
        <v>9</v>
      </c>
      <c r="B76" s="186" t="s">
        <v>57</v>
      </c>
      <c r="C76" s="65" t="s">
        <v>112</v>
      </c>
      <c r="D76" s="23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88"/>
      <c r="BT76" s="88"/>
      <c r="BU76" s="88"/>
      <c r="BV76" s="88"/>
      <c r="BW76" s="88"/>
      <c r="BX76" s="88"/>
      <c r="BY76" s="88"/>
      <c r="BZ76" s="88"/>
      <c r="CA76" s="88"/>
      <c r="CB76" s="88"/>
      <c r="CC76" s="88"/>
      <c r="CD76" s="90"/>
      <c r="CE76" s="19"/>
      <c r="CF76" s="16"/>
      <c r="CG76" s="17"/>
      <c r="CH76" s="17"/>
      <c r="CI76" s="16"/>
      <c r="CJ76" s="17"/>
      <c r="CK76" s="17"/>
      <c r="CL76" s="16"/>
      <c r="CM76" s="17"/>
      <c r="CN76" s="17"/>
      <c r="CO76" s="17"/>
      <c r="CP76" s="17"/>
      <c r="CQ76" s="17"/>
      <c r="CR76" s="16"/>
      <c r="CS76" s="17"/>
      <c r="CT76" s="17"/>
      <c r="CU76" s="16"/>
      <c r="CV76" s="17"/>
      <c r="CW76" s="17"/>
      <c r="CX76" s="21"/>
      <c r="CY76" s="20"/>
      <c r="CZ76" s="20"/>
      <c r="DA76" s="20"/>
      <c r="DB76" s="20"/>
      <c r="DC76" s="133"/>
      <c r="DD76" s="20"/>
      <c r="DE76" s="30"/>
      <c r="DF76" s="20"/>
      <c r="DG76" s="20"/>
      <c r="DH76" s="20"/>
      <c r="DI76" s="97"/>
      <c r="DJ76" s="97"/>
      <c r="DK76" s="97"/>
      <c r="DL76" s="97"/>
      <c r="DM76" s="97"/>
      <c r="DN76" s="17"/>
      <c r="DO76" s="17"/>
      <c r="DP76" s="88"/>
      <c r="DQ76" s="88"/>
      <c r="DR76" s="88"/>
      <c r="DS76" s="88"/>
      <c r="DT76" s="88"/>
      <c r="DU76" s="88"/>
      <c r="DV76" s="144"/>
      <c r="DW76" s="100"/>
      <c r="DX76" s="100"/>
      <c r="DY76" s="100"/>
      <c r="DZ76" s="100"/>
      <c r="EA76" s="100"/>
      <c r="EB76" s="100"/>
      <c r="EC76" s="100"/>
      <c r="ED76" s="107"/>
      <c r="EE76" s="102"/>
      <c r="EF76" s="100"/>
      <c r="EG76" s="100"/>
      <c r="EH76" s="100"/>
      <c r="EI76" s="100"/>
      <c r="EJ76" s="100"/>
      <c r="EK76" s="100"/>
      <c r="EL76" s="100"/>
      <c r="EM76" s="107"/>
      <c r="EN76" s="123"/>
      <c r="EO76" s="100"/>
      <c r="EP76" s="100"/>
      <c r="EQ76" s="100"/>
      <c r="ER76" s="100"/>
      <c r="ES76" s="100"/>
      <c r="ET76" s="100"/>
      <c r="EU76" s="100"/>
      <c r="EV76" s="143"/>
      <c r="EW76" s="89"/>
      <c r="EX76" s="156">
        <v>45580</v>
      </c>
      <c r="EY76" s="160">
        <v>0</v>
      </c>
    </row>
    <row r="77" spans="1:155" s="65" customFormat="1" ht="14.95" customHeight="1" x14ac:dyDescent="0.25">
      <c r="A77" s="194"/>
      <c r="B77" s="188"/>
      <c r="C77" s="22" t="s">
        <v>139</v>
      </c>
      <c r="D77" s="23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88"/>
      <c r="BT77" s="88"/>
      <c r="BU77" s="88"/>
      <c r="BV77" s="88"/>
      <c r="BW77" s="88"/>
      <c r="BX77" s="88"/>
      <c r="BY77" s="88"/>
      <c r="BZ77" s="88"/>
      <c r="CA77" s="88"/>
      <c r="CB77" s="88"/>
      <c r="CC77" s="88"/>
      <c r="CD77" s="90"/>
      <c r="CE77" s="19"/>
      <c r="CF77" s="16"/>
      <c r="CG77" s="17"/>
      <c r="CH77" s="17"/>
      <c r="CI77" s="16"/>
      <c r="CJ77" s="17"/>
      <c r="CK77" s="17"/>
      <c r="CL77" s="16"/>
      <c r="CM77" s="17"/>
      <c r="CN77" s="17"/>
      <c r="CO77" s="17"/>
      <c r="CP77" s="17"/>
      <c r="CQ77" s="17"/>
      <c r="CR77" s="16"/>
      <c r="CS77" s="17"/>
      <c r="CT77" s="17"/>
      <c r="CU77" s="16"/>
      <c r="CV77" s="17"/>
      <c r="CW77" s="17"/>
      <c r="CX77" s="21"/>
      <c r="CY77" s="20"/>
      <c r="CZ77" s="20"/>
      <c r="DA77" s="20"/>
      <c r="DB77" s="20"/>
      <c r="DC77" s="133"/>
      <c r="DD77" s="20"/>
      <c r="DE77" s="30"/>
      <c r="DF77" s="20"/>
      <c r="DG77" s="20"/>
      <c r="DH77" s="20"/>
      <c r="DI77" s="97"/>
      <c r="DJ77" s="97"/>
      <c r="DK77" s="97"/>
      <c r="DL77" s="97"/>
      <c r="DM77" s="97"/>
      <c r="DN77" s="17"/>
      <c r="DO77" s="17"/>
      <c r="DP77" s="88"/>
      <c r="DQ77" s="88"/>
      <c r="DR77" s="88"/>
      <c r="DS77" s="88"/>
      <c r="DT77" s="88"/>
      <c r="DU77" s="88"/>
      <c r="DV77" s="144"/>
      <c r="DW77" s="144"/>
      <c r="DX77" s="144"/>
      <c r="DY77" s="100"/>
      <c r="DZ77" s="100"/>
      <c r="EA77" s="100"/>
      <c r="EB77" s="100"/>
      <c r="EC77" s="100"/>
      <c r="ED77" s="107"/>
      <c r="EE77" s="102"/>
      <c r="EF77" s="100"/>
      <c r="EG77" s="100"/>
      <c r="EH77" s="100"/>
      <c r="EI77" s="100"/>
      <c r="EJ77" s="100"/>
      <c r="EK77" s="100"/>
      <c r="EL77" s="100"/>
      <c r="EM77" s="107"/>
      <c r="EN77" s="123"/>
      <c r="EO77" s="100"/>
      <c r="EP77" s="100"/>
      <c r="EQ77" s="100"/>
      <c r="ER77" s="100"/>
      <c r="ES77" s="100"/>
      <c r="ET77" s="100"/>
      <c r="EU77" s="100"/>
      <c r="EV77" s="143"/>
      <c r="EW77" s="155">
        <v>45580</v>
      </c>
      <c r="EX77" s="156">
        <v>45595</v>
      </c>
      <c r="EY77" s="160">
        <f>EX77-EW77</f>
        <v>15</v>
      </c>
    </row>
    <row r="78" spans="1:155" s="65" customFormat="1" ht="14.95" customHeight="1" x14ac:dyDescent="0.25">
      <c r="A78" s="194"/>
      <c r="B78" s="188"/>
      <c r="C78" s="22" t="s">
        <v>140</v>
      </c>
      <c r="D78" s="23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88"/>
      <c r="BT78" s="88"/>
      <c r="BU78" s="88"/>
      <c r="BV78" s="88"/>
      <c r="BW78" s="88"/>
      <c r="BX78" s="88"/>
      <c r="BY78" s="88"/>
      <c r="BZ78" s="88"/>
      <c r="CA78" s="88"/>
      <c r="CB78" s="88"/>
      <c r="CC78" s="88"/>
      <c r="CD78" s="90"/>
      <c r="CE78" s="19"/>
      <c r="CF78" s="16"/>
      <c r="CG78" s="17"/>
      <c r="CH78" s="17"/>
      <c r="CI78" s="16"/>
      <c r="CJ78" s="17"/>
      <c r="CK78" s="17"/>
      <c r="CL78" s="16"/>
      <c r="CM78" s="17"/>
      <c r="CN78" s="17"/>
      <c r="CO78" s="17"/>
      <c r="CP78" s="17"/>
      <c r="CQ78" s="17"/>
      <c r="CR78" s="16"/>
      <c r="CS78" s="17"/>
      <c r="CT78" s="17"/>
      <c r="CU78" s="16"/>
      <c r="CV78" s="17"/>
      <c r="CW78" s="17"/>
      <c r="CX78" s="21"/>
      <c r="CY78" s="20"/>
      <c r="CZ78" s="20"/>
      <c r="DA78" s="20"/>
      <c r="DB78" s="20"/>
      <c r="DC78" s="133"/>
      <c r="DD78" s="20"/>
      <c r="DE78" s="30"/>
      <c r="DF78" s="20"/>
      <c r="DG78" s="20"/>
      <c r="DH78" s="20"/>
      <c r="DI78" s="97"/>
      <c r="DJ78" s="97"/>
      <c r="DK78" s="97"/>
      <c r="DL78" s="97"/>
      <c r="DM78" s="97"/>
      <c r="DN78" s="17"/>
      <c r="DO78" s="17"/>
      <c r="DP78" s="88"/>
      <c r="DQ78" s="88"/>
      <c r="DR78" s="88"/>
      <c r="DS78" s="88"/>
      <c r="DT78" s="88"/>
      <c r="DU78" s="88"/>
      <c r="DV78" s="100"/>
      <c r="DW78" s="100"/>
      <c r="DX78" s="144"/>
      <c r="DY78" s="144"/>
      <c r="DZ78" s="144"/>
      <c r="EA78" s="144"/>
      <c r="EB78" s="100"/>
      <c r="EC78" s="100"/>
      <c r="ED78" s="107"/>
      <c r="EE78" s="102"/>
      <c r="EF78" s="100"/>
      <c r="EG78" s="100"/>
      <c r="EH78" s="100"/>
      <c r="EI78" s="100"/>
      <c r="EJ78" s="100"/>
      <c r="EK78" s="100"/>
      <c r="EL78" s="100"/>
      <c r="EM78" s="107"/>
      <c r="EN78" s="123"/>
      <c r="EO78" s="100"/>
      <c r="EP78" s="100"/>
      <c r="EQ78" s="100"/>
      <c r="ER78" s="100"/>
      <c r="ES78" s="100"/>
      <c r="ET78" s="100"/>
      <c r="EU78" s="100"/>
      <c r="EV78" s="143"/>
      <c r="EW78" s="155">
        <v>45595</v>
      </c>
      <c r="EX78" s="156">
        <v>45611</v>
      </c>
      <c r="EY78" s="160">
        <f t="shared" ref="EY78:EY99" si="36">EX78-EW78</f>
        <v>16</v>
      </c>
    </row>
    <row r="79" spans="1:155" s="65" customFormat="1" ht="14.95" customHeight="1" x14ac:dyDescent="0.25">
      <c r="A79" s="194"/>
      <c r="B79" s="188"/>
      <c r="C79" s="22" t="s">
        <v>141</v>
      </c>
      <c r="D79" s="23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88"/>
      <c r="BT79" s="88"/>
      <c r="BU79" s="88"/>
      <c r="BV79" s="88"/>
      <c r="BW79" s="88"/>
      <c r="BX79" s="88"/>
      <c r="BY79" s="88"/>
      <c r="BZ79" s="88"/>
      <c r="CA79" s="88"/>
      <c r="CB79" s="88"/>
      <c r="CC79" s="88"/>
      <c r="CD79" s="90"/>
      <c r="CE79" s="19"/>
      <c r="CF79" s="16"/>
      <c r="CG79" s="17"/>
      <c r="CH79" s="17"/>
      <c r="CI79" s="16"/>
      <c r="CJ79" s="17"/>
      <c r="CK79" s="17"/>
      <c r="CL79" s="16"/>
      <c r="CM79" s="17"/>
      <c r="CN79" s="17"/>
      <c r="CO79" s="17"/>
      <c r="CP79" s="17"/>
      <c r="CQ79" s="17"/>
      <c r="CR79" s="16"/>
      <c r="CS79" s="17"/>
      <c r="CT79" s="17"/>
      <c r="CU79" s="16"/>
      <c r="CV79" s="17"/>
      <c r="CW79" s="17"/>
      <c r="CX79" s="21"/>
      <c r="CY79" s="20"/>
      <c r="CZ79" s="20"/>
      <c r="DA79" s="20"/>
      <c r="DB79" s="20"/>
      <c r="DC79" s="133"/>
      <c r="DD79" s="20"/>
      <c r="DE79" s="30"/>
      <c r="DF79" s="20"/>
      <c r="DG79" s="20"/>
      <c r="DH79" s="20"/>
      <c r="DI79" s="97"/>
      <c r="DJ79" s="97"/>
      <c r="DK79" s="97"/>
      <c r="DL79" s="97"/>
      <c r="DM79" s="97"/>
      <c r="DN79" s="17"/>
      <c r="DO79" s="17"/>
      <c r="DP79" s="88"/>
      <c r="DQ79" s="88"/>
      <c r="DR79" s="88"/>
      <c r="DS79" s="88"/>
      <c r="DT79" s="88"/>
      <c r="DU79" s="88"/>
      <c r="DV79" s="100"/>
      <c r="DW79" s="100"/>
      <c r="DX79" s="100"/>
      <c r="DY79" s="100"/>
      <c r="DZ79" s="100"/>
      <c r="EA79" s="144"/>
      <c r="EB79" s="144"/>
      <c r="EC79" s="144"/>
      <c r="ED79" s="107"/>
      <c r="EE79" s="102"/>
      <c r="EF79" s="100"/>
      <c r="EG79" s="100"/>
      <c r="EH79" s="100"/>
      <c r="EI79" s="100"/>
      <c r="EJ79" s="100"/>
      <c r="EK79" s="100"/>
      <c r="EL79" s="100"/>
      <c r="EM79" s="107"/>
      <c r="EN79" s="123"/>
      <c r="EO79" s="100"/>
      <c r="EP79" s="100"/>
      <c r="EQ79" s="100"/>
      <c r="ER79" s="100"/>
      <c r="ES79" s="100"/>
      <c r="ET79" s="100"/>
      <c r="EU79" s="100"/>
      <c r="EV79" s="143"/>
      <c r="EW79" s="155">
        <v>45611</v>
      </c>
      <c r="EX79" s="156">
        <v>45626</v>
      </c>
      <c r="EY79" s="160">
        <f t="shared" si="36"/>
        <v>15</v>
      </c>
    </row>
    <row r="80" spans="1:155" s="65" customFormat="1" ht="14.95" customHeight="1" x14ac:dyDescent="0.25">
      <c r="A80" s="194"/>
      <c r="B80" s="188"/>
      <c r="C80" s="22" t="s">
        <v>142</v>
      </c>
      <c r="D80" s="23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  <c r="AA80" s="24"/>
      <c r="AB80" s="24"/>
      <c r="AC80" s="24"/>
      <c r="AD80" s="24"/>
      <c r="AE80" s="24"/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88"/>
      <c r="BT80" s="88"/>
      <c r="BU80" s="88"/>
      <c r="BV80" s="88"/>
      <c r="BW80" s="88"/>
      <c r="BX80" s="88"/>
      <c r="BY80" s="88"/>
      <c r="BZ80" s="88"/>
      <c r="CA80" s="88"/>
      <c r="CB80" s="88"/>
      <c r="CC80" s="88"/>
      <c r="CD80" s="90"/>
      <c r="CE80" s="19"/>
      <c r="CF80" s="16"/>
      <c r="CG80" s="17"/>
      <c r="CH80" s="17"/>
      <c r="CI80" s="16"/>
      <c r="CJ80" s="17"/>
      <c r="CK80" s="17"/>
      <c r="CL80" s="16"/>
      <c r="CM80" s="17"/>
      <c r="CN80" s="17"/>
      <c r="CO80" s="17"/>
      <c r="CP80" s="17"/>
      <c r="CQ80" s="17"/>
      <c r="CR80" s="16"/>
      <c r="CS80" s="17"/>
      <c r="CT80" s="17"/>
      <c r="CU80" s="16"/>
      <c r="CV80" s="17"/>
      <c r="CW80" s="17"/>
      <c r="CX80" s="21"/>
      <c r="CY80" s="20"/>
      <c r="CZ80" s="20"/>
      <c r="DA80" s="20"/>
      <c r="DB80" s="20"/>
      <c r="DC80" s="133"/>
      <c r="DD80" s="20"/>
      <c r="DE80" s="30"/>
      <c r="DF80" s="20"/>
      <c r="DG80" s="20"/>
      <c r="DH80" s="20"/>
      <c r="DI80" s="97"/>
      <c r="DJ80" s="97"/>
      <c r="DK80" s="97"/>
      <c r="DL80" s="97"/>
      <c r="DM80" s="97"/>
      <c r="DN80" s="17"/>
      <c r="DO80" s="17"/>
      <c r="DP80" s="88"/>
      <c r="DQ80" s="88"/>
      <c r="DR80" s="88"/>
      <c r="DS80" s="88"/>
      <c r="DT80" s="88"/>
      <c r="DU80" s="88"/>
      <c r="DV80" s="100"/>
      <c r="DW80" s="100"/>
      <c r="DX80" s="100"/>
      <c r="DY80" s="100"/>
      <c r="DZ80" s="100"/>
      <c r="EA80" s="100"/>
      <c r="EB80" s="100"/>
      <c r="EC80" s="144"/>
      <c r="ED80" s="107"/>
      <c r="EE80" s="102"/>
      <c r="EF80" s="100"/>
      <c r="EG80" s="100"/>
      <c r="EH80" s="100"/>
      <c r="EI80" s="100"/>
      <c r="EJ80" s="100"/>
      <c r="EK80" s="100"/>
      <c r="EL80" s="100"/>
      <c r="EM80" s="107"/>
      <c r="EN80" s="123"/>
      <c r="EO80" s="100"/>
      <c r="EP80" s="100"/>
      <c r="EQ80" s="100"/>
      <c r="ER80" s="100"/>
      <c r="ES80" s="100"/>
      <c r="ET80" s="100"/>
      <c r="EU80" s="100"/>
      <c r="EV80" s="143"/>
      <c r="EW80" s="155">
        <v>45621</v>
      </c>
      <c r="EX80" s="156">
        <v>45626</v>
      </c>
      <c r="EY80" s="160">
        <f t="shared" si="36"/>
        <v>5</v>
      </c>
    </row>
    <row r="81" spans="1:155" s="65" customFormat="1" ht="14.95" customHeight="1" x14ac:dyDescent="0.25">
      <c r="A81" s="194"/>
      <c r="B81" s="188"/>
      <c r="C81" s="22" t="s">
        <v>58</v>
      </c>
      <c r="D81" s="23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88"/>
      <c r="BT81" s="88"/>
      <c r="BU81" s="88"/>
      <c r="BV81" s="88"/>
      <c r="BW81" s="88"/>
      <c r="BX81" s="88"/>
      <c r="BY81" s="88"/>
      <c r="BZ81" s="88"/>
      <c r="CA81" s="88"/>
      <c r="CB81" s="88"/>
      <c r="CC81" s="88"/>
      <c r="CD81" s="90"/>
      <c r="CE81" s="19"/>
      <c r="CF81" s="16"/>
      <c r="CG81" s="17"/>
      <c r="CH81" s="17"/>
      <c r="CI81" s="16"/>
      <c r="CJ81" s="17"/>
      <c r="CK81" s="17"/>
      <c r="CL81" s="16"/>
      <c r="CM81" s="17"/>
      <c r="CN81" s="17"/>
      <c r="CO81" s="17"/>
      <c r="CP81" s="17"/>
      <c r="CQ81" s="17"/>
      <c r="CR81" s="16"/>
      <c r="CS81" s="17"/>
      <c r="CT81" s="17"/>
      <c r="CU81" s="16"/>
      <c r="CV81" s="17"/>
      <c r="CW81" s="17"/>
      <c r="CX81" s="21"/>
      <c r="CY81" s="20"/>
      <c r="CZ81" s="20"/>
      <c r="DA81" s="20"/>
      <c r="DB81" s="20"/>
      <c r="DC81" s="133"/>
      <c r="DD81" s="20"/>
      <c r="DE81" s="30"/>
      <c r="DF81" s="20"/>
      <c r="DG81" s="20"/>
      <c r="DH81" s="20"/>
      <c r="DI81" s="97"/>
      <c r="DJ81" s="97"/>
      <c r="DK81" s="97"/>
      <c r="DL81" s="97"/>
      <c r="DM81" s="97"/>
      <c r="DN81" s="17"/>
      <c r="DO81" s="17"/>
      <c r="DP81" s="88"/>
      <c r="DQ81" s="88"/>
      <c r="DR81" s="88"/>
      <c r="DS81" s="88"/>
      <c r="DT81" s="88"/>
      <c r="DU81" s="88"/>
      <c r="DV81" s="100"/>
      <c r="DW81" s="100"/>
      <c r="DX81" s="100"/>
      <c r="DY81" s="100"/>
      <c r="DZ81" s="100"/>
      <c r="EA81" s="100"/>
      <c r="EB81" s="100"/>
      <c r="EC81" s="144"/>
      <c r="ED81" s="157"/>
      <c r="EE81" s="158"/>
      <c r="EF81" s="144"/>
      <c r="EG81" s="144"/>
      <c r="EH81" s="144"/>
      <c r="EI81" s="144"/>
      <c r="EJ81" s="144"/>
      <c r="EK81" s="144"/>
      <c r="EL81" s="144"/>
      <c r="EM81" s="107"/>
      <c r="EN81" s="123"/>
      <c r="EO81" s="100"/>
      <c r="EP81" s="100"/>
      <c r="EQ81" s="100"/>
      <c r="ER81" s="100"/>
      <c r="ES81" s="100"/>
      <c r="ET81" s="100"/>
      <c r="EU81" s="100"/>
      <c r="EV81" s="143"/>
      <c r="EW81" s="155">
        <v>45626</v>
      </c>
      <c r="EX81" s="156">
        <v>45672</v>
      </c>
      <c r="EY81" s="160">
        <f t="shared" si="36"/>
        <v>46</v>
      </c>
    </row>
    <row r="82" spans="1:155" s="65" customFormat="1" ht="14.95" customHeight="1" x14ac:dyDescent="0.25">
      <c r="A82" s="194"/>
      <c r="B82" s="188"/>
      <c r="C82" s="22" t="s">
        <v>143</v>
      </c>
      <c r="D82" s="23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/>
      <c r="AK82" s="24"/>
      <c r="AL82" s="24"/>
      <c r="AM82" s="24"/>
      <c r="AN82" s="24"/>
      <c r="AO82" s="24"/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88"/>
      <c r="BT82" s="88"/>
      <c r="BU82" s="88"/>
      <c r="BV82" s="88"/>
      <c r="BW82" s="88"/>
      <c r="BX82" s="88"/>
      <c r="BY82" s="88"/>
      <c r="BZ82" s="88"/>
      <c r="CA82" s="88"/>
      <c r="CB82" s="88"/>
      <c r="CC82" s="88"/>
      <c r="CD82" s="90"/>
      <c r="CE82" s="19"/>
      <c r="CF82" s="16"/>
      <c r="CG82" s="17"/>
      <c r="CH82" s="17"/>
      <c r="CI82" s="16"/>
      <c r="CJ82" s="17"/>
      <c r="CK82" s="17"/>
      <c r="CL82" s="16"/>
      <c r="CM82" s="17"/>
      <c r="CN82" s="17"/>
      <c r="CO82" s="17"/>
      <c r="CP82" s="17"/>
      <c r="CQ82" s="17"/>
      <c r="CR82" s="16"/>
      <c r="CS82" s="17"/>
      <c r="CT82" s="17"/>
      <c r="CU82" s="16"/>
      <c r="CV82" s="17"/>
      <c r="CW82" s="17"/>
      <c r="CX82" s="21"/>
      <c r="CY82" s="20"/>
      <c r="CZ82" s="20"/>
      <c r="DA82" s="20"/>
      <c r="DB82" s="20"/>
      <c r="DC82" s="133"/>
      <c r="DD82" s="20"/>
      <c r="DE82" s="30"/>
      <c r="DF82" s="20"/>
      <c r="DG82" s="20"/>
      <c r="DH82" s="20"/>
      <c r="DI82" s="97"/>
      <c r="DJ82" s="97"/>
      <c r="DK82" s="97"/>
      <c r="DL82" s="97"/>
      <c r="DM82" s="97"/>
      <c r="DN82" s="17"/>
      <c r="DO82" s="17"/>
      <c r="DP82" s="88"/>
      <c r="DQ82" s="88"/>
      <c r="DR82" s="88"/>
      <c r="DS82" s="88"/>
      <c r="DT82" s="88"/>
      <c r="DU82" s="88"/>
      <c r="DV82" s="100"/>
      <c r="DW82" s="100"/>
      <c r="DX82" s="100"/>
      <c r="DY82" s="100"/>
      <c r="DZ82" s="100"/>
      <c r="EA82" s="100"/>
      <c r="EB82" s="100"/>
      <c r="EC82" s="100"/>
      <c r="ED82" s="107"/>
      <c r="EE82" s="102"/>
      <c r="EF82" s="100"/>
      <c r="EG82" s="100"/>
      <c r="EH82" s="100"/>
      <c r="EI82" s="144"/>
      <c r="EJ82" s="144"/>
      <c r="EK82" s="144"/>
      <c r="EL82" s="144"/>
      <c r="EM82" s="107"/>
      <c r="EN82" s="123"/>
      <c r="EO82" s="100"/>
      <c r="EP82" s="100"/>
      <c r="EQ82" s="100"/>
      <c r="ER82" s="100"/>
      <c r="ES82" s="100"/>
      <c r="ET82" s="100"/>
      <c r="EU82" s="100"/>
      <c r="EV82" s="143"/>
      <c r="EW82" s="155">
        <v>45658</v>
      </c>
      <c r="EX82" s="156">
        <v>45672</v>
      </c>
      <c r="EY82" s="160">
        <f t="shared" si="36"/>
        <v>14</v>
      </c>
    </row>
    <row r="83" spans="1:155" s="65" customFormat="1" ht="14.95" customHeight="1" x14ac:dyDescent="0.25">
      <c r="A83" s="194"/>
      <c r="B83" s="188"/>
      <c r="C83" s="22" t="s">
        <v>144</v>
      </c>
      <c r="D83" s="23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88"/>
      <c r="BT83" s="88"/>
      <c r="BU83" s="88"/>
      <c r="BV83" s="88"/>
      <c r="BW83" s="88"/>
      <c r="BX83" s="88"/>
      <c r="BY83" s="88"/>
      <c r="BZ83" s="88"/>
      <c r="CA83" s="88"/>
      <c r="CB83" s="88"/>
      <c r="CC83" s="88"/>
      <c r="CD83" s="90"/>
      <c r="CE83" s="19"/>
      <c r="CF83" s="16"/>
      <c r="CG83" s="17"/>
      <c r="CH83" s="17"/>
      <c r="CI83" s="17"/>
      <c r="CJ83" s="97"/>
      <c r="CK83" s="97"/>
      <c r="CL83" s="98"/>
      <c r="CM83" s="98"/>
      <c r="CN83" s="98"/>
      <c r="CO83" s="98"/>
      <c r="CP83" s="98"/>
      <c r="CQ83" s="97"/>
      <c r="CR83" s="98"/>
      <c r="CS83" s="97"/>
      <c r="CT83" s="97"/>
      <c r="CU83" s="98"/>
      <c r="CV83" s="97"/>
      <c r="CW83" s="97"/>
      <c r="CX83" s="99"/>
      <c r="CY83" s="97"/>
      <c r="CZ83" s="97"/>
      <c r="DA83" s="97"/>
      <c r="DB83" s="97"/>
      <c r="DC83" s="133"/>
      <c r="DD83" s="97"/>
      <c r="DE83" s="98"/>
      <c r="DF83" s="97"/>
      <c r="DG83" s="97"/>
      <c r="DH83" s="98"/>
      <c r="DI83" s="97"/>
      <c r="DJ83" s="97"/>
      <c r="DK83" s="97"/>
      <c r="DL83" s="97"/>
      <c r="DM83" s="97"/>
      <c r="DN83" s="97"/>
      <c r="DO83" s="97"/>
      <c r="DP83" s="88"/>
      <c r="DQ83" s="88"/>
      <c r="DR83" s="88"/>
      <c r="DS83" s="88"/>
      <c r="DT83" s="88"/>
      <c r="DU83" s="88"/>
      <c r="DV83" s="100"/>
      <c r="DW83" s="100"/>
      <c r="DX83" s="100"/>
      <c r="DY83" s="100"/>
      <c r="DZ83" s="100"/>
      <c r="EA83" s="100"/>
      <c r="EB83" s="100"/>
      <c r="EC83" s="100"/>
      <c r="ED83" s="107"/>
      <c r="EE83" s="102"/>
      <c r="EF83" s="100"/>
      <c r="EG83" s="100"/>
      <c r="EH83" s="100"/>
      <c r="EI83" s="144"/>
      <c r="EJ83" s="144"/>
      <c r="EK83" s="144"/>
      <c r="EL83" s="144"/>
      <c r="EM83" s="107"/>
      <c r="EN83" s="123"/>
      <c r="EO83" s="100"/>
      <c r="EP83" s="100"/>
      <c r="EQ83" s="100"/>
      <c r="ER83" s="100"/>
      <c r="ES83" s="100"/>
      <c r="ET83" s="100"/>
      <c r="EU83" s="100"/>
      <c r="EV83" s="143"/>
      <c r="EW83" s="155">
        <v>45658</v>
      </c>
      <c r="EX83" s="156">
        <v>45672</v>
      </c>
      <c r="EY83" s="160">
        <f t="shared" si="36"/>
        <v>14</v>
      </c>
    </row>
    <row r="84" spans="1:155" s="65" customFormat="1" ht="14.95" customHeight="1" x14ac:dyDescent="0.25">
      <c r="A84" s="194"/>
      <c r="B84" s="188"/>
      <c r="C84" s="65" t="s">
        <v>145</v>
      </c>
      <c r="D84" s="23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88"/>
      <c r="BT84" s="88"/>
      <c r="BU84" s="88"/>
      <c r="BV84" s="88"/>
      <c r="BW84" s="88"/>
      <c r="BX84" s="88"/>
      <c r="BY84" s="88"/>
      <c r="BZ84" s="88"/>
      <c r="CA84" s="88"/>
      <c r="CB84" s="88"/>
      <c r="CC84" s="88"/>
      <c r="CD84" s="90"/>
      <c r="CE84" s="19"/>
      <c r="CF84" s="16"/>
      <c r="CG84" s="17"/>
      <c r="CH84" s="17"/>
      <c r="CI84" s="16"/>
      <c r="CJ84" s="97"/>
      <c r="CK84" s="97"/>
      <c r="CL84" s="98"/>
      <c r="CM84" s="97"/>
      <c r="CN84" s="97"/>
      <c r="CO84" s="97"/>
      <c r="CP84" s="97"/>
      <c r="CQ84" s="97"/>
      <c r="CR84" s="98"/>
      <c r="CS84" s="97"/>
      <c r="CT84" s="97"/>
      <c r="CU84" s="98"/>
      <c r="CV84" s="97"/>
      <c r="CW84" s="97"/>
      <c r="CX84" s="99"/>
      <c r="CY84" s="97"/>
      <c r="CZ84" s="97"/>
      <c r="DA84" s="97"/>
      <c r="DB84" s="97"/>
      <c r="DC84" s="133"/>
      <c r="DD84" s="98"/>
      <c r="DE84" s="98"/>
      <c r="DF84" s="98"/>
      <c r="DG84" s="98"/>
      <c r="DH84" s="98"/>
      <c r="DI84" s="98"/>
      <c r="DJ84" s="97"/>
      <c r="DK84" s="97"/>
      <c r="DL84" s="97"/>
      <c r="DM84" s="97"/>
      <c r="DN84" s="97"/>
      <c r="DO84" s="97"/>
      <c r="DP84" s="88"/>
      <c r="DQ84" s="88"/>
      <c r="DR84" s="88"/>
      <c r="DS84" s="88"/>
      <c r="DT84" s="88"/>
      <c r="DU84" s="88"/>
      <c r="DV84" s="100"/>
      <c r="DW84" s="100"/>
      <c r="DX84" s="100"/>
      <c r="DY84" s="100"/>
      <c r="DZ84" s="100"/>
      <c r="EA84" s="100"/>
      <c r="EB84" s="100"/>
      <c r="EC84" s="100"/>
      <c r="ED84" s="107"/>
      <c r="EE84" s="102"/>
      <c r="EF84" s="100"/>
      <c r="EG84" s="100"/>
      <c r="EH84" s="100"/>
      <c r="EI84" s="100"/>
      <c r="EJ84" s="100"/>
      <c r="EK84" s="100"/>
      <c r="EL84" s="144"/>
      <c r="EM84" s="157"/>
      <c r="EN84" s="164"/>
      <c r="EO84" s="144"/>
      <c r="EP84" s="100"/>
      <c r="EQ84" s="100"/>
      <c r="ER84" s="100"/>
      <c r="ES84" s="100"/>
      <c r="ET84" s="100"/>
      <c r="EU84" s="100"/>
      <c r="EV84" s="143"/>
      <c r="EW84" s="155">
        <v>45672</v>
      </c>
      <c r="EX84" s="156">
        <v>45687</v>
      </c>
      <c r="EY84" s="160">
        <f t="shared" si="36"/>
        <v>15</v>
      </c>
    </row>
    <row r="85" spans="1:155" s="65" customFormat="1" ht="14.95" customHeight="1" x14ac:dyDescent="0.25">
      <c r="A85" s="194"/>
      <c r="B85" s="188"/>
      <c r="C85" s="65" t="s">
        <v>13</v>
      </c>
      <c r="D85" s="23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88"/>
      <c r="BT85" s="88"/>
      <c r="BU85" s="88"/>
      <c r="BV85" s="88"/>
      <c r="BW85" s="88"/>
      <c r="BX85" s="88"/>
      <c r="BY85" s="88"/>
      <c r="BZ85" s="88"/>
      <c r="CA85" s="88"/>
      <c r="CB85" s="88"/>
      <c r="CC85" s="88"/>
      <c r="CD85" s="90"/>
      <c r="CE85" s="19"/>
      <c r="CF85" s="16"/>
      <c r="CG85" s="17"/>
      <c r="CH85" s="17"/>
      <c r="CI85" s="16"/>
      <c r="CJ85" s="97"/>
      <c r="CK85" s="97"/>
      <c r="CL85" s="98"/>
      <c r="CM85" s="97"/>
      <c r="CN85" s="97"/>
      <c r="CO85" s="97"/>
      <c r="CP85" s="97"/>
      <c r="CQ85" s="97"/>
      <c r="CR85" s="98"/>
      <c r="CS85" s="97"/>
      <c r="CT85" s="97"/>
      <c r="CU85" s="98"/>
      <c r="CV85" s="97"/>
      <c r="CW85" s="97"/>
      <c r="CX85" s="99"/>
      <c r="CY85" s="97"/>
      <c r="CZ85" s="97"/>
      <c r="DA85" s="97"/>
      <c r="DB85" s="97"/>
      <c r="DC85" s="133"/>
      <c r="DD85" s="98"/>
      <c r="DE85" s="98"/>
      <c r="DF85" s="98"/>
      <c r="DG85" s="98"/>
      <c r="DH85" s="98"/>
      <c r="DI85" s="98"/>
      <c r="DJ85" s="97"/>
      <c r="DK85" s="97"/>
      <c r="DL85" s="97"/>
      <c r="DM85" s="97"/>
      <c r="DN85" s="97"/>
      <c r="DO85" s="97"/>
      <c r="DP85" s="88"/>
      <c r="DQ85" s="88"/>
      <c r="DR85" s="88"/>
      <c r="DS85" s="88"/>
      <c r="DT85" s="88"/>
      <c r="DU85" s="88"/>
      <c r="DV85" s="100"/>
      <c r="DW85" s="100"/>
      <c r="DX85" s="100"/>
      <c r="DY85" s="100"/>
      <c r="DZ85" s="100"/>
      <c r="EA85" s="100"/>
      <c r="EB85" s="100"/>
      <c r="EC85" s="100"/>
      <c r="ED85" s="107"/>
      <c r="EE85" s="102"/>
      <c r="EF85" s="100"/>
      <c r="EG85" s="100"/>
      <c r="EH85" s="100"/>
      <c r="EI85" s="100"/>
      <c r="EJ85" s="100"/>
      <c r="EK85" s="100"/>
      <c r="EL85" s="144"/>
      <c r="EM85" s="157"/>
      <c r="EN85" s="164"/>
      <c r="EO85" s="144"/>
      <c r="EP85" s="100"/>
      <c r="EQ85" s="100"/>
      <c r="ER85" s="100"/>
      <c r="ES85" s="100"/>
      <c r="ET85" s="100"/>
      <c r="EU85" s="100"/>
      <c r="EV85" s="143"/>
      <c r="EW85" s="155">
        <v>45672</v>
      </c>
      <c r="EX85" s="156">
        <v>45689</v>
      </c>
      <c r="EY85" s="160">
        <f t="shared" si="36"/>
        <v>17</v>
      </c>
    </row>
    <row r="86" spans="1:155" s="65" customFormat="1" ht="14.95" customHeight="1" x14ac:dyDescent="0.25">
      <c r="A86" s="194"/>
      <c r="B86" s="188"/>
      <c r="C86" s="65" t="s">
        <v>146</v>
      </c>
      <c r="D86" s="23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4"/>
      <c r="AU86" s="24"/>
      <c r="AV86" s="24"/>
      <c r="AW86" s="24"/>
      <c r="AX86" s="24"/>
      <c r="AY86" s="24"/>
      <c r="AZ86" s="24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88"/>
      <c r="BT86" s="88"/>
      <c r="BU86" s="88"/>
      <c r="BV86" s="88"/>
      <c r="BW86" s="88"/>
      <c r="BX86" s="88"/>
      <c r="BY86" s="88"/>
      <c r="BZ86" s="88"/>
      <c r="CA86" s="88"/>
      <c r="CB86" s="88"/>
      <c r="CC86" s="88"/>
      <c r="CD86" s="90"/>
      <c r="CE86" s="19"/>
      <c r="CF86" s="16"/>
      <c r="CG86" s="17"/>
      <c r="CH86" s="17"/>
      <c r="CI86" s="16"/>
      <c r="CJ86" s="97"/>
      <c r="CK86" s="97"/>
      <c r="CL86" s="98"/>
      <c r="CM86" s="97"/>
      <c r="CN86" s="97"/>
      <c r="CO86" s="97"/>
      <c r="CP86" s="97"/>
      <c r="CQ86" s="97"/>
      <c r="CR86" s="98"/>
      <c r="CS86" s="97"/>
      <c r="CT86" s="97"/>
      <c r="CU86" s="98"/>
      <c r="CV86" s="97"/>
      <c r="CW86" s="97"/>
      <c r="CX86" s="99"/>
      <c r="CY86" s="97"/>
      <c r="CZ86" s="97"/>
      <c r="DA86" s="97"/>
      <c r="DB86" s="97"/>
      <c r="DC86" s="133"/>
      <c r="DD86" s="98"/>
      <c r="DE86" s="98"/>
      <c r="DF86" s="98"/>
      <c r="DG86" s="98"/>
      <c r="DH86" s="98"/>
      <c r="DI86" s="98"/>
      <c r="DJ86" s="97"/>
      <c r="DK86" s="97"/>
      <c r="DL86" s="97"/>
      <c r="DM86" s="97"/>
      <c r="DN86" s="97"/>
      <c r="DO86" s="97"/>
      <c r="DP86" s="88"/>
      <c r="DQ86" s="88"/>
      <c r="DR86" s="88"/>
      <c r="DS86" s="88"/>
      <c r="DT86" s="88"/>
      <c r="DU86" s="88"/>
      <c r="DV86" s="100"/>
      <c r="DW86" s="100"/>
      <c r="DX86" s="100"/>
      <c r="DY86" s="100"/>
      <c r="DZ86" s="100"/>
      <c r="EA86" s="100"/>
      <c r="EB86" s="100"/>
      <c r="EC86" s="100"/>
      <c r="ED86" s="107"/>
      <c r="EE86" s="102"/>
      <c r="EF86" s="100"/>
      <c r="EG86" s="100"/>
      <c r="EH86" s="100"/>
      <c r="EI86" s="100"/>
      <c r="EJ86" s="100"/>
      <c r="EK86" s="100"/>
      <c r="EL86" s="144"/>
      <c r="EM86" s="157"/>
      <c r="EN86" s="164"/>
      <c r="EO86" s="144"/>
      <c r="EP86" s="144"/>
      <c r="EQ86" s="144"/>
      <c r="ER86" s="144"/>
      <c r="ES86" s="100"/>
      <c r="ET86" s="100"/>
      <c r="EU86" s="100"/>
      <c r="EV86" s="143"/>
      <c r="EW86" s="155">
        <v>45658</v>
      </c>
      <c r="EX86" s="156">
        <v>45703</v>
      </c>
      <c r="EY86" s="160">
        <f t="shared" si="36"/>
        <v>45</v>
      </c>
    </row>
    <row r="87" spans="1:155" s="65" customFormat="1" ht="14.95" customHeight="1" x14ac:dyDescent="0.25">
      <c r="A87" s="194"/>
      <c r="B87" s="188"/>
      <c r="C87" s="65" t="s">
        <v>147</v>
      </c>
      <c r="D87" s="23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88"/>
      <c r="BT87" s="88"/>
      <c r="BU87" s="88"/>
      <c r="BV87" s="88"/>
      <c r="BW87" s="88"/>
      <c r="BX87" s="88"/>
      <c r="BY87" s="88"/>
      <c r="BZ87" s="88"/>
      <c r="CA87" s="88"/>
      <c r="CB87" s="88"/>
      <c r="CC87" s="88"/>
      <c r="CD87" s="90"/>
      <c r="CE87" s="19"/>
      <c r="CF87" s="16"/>
      <c r="CG87" s="17"/>
      <c r="CH87" s="17"/>
      <c r="CI87" s="16"/>
      <c r="CJ87" s="97"/>
      <c r="CK87" s="97"/>
      <c r="CL87" s="98"/>
      <c r="CM87" s="97"/>
      <c r="CN87" s="97"/>
      <c r="CO87" s="97"/>
      <c r="CP87" s="97"/>
      <c r="CQ87" s="97"/>
      <c r="CR87" s="98"/>
      <c r="CS87" s="97"/>
      <c r="CT87" s="97"/>
      <c r="CU87" s="98"/>
      <c r="CV87" s="97"/>
      <c r="CW87" s="97"/>
      <c r="CX87" s="99"/>
      <c r="CY87" s="97"/>
      <c r="CZ87" s="97"/>
      <c r="DA87" s="97"/>
      <c r="DB87" s="97"/>
      <c r="DC87" s="133"/>
      <c r="DD87" s="98"/>
      <c r="DE87" s="98"/>
      <c r="DF87" s="98"/>
      <c r="DG87" s="98"/>
      <c r="DH87" s="98"/>
      <c r="DI87" s="98"/>
      <c r="DJ87" s="97"/>
      <c r="DK87" s="97"/>
      <c r="DL87" s="97"/>
      <c r="DM87" s="97"/>
      <c r="DN87" s="97"/>
      <c r="DO87" s="97"/>
      <c r="DP87" s="88"/>
      <c r="DQ87" s="88"/>
      <c r="DR87" s="88"/>
      <c r="DS87" s="88"/>
      <c r="DT87" s="88"/>
      <c r="DU87" s="88"/>
      <c r="DV87" s="100"/>
      <c r="DW87" s="100"/>
      <c r="DX87" s="100"/>
      <c r="DY87" s="100"/>
      <c r="DZ87" s="100"/>
      <c r="EA87" s="100"/>
      <c r="EB87" s="100"/>
      <c r="EC87" s="100"/>
      <c r="ED87" s="107"/>
      <c r="EE87" s="102"/>
      <c r="EF87" s="100"/>
      <c r="EG87" s="100"/>
      <c r="EH87" s="100"/>
      <c r="EI87" s="100"/>
      <c r="EJ87" s="100"/>
      <c r="EK87" s="100"/>
      <c r="EL87" s="100"/>
      <c r="EM87" s="107"/>
      <c r="EN87" s="123"/>
      <c r="EO87" s="144"/>
      <c r="EP87" s="144"/>
      <c r="EQ87" s="144"/>
      <c r="ER87" s="144"/>
      <c r="ES87" s="100"/>
      <c r="ET87" s="100"/>
      <c r="EU87" s="100"/>
      <c r="EV87" s="143"/>
      <c r="EW87" s="155">
        <v>45672</v>
      </c>
      <c r="EX87" s="156">
        <v>45703</v>
      </c>
      <c r="EY87" s="160">
        <f t="shared" si="36"/>
        <v>31</v>
      </c>
    </row>
    <row r="88" spans="1:155" s="65" customFormat="1" ht="20.05" customHeight="1" x14ac:dyDescent="0.25">
      <c r="A88" s="193"/>
      <c r="B88" s="186" t="s">
        <v>134</v>
      </c>
      <c r="C88" s="22" t="s">
        <v>59</v>
      </c>
      <c r="D88" s="23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88"/>
      <c r="BT88" s="88"/>
      <c r="BU88" s="88"/>
      <c r="BV88" s="88"/>
      <c r="BW88" s="88"/>
      <c r="BX88" s="88"/>
      <c r="BY88" s="88"/>
      <c r="BZ88" s="88"/>
      <c r="CA88" s="88"/>
      <c r="CB88" s="88"/>
      <c r="CC88" s="88"/>
      <c r="CD88" s="90"/>
      <c r="CE88" s="19"/>
      <c r="CF88" s="16"/>
      <c r="CG88" s="17"/>
      <c r="CH88" s="17"/>
      <c r="CI88" s="16"/>
      <c r="CJ88" s="17"/>
      <c r="CK88" s="98"/>
      <c r="CL88" s="98"/>
      <c r="CM88" s="98"/>
      <c r="CN88" s="97"/>
      <c r="CO88" s="97"/>
      <c r="CP88" s="97"/>
      <c r="CQ88" s="97"/>
      <c r="CR88" s="98"/>
      <c r="CS88" s="97"/>
      <c r="CT88" s="97"/>
      <c r="CU88" s="98"/>
      <c r="CV88" s="17"/>
      <c r="CW88" s="17"/>
      <c r="CX88" s="17"/>
      <c r="CY88" s="17"/>
      <c r="CZ88" s="17"/>
      <c r="DA88" s="17"/>
      <c r="DB88" s="17"/>
      <c r="DC88" s="133"/>
      <c r="DD88" s="17"/>
      <c r="DE88" s="17"/>
      <c r="DF88" s="17"/>
      <c r="DG88" s="17"/>
      <c r="DH88" s="16"/>
      <c r="DI88" s="17"/>
      <c r="DJ88" s="17"/>
      <c r="DK88" s="17"/>
      <c r="DL88" s="17"/>
      <c r="DM88" s="17"/>
      <c r="DN88" s="17"/>
      <c r="DO88" s="17"/>
      <c r="DP88" s="88"/>
      <c r="DQ88" s="88"/>
      <c r="DR88" s="88"/>
      <c r="DS88" s="88"/>
      <c r="DT88" s="88"/>
      <c r="DU88" s="88"/>
      <c r="DV88" s="144"/>
      <c r="DW88" s="144"/>
      <c r="DX88" s="144"/>
      <c r="DY88" s="100"/>
      <c r="DZ88" s="100"/>
      <c r="EA88" s="100"/>
      <c r="EB88" s="100"/>
      <c r="EC88" s="100"/>
      <c r="ED88" s="107"/>
      <c r="EE88" s="102"/>
      <c r="EF88" s="100"/>
      <c r="EG88" s="100"/>
      <c r="EH88" s="100"/>
      <c r="EI88" s="100"/>
      <c r="EJ88" s="100"/>
      <c r="EK88" s="100"/>
      <c r="EL88" s="100"/>
      <c r="EM88" s="143"/>
      <c r="EN88" s="102"/>
      <c r="EO88" s="100"/>
      <c r="EP88" s="100"/>
      <c r="EQ88" s="100"/>
      <c r="ER88" s="100"/>
      <c r="ES88" s="100"/>
      <c r="ET88" s="100"/>
      <c r="EU88" s="100"/>
      <c r="EV88" s="143"/>
      <c r="EW88" s="155">
        <v>45580</v>
      </c>
      <c r="EX88" s="156">
        <v>45595</v>
      </c>
      <c r="EY88" s="160">
        <f t="shared" si="36"/>
        <v>15</v>
      </c>
    </row>
    <row r="89" spans="1:155" s="65" customFormat="1" ht="20.05" customHeight="1" x14ac:dyDescent="0.25">
      <c r="A89" s="194"/>
      <c r="B89" s="188"/>
      <c r="C89" s="22" t="s">
        <v>135</v>
      </c>
      <c r="D89" s="23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88"/>
      <c r="BT89" s="88"/>
      <c r="BU89" s="88"/>
      <c r="BV89" s="88"/>
      <c r="BW89" s="88"/>
      <c r="BX89" s="88"/>
      <c r="BY89" s="88"/>
      <c r="BZ89" s="88"/>
      <c r="CA89" s="88"/>
      <c r="CB89" s="88"/>
      <c r="CC89" s="88"/>
      <c r="CD89" s="90"/>
      <c r="CE89" s="19"/>
      <c r="CF89" s="16"/>
      <c r="CG89" s="17"/>
      <c r="CH89" s="17"/>
      <c r="CI89" s="16"/>
      <c r="CJ89" s="17"/>
      <c r="CK89" s="98"/>
      <c r="CL89" s="98"/>
      <c r="CM89" s="98"/>
      <c r="CN89" s="97"/>
      <c r="CO89" s="97"/>
      <c r="CP89" s="97"/>
      <c r="CQ89" s="97"/>
      <c r="CR89" s="98"/>
      <c r="CS89" s="97"/>
      <c r="CT89" s="97"/>
      <c r="CU89" s="98"/>
      <c r="CV89" s="17"/>
      <c r="CW89" s="17"/>
      <c r="CX89" s="17"/>
      <c r="CY89" s="17"/>
      <c r="CZ89" s="17"/>
      <c r="DA89" s="17"/>
      <c r="DB89" s="17"/>
      <c r="DC89" s="133"/>
      <c r="DD89" s="17"/>
      <c r="DE89" s="17"/>
      <c r="DF89" s="17"/>
      <c r="DG89" s="17"/>
      <c r="DH89" s="16"/>
      <c r="DI89" s="17"/>
      <c r="DJ89" s="17"/>
      <c r="DK89" s="17"/>
      <c r="DL89" s="17"/>
      <c r="DM89" s="17"/>
      <c r="DN89" s="17"/>
      <c r="DO89" s="17"/>
      <c r="DP89" s="88"/>
      <c r="DQ89" s="88"/>
      <c r="DR89" s="88"/>
      <c r="DS89" s="88"/>
      <c r="DT89" s="88"/>
      <c r="DU89" s="88"/>
      <c r="DV89" s="144"/>
      <c r="DW89" s="144"/>
      <c r="DX89" s="144"/>
      <c r="DY89" s="144"/>
      <c r="DZ89" s="144"/>
      <c r="EA89" s="144"/>
      <c r="EB89" s="100"/>
      <c r="EC89" s="100"/>
      <c r="ED89" s="107"/>
      <c r="EE89" s="102"/>
      <c r="EF89" s="100"/>
      <c r="EG89" s="100"/>
      <c r="EH89" s="100"/>
      <c r="EI89" s="100"/>
      <c r="EJ89" s="100"/>
      <c r="EK89" s="100"/>
      <c r="EL89" s="100"/>
      <c r="EM89" s="143"/>
      <c r="EN89" s="102"/>
      <c r="EO89" s="100"/>
      <c r="EP89" s="100"/>
      <c r="EQ89" s="100"/>
      <c r="ER89" s="100"/>
      <c r="ES89" s="100"/>
      <c r="ET89" s="100"/>
      <c r="EU89" s="100"/>
      <c r="EV89" s="143"/>
      <c r="EW89" s="155">
        <v>45580</v>
      </c>
      <c r="EX89" s="156">
        <v>45611</v>
      </c>
      <c r="EY89" s="160">
        <f t="shared" si="36"/>
        <v>31</v>
      </c>
    </row>
    <row r="90" spans="1:155" s="65" customFormat="1" x14ac:dyDescent="0.25">
      <c r="A90" s="194"/>
      <c r="B90" s="188"/>
      <c r="C90" s="94" t="s">
        <v>43</v>
      </c>
      <c r="D90" s="23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88"/>
      <c r="BT90" s="88"/>
      <c r="BU90" s="88"/>
      <c r="BV90" s="88"/>
      <c r="BW90" s="88"/>
      <c r="BX90" s="88"/>
      <c r="BY90" s="88"/>
      <c r="BZ90" s="88"/>
      <c r="CA90" s="88"/>
      <c r="CB90" s="88"/>
      <c r="CC90" s="88"/>
      <c r="CD90" s="90"/>
      <c r="CE90" s="19"/>
      <c r="CF90" s="16"/>
      <c r="CG90" s="17"/>
      <c r="CH90" s="17"/>
      <c r="CI90" s="16"/>
      <c r="CJ90" s="17"/>
      <c r="CK90" s="97"/>
      <c r="CL90" s="98"/>
      <c r="CM90" s="97"/>
      <c r="CN90" s="97"/>
      <c r="CO90" s="97"/>
      <c r="CP90" s="97"/>
      <c r="CQ90" s="97"/>
      <c r="CR90" s="97"/>
      <c r="CS90" s="98"/>
      <c r="CT90" s="98"/>
      <c r="CU90" s="98"/>
      <c r="CV90" s="17"/>
      <c r="CW90" s="17"/>
      <c r="CX90" s="21"/>
      <c r="CY90" s="17"/>
      <c r="CZ90" s="17"/>
      <c r="DA90" s="17"/>
      <c r="DB90" s="17"/>
      <c r="DC90" s="133"/>
      <c r="DD90" s="17"/>
      <c r="DE90" s="17"/>
      <c r="DF90" s="17"/>
      <c r="DG90" s="17"/>
      <c r="DH90" s="16"/>
      <c r="DI90" s="17"/>
      <c r="DJ90" s="17"/>
      <c r="DK90" s="17"/>
      <c r="DL90" s="17"/>
      <c r="DM90" s="17"/>
      <c r="DN90" s="17"/>
      <c r="DO90" s="17"/>
      <c r="DP90" s="88"/>
      <c r="DQ90" s="88"/>
      <c r="DR90" s="88"/>
      <c r="DS90" s="88"/>
      <c r="DT90" s="88"/>
      <c r="DU90" s="88"/>
      <c r="DV90" s="100"/>
      <c r="DW90" s="100"/>
      <c r="DX90" s="100"/>
      <c r="DY90" s="100"/>
      <c r="DZ90" s="100"/>
      <c r="EA90" s="144"/>
      <c r="EB90" s="144"/>
      <c r="EC90" s="144"/>
      <c r="ED90" s="157"/>
      <c r="EE90" s="158"/>
      <c r="EF90" s="144"/>
      <c r="EG90" s="144"/>
      <c r="EH90" s="144"/>
      <c r="EI90" s="144"/>
      <c r="EJ90" s="100"/>
      <c r="EK90" s="100"/>
      <c r="EL90" s="100"/>
      <c r="EM90" s="107"/>
      <c r="EN90" s="123"/>
      <c r="EO90" s="100"/>
      <c r="EP90" s="100"/>
      <c r="EQ90" s="100"/>
      <c r="ER90" s="100"/>
      <c r="ES90" s="100"/>
      <c r="ET90" s="100"/>
      <c r="EU90" s="100"/>
      <c r="EV90" s="143"/>
      <c r="EW90" s="155">
        <v>45611</v>
      </c>
      <c r="EX90" s="156">
        <v>45656</v>
      </c>
      <c r="EY90" s="160">
        <f t="shared" si="36"/>
        <v>45</v>
      </c>
    </row>
    <row r="91" spans="1:155" s="65" customFormat="1" ht="14.95" customHeight="1" x14ac:dyDescent="0.25">
      <c r="A91" s="194"/>
      <c r="B91" s="188"/>
      <c r="C91" s="22" t="s">
        <v>60</v>
      </c>
      <c r="D91" s="23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4"/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88"/>
      <c r="BT91" s="88"/>
      <c r="BU91" s="88"/>
      <c r="BV91" s="88"/>
      <c r="BW91" s="88"/>
      <c r="BX91" s="88"/>
      <c r="BY91" s="88"/>
      <c r="BZ91" s="88"/>
      <c r="CA91" s="88"/>
      <c r="CB91" s="88"/>
      <c r="CC91" s="88"/>
      <c r="CD91" s="90"/>
      <c r="CE91" s="19"/>
      <c r="CF91" s="16"/>
      <c r="CG91" s="17"/>
      <c r="CH91" s="17"/>
      <c r="CI91" s="16"/>
      <c r="CJ91" s="17"/>
      <c r="CK91" s="17"/>
      <c r="CL91" s="16"/>
      <c r="CM91" s="17"/>
      <c r="CN91" s="17"/>
      <c r="CO91" s="17"/>
      <c r="CP91" s="17"/>
      <c r="CQ91" s="17"/>
      <c r="CR91" s="16"/>
      <c r="CS91" s="17"/>
      <c r="CT91" s="17"/>
      <c r="CU91" s="16"/>
      <c r="CV91" s="17"/>
      <c r="CW91" s="17"/>
      <c r="CX91" s="21"/>
      <c r="CY91" s="17"/>
      <c r="CZ91" s="17"/>
      <c r="DA91" s="17"/>
      <c r="DB91" s="17"/>
      <c r="DC91" s="133"/>
      <c r="DD91" s="98"/>
      <c r="DE91" s="98"/>
      <c r="DF91" s="98"/>
      <c r="DG91" s="97"/>
      <c r="DH91" s="98"/>
      <c r="DI91" s="97"/>
      <c r="DJ91" s="17"/>
      <c r="DK91" s="17"/>
      <c r="DL91" s="17"/>
      <c r="DM91" s="17"/>
      <c r="DN91" s="17"/>
      <c r="DO91" s="17"/>
      <c r="DP91" s="88"/>
      <c r="DQ91" s="88"/>
      <c r="DR91" s="88"/>
      <c r="DS91" s="88"/>
      <c r="DT91" s="88"/>
      <c r="DU91" s="88"/>
      <c r="DV91" s="100"/>
      <c r="DW91" s="100"/>
      <c r="DX91" s="100"/>
      <c r="DY91" s="100"/>
      <c r="DZ91" s="100"/>
      <c r="EA91" s="100"/>
      <c r="EB91" s="100"/>
      <c r="EC91" s="100"/>
      <c r="ED91" s="107"/>
      <c r="EE91" s="102"/>
      <c r="EF91" s="100"/>
      <c r="EG91" s="100"/>
      <c r="EH91" s="100"/>
      <c r="EI91" s="100"/>
      <c r="EJ91" s="100"/>
      <c r="EK91" s="100"/>
      <c r="EL91" s="100"/>
      <c r="EM91" s="107"/>
      <c r="EN91" s="123"/>
      <c r="EO91" s="100"/>
      <c r="EP91" s="100"/>
      <c r="EQ91" s="100"/>
      <c r="ER91" s="100"/>
      <c r="ES91" s="100"/>
      <c r="ET91" s="100"/>
      <c r="EU91" s="100"/>
      <c r="EV91" s="143"/>
      <c r="EW91" s="155">
        <v>45687</v>
      </c>
      <c r="EX91" s="156">
        <v>45703</v>
      </c>
      <c r="EY91" s="160">
        <f t="shared" si="36"/>
        <v>16</v>
      </c>
    </row>
    <row r="92" spans="1:155" s="65" customFormat="1" ht="14.95" customHeight="1" x14ac:dyDescent="0.25">
      <c r="A92" s="195"/>
      <c r="B92" s="187"/>
      <c r="C92" s="22" t="s">
        <v>61</v>
      </c>
      <c r="D92" s="23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88"/>
      <c r="BT92" s="88"/>
      <c r="BU92" s="88"/>
      <c r="BV92" s="88"/>
      <c r="BW92" s="88"/>
      <c r="BX92" s="88"/>
      <c r="BY92" s="88"/>
      <c r="BZ92" s="88"/>
      <c r="CA92" s="88"/>
      <c r="CB92" s="88"/>
      <c r="CC92" s="88"/>
      <c r="CD92" s="90"/>
      <c r="CE92" s="19"/>
      <c r="CF92" s="16"/>
      <c r="CG92" s="17"/>
      <c r="CH92" s="17"/>
      <c r="CI92" s="16"/>
      <c r="CJ92" s="17"/>
      <c r="CK92" s="17"/>
      <c r="CL92" s="16"/>
      <c r="CM92" s="17"/>
      <c r="CN92" s="17"/>
      <c r="CO92" s="17"/>
      <c r="CP92" s="17"/>
      <c r="CQ92" s="17"/>
      <c r="CR92" s="16"/>
      <c r="CS92" s="17"/>
      <c r="CT92" s="17"/>
      <c r="CU92" s="16"/>
      <c r="CV92" s="17"/>
      <c r="CW92" s="17"/>
      <c r="CX92" s="21"/>
      <c r="CY92" s="17"/>
      <c r="CZ92" s="17"/>
      <c r="DA92" s="17"/>
      <c r="DB92" s="17"/>
      <c r="DC92" s="133"/>
      <c r="DD92" s="97"/>
      <c r="DE92" s="97"/>
      <c r="DF92" s="98"/>
      <c r="DG92" s="98"/>
      <c r="DH92" s="98"/>
      <c r="DI92" s="98"/>
      <c r="DJ92" s="17"/>
      <c r="DK92" s="17"/>
      <c r="DL92" s="17"/>
      <c r="DM92" s="17"/>
      <c r="DN92" s="17"/>
      <c r="DO92" s="17"/>
      <c r="DP92" s="88"/>
      <c r="DQ92" s="88"/>
      <c r="DR92" s="88"/>
      <c r="DS92" s="88"/>
      <c r="DT92" s="88"/>
      <c r="DU92" s="88"/>
      <c r="DV92" s="100"/>
      <c r="DW92" s="100"/>
      <c r="DX92" s="100"/>
      <c r="DY92" s="100"/>
      <c r="DZ92" s="100"/>
      <c r="EA92" s="100"/>
      <c r="EB92" s="100"/>
      <c r="EC92" s="100"/>
      <c r="ED92" s="107"/>
      <c r="EE92" s="102"/>
      <c r="EF92" s="100"/>
      <c r="EG92" s="100"/>
      <c r="EH92" s="100"/>
      <c r="EI92" s="100"/>
      <c r="EJ92" s="100"/>
      <c r="EK92" s="100"/>
      <c r="EL92" s="100"/>
      <c r="EM92" s="107"/>
      <c r="EN92" s="123"/>
      <c r="EO92" s="100"/>
      <c r="EP92" s="100"/>
      <c r="EQ92" s="100"/>
      <c r="ER92" s="100"/>
      <c r="ES92" s="100"/>
      <c r="ET92" s="100"/>
      <c r="EU92" s="100"/>
      <c r="EV92" s="143"/>
      <c r="EW92" s="155">
        <v>45687</v>
      </c>
      <c r="EX92" s="156">
        <v>45703</v>
      </c>
      <c r="EY92" s="160">
        <f t="shared" si="36"/>
        <v>16</v>
      </c>
    </row>
    <row r="93" spans="1:155" s="65" customFormat="1" ht="14.95" customHeight="1" x14ac:dyDescent="0.25">
      <c r="A93" s="194"/>
      <c r="B93" s="188" t="s">
        <v>62</v>
      </c>
      <c r="C93" s="22" t="s">
        <v>63</v>
      </c>
      <c r="D93" s="23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88"/>
      <c r="BT93" s="88"/>
      <c r="BU93" s="88"/>
      <c r="BV93" s="88"/>
      <c r="BW93" s="88"/>
      <c r="BX93" s="88"/>
      <c r="BY93" s="88"/>
      <c r="BZ93" s="88"/>
      <c r="CA93" s="88"/>
      <c r="CB93" s="88"/>
      <c r="CC93" s="88"/>
      <c r="CD93" s="90"/>
      <c r="CE93" s="19"/>
      <c r="CF93" s="16"/>
      <c r="CG93" s="17"/>
      <c r="CH93" s="17"/>
      <c r="CI93" s="16"/>
      <c r="CJ93" s="17"/>
      <c r="CK93" s="97"/>
      <c r="CL93" s="98"/>
      <c r="CM93" s="97"/>
      <c r="CN93" s="97"/>
      <c r="CO93" s="97"/>
      <c r="CP93" s="97"/>
      <c r="CQ93" s="97"/>
      <c r="CR93" s="98"/>
      <c r="CS93" s="98"/>
      <c r="CT93" s="98"/>
      <c r="CU93" s="98"/>
      <c r="CV93" s="98"/>
      <c r="CW93" s="97"/>
      <c r="CX93" s="99"/>
      <c r="CY93" s="97"/>
      <c r="CZ93" s="17"/>
      <c r="DA93" s="17"/>
      <c r="DB93" s="17"/>
      <c r="DC93" s="133"/>
      <c r="DD93" s="17"/>
      <c r="DE93" s="17"/>
      <c r="DF93" s="17"/>
      <c r="DG93" s="17"/>
      <c r="DH93" s="17"/>
      <c r="DI93" s="17"/>
      <c r="DJ93" s="17"/>
      <c r="DK93" s="17"/>
      <c r="DL93" s="17"/>
      <c r="DM93" s="17"/>
      <c r="DN93" s="17"/>
      <c r="DO93" s="17"/>
      <c r="DP93" s="88"/>
      <c r="DQ93" s="88"/>
      <c r="DR93" s="88"/>
      <c r="DS93" s="88"/>
      <c r="DT93" s="88"/>
      <c r="DU93" s="88"/>
      <c r="DV93" s="100"/>
      <c r="DW93" s="100"/>
      <c r="DX93" s="100"/>
      <c r="DY93" s="100"/>
      <c r="DZ93" s="100"/>
      <c r="EA93" s="100"/>
      <c r="EB93" s="100"/>
      <c r="EC93" s="100"/>
      <c r="ED93" s="107"/>
      <c r="EE93" s="102"/>
      <c r="EF93" s="100"/>
      <c r="EG93" s="100"/>
      <c r="EH93" s="100"/>
      <c r="EI93" s="100"/>
      <c r="EJ93" s="100"/>
      <c r="EK93" s="100"/>
      <c r="EL93" s="100"/>
      <c r="EM93" s="107"/>
      <c r="EN93" s="123"/>
      <c r="EO93" s="100"/>
      <c r="EP93" s="100"/>
      <c r="EQ93" s="100"/>
      <c r="ER93" s="100"/>
      <c r="ES93" s="100"/>
      <c r="ET93" s="100"/>
      <c r="EU93" s="100"/>
      <c r="EV93" s="143"/>
      <c r="EW93" s="155">
        <v>45580</v>
      </c>
      <c r="EX93" s="156">
        <v>45595</v>
      </c>
      <c r="EY93" s="160">
        <f t="shared" si="36"/>
        <v>15</v>
      </c>
    </row>
    <row r="94" spans="1:155" s="65" customFormat="1" ht="14.95" customHeight="1" x14ac:dyDescent="0.25">
      <c r="A94" s="194"/>
      <c r="B94" s="188"/>
      <c r="C94" s="22" t="s">
        <v>168</v>
      </c>
      <c r="D94" s="23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24"/>
      <c r="AT94" s="24"/>
      <c r="AU94" s="24"/>
      <c r="AV94" s="24"/>
      <c r="AW94" s="24"/>
      <c r="AX94" s="24"/>
      <c r="AY94" s="24"/>
      <c r="AZ94" s="24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88"/>
      <c r="BT94" s="88"/>
      <c r="BU94" s="88"/>
      <c r="BV94" s="88"/>
      <c r="BW94" s="88"/>
      <c r="BX94" s="88"/>
      <c r="BY94" s="88"/>
      <c r="BZ94" s="88"/>
      <c r="CA94" s="88"/>
      <c r="CB94" s="88"/>
      <c r="CC94" s="88"/>
      <c r="CD94" s="90"/>
      <c r="CE94" s="19"/>
      <c r="CF94" s="16"/>
      <c r="CG94" s="17"/>
      <c r="CH94" s="17"/>
      <c r="CI94" s="16"/>
      <c r="CJ94" s="17"/>
      <c r="CK94" s="97"/>
      <c r="CL94" s="98"/>
      <c r="CM94" s="97"/>
      <c r="CN94" s="97"/>
      <c r="CO94" s="97"/>
      <c r="CP94" s="97"/>
      <c r="CQ94" s="97"/>
      <c r="CR94" s="98"/>
      <c r="CS94" s="98"/>
      <c r="CT94" s="98"/>
      <c r="CU94" s="98"/>
      <c r="CV94" s="98"/>
      <c r="CW94" s="97"/>
      <c r="CX94" s="99"/>
      <c r="CY94" s="97"/>
      <c r="CZ94" s="17"/>
      <c r="DA94" s="17"/>
      <c r="DB94" s="17"/>
      <c r="DC94" s="133"/>
      <c r="DD94" s="17"/>
      <c r="DE94" s="17"/>
      <c r="DF94" s="17"/>
      <c r="DG94" s="17"/>
      <c r="DH94" s="17"/>
      <c r="DI94" s="17"/>
      <c r="DJ94" s="17"/>
      <c r="DK94" s="17"/>
      <c r="DL94" s="17"/>
      <c r="DM94" s="17"/>
      <c r="DN94" s="17"/>
      <c r="DO94" s="17"/>
      <c r="DP94" s="88"/>
      <c r="DQ94" s="88"/>
      <c r="DR94" s="88"/>
      <c r="DS94" s="88"/>
      <c r="DT94" s="88"/>
      <c r="DU94" s="88"/>
      <c r="DV94" s="100"/>
      <c r="DW94" s="100"/>
      <c r="DX94" s="100"/>
      <c r="DY94" s="100"/>
      <c r="DZ94" s="100"/>
      <c r="EA94" s="100"/>
      <c r="EB94" s="100"/>
      <c r="EC94" s="100"/>
      <c r="ED94" s="107"/>
      <c r="EE94" s="102"/>
      <c r="EF94" s="100"/>
      <c r="EG94" s="100"/>
      <c r="EH94" s="100"/>
      <c r="EI94" s="100"/>
      <c r="EJ94" s="100"/>
      <c r="EK94" s="100"/>
      <c r="EL94" s="100"/>
      <c r="EM94" s="107"/>
      <c r="EN94" s="123"/>
      <c r="EO94" s="100"/>
      <c r="EP94" s="100"/>
      <c r="EQ94" s="100"/>
      <c r="ER94" s="100"/>
      <c r="ES94" s="100"/>
      <c r="ET94" s="100"/>
      <c r="EU94" s="100"/>
      <c r="EV94" s="143"/>
      <c r="EW94" s="155">
        <v>45595</v>
      </c>
      <c r="EX94" s="156">
        <v>45626</v>
      </c>
      <c r="EY94" s="160">
        <f t="shared" si="36"/>
        <v>31</v>
      </c>
    </row>
    <row r="95" spans="1:155" s="65" customFormat="1" ht="14.95" customHeight="1" x14ac:dyDescent="0.25">
      <c r="A95" s="194"/>
      <c r="B95" s="188"/>
      <c r="C95" s="22" t="s">
        <v>169</v>
      </c>
      <c r="D95" s="23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  <c r="AU95" s="24"/>
      <c r="AV95" s="24"/>
      <c r="AW95" s="24"/>
      <c r="AX95" s="24"/>
      <c r="AY95" s="24"/>
      <c r="AZ95" s="24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88"/>
      <c r="BT95" s="88"/>
      <c r="BU95" s="88"/>
      <c r="BV95" s="88"/>
      <c r="BW95" s="88"/>
      <c r="BX95" s="88"/>
      <c r="BY95" s="88"/>
      <c r="BZ95" s="88"/>
      <c r="CA95" s="88"/>
      <c r="CB95" s="88"/>
      <c r="CC95" s="88"/>
      <c r="CD95" s="90"/>
      <c r="CE95" s="19"/>
      <c r="CF95" s="16"/>
      <c r="CG95" s="17"/>
      <c r="CH95" s="17"/>
      <c r="CI95" s="16"/>
      <c r="CJ95" s="17"/>
      <c r="CK95" s="97"/>
      <c r="CL95" s="98"/>
      <c r="CM95" s="97"/>
      <c r="CN95" s="97"/>
      <c r="CO95" s="97"/>
      <c r="CP95" s="97"/>
      <c r="CQ95" s="97"/>
      <c r="CR95" s="98"/>
      <c r="CS95" s="98"/>
      <c r="CT95" s="98"/>
      <c r="CU95" s="98"/>
      <c r="CV95" s="98"/>
      <c r="CW95" s="97"/>
      <c r="CX95" s="99"/>
      <c r="CY95" s="97"/>
      <c r="CZ95" s="17"/>
      <c r="DA95" s="17"/>
      <c r="DB95" s="17"/>
      <c r="DC95" s="133"/>
      <c r="DD95" s="17"/>
      <c r="DE95" s="17"/>
      <c r="DF95" s="17"/>
      <c r="DG95" s="17"/>
      <c r="DH95" s="17"/>
      <c r="DI95" s="17"/>
      <c r="DJ95" s="17"/>
      <c r="DK95" s="17"/>
      <c r="DL95" s="17"/>
      <c r="DM95" s="17"/>
      <c r="DN95" s="17"/>
      <c r="DO95" s="17"/>
      <c r="DP95" s="88"/>
      <c r="DQ95" s="88"/>
      <c r="DR95" s="88"/>
      <c r="DS95" s="88"/>
      <c r="DT95" s="88"/>
      <c r="DU95" s="88"/>
      <c r="DV95" s="100"/>
      <c r="DW95" s="100"/>
      <c r="DX95" s="100"/>
      <c r="DY95" s="100"/>
      <c r="DZ95" s="100"/>
      <c r="EA95" s="100"/>
      <c r="EB95" s="100"/>
      <c r="EC95" s="100"/>
      <c r="ED95" s="107"/>
      <c r="EE95" s="102"/>
      <c r="EF95" s="100"/>
      <c r="EG95" s="100"/>
      <c r="EH95" s="100"/>
      <c r="EI95" s="100"/>
      <c r="EJ95" s="100"/>
      <c r="EK95" s="100"/>
      <c r="EL95" s="100"/>
      <c r="EM95" s="107"/>
      <c r="EN95" s="123"/>
      <c r="EO95" s="100"/>
      <c r="EP95" s="100"/>
      <c r="EQ95" s="100"/>
      <c r="ER95" s="100"/>
      <c r="ES95" s="100"/>
      <c r="ET95" s="100"/>
      <c r="EU95" s="100"/>
      <c r="EV95" s="143"/>
      <c r="EW95" s="155">
        <v>45626</v>
      </c>
      <c r="EX95" s="156">
        <v>45641</v>
      </c>
      <c r="EY95" s="160">
        <f t="shared" si="36"/>
        <v>15</v>
      </c>
    </row>
    <row r="96" spans="1:155" s="65" customFormat="1" ht="14.95" customHeight="1" x14ac:dyDescent="0.25">
      <c r="A96" s="194"/>
      <c r="B96" s="188"/>
      <c r="C96" s="22" t="s">
        <v>170</v>
      </c>
      <c r="D96" s="23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4"/>
      <c r="AM96" s="24"/>
      <c r="AN96" s="24"/>
      <c r="AO96" s="24"/>
      <c r="AP96" s="24"/>
      <c r="AQ96" s="24"/>
      <c r="AR96" s="24"/>
      <c r="AS96" s="24"/>
      <c r="AT96" s="24"/>
      <c r="AU96" s="24"/>
      <c r="AV96" s="24"/>
      <c r="AW96" s="24"/>
      <c r="AX96" s="24"/>
      <c r="AY96" s="24"/>
      <c r="AZ96" s="24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90"/>
      <c r="CE96" s="19"/>
      <c r="CF96" s="16"/>
      <c r="CG96" s="17"/>
      <c r="CH96" s="17"/>
      <c r="CI96" s="16"/>
      <c r="CJ96" s="17"/>
      <c r="CK96" s="97"/>
      <c r="CL96" s="98"/>
      <c r="CM96" s="97"/>
      <c r="CN96" s="97"/>
      <c r="CO96" s="97"/>
      <c r="CP96" s="97"/>
      <c r="CQ96" s="97"/>
      <c r="CR96" s="98"/>
      <c r="CS96" s="98"/>
      <c r="CT96" s="98"/>
      <c r="CU96" s="98"/>
      <c r="CV96" s="98"/>
      <c r="CW96" s="97"/>
      <c r="CX96" s="99"/>
      <c r="CY96" s="97"/>
      <c r="CZ96" s="17"/>
      <c r="DA96" s="17"/>
      <c r="DB96" s="17"/>
      <c r="DC96" s="133"/>
      <c r="DD96" s="17"/>
      <c r="DE96" s="17"/>
      <c r="DF96" s="17"/>
      <c r="DG96" s="17"/>
      <c r="DH96" s="17"/>
      <c r="DI96" s="17"/>
      <c r="DJ96" s="17"/>
      <c r="DK96" s="17"/>
      <c r="DL96" s="17"/>
      <c r="DM96" s="17"/>
      <c r="DN96" s="17"/>
      <c r="DO96" s="17"/>
      <c r="DP96" s="88"/>
      <c r="DQ96" s="88"/>
      <c r="DR96" s="88"/>
      <c r="DS96" s="88"/>
      <c r="DT96" s="88"/>
      <c r="DU96" s="88"/>
      <c r="DV96" s="100"/>
      <c r="DW96" s="100"/>
      <c r="DX96" s="100"/>
      <c r="DY96" s="100"/>
      <c r="DZ96" s="100"/>
      <c r="EA96" s="100"/>
      <c r="EB96" s="100"/>
      <c r="EC96" s="100"/>
      <c r="ED96" s="107"/>
      <c r="EE96" s="102"/>
      <c r="EF96" s="100"/>
      <c r="EG96" s="100"/>
      <c r="EH96" s="100"/>
      <c r="EI96" s="100"/>
      <c r="EJ96" s="100"/>
      <c r="EK96" s="100"/>
      <c r="EL96" s="100"/>
      <c r="EM96" s="107"/>
      <c r="EN96" s="123"/>
      <c r="EO96" s="100"/>
      <c r="EP96" s="100"/>
      <c r="EQ96" s="100"/>
      <c r="ER96" s="100"/>
      <c r="ES96" s="100"/>
      <c r="ET96" s="100"/>
      <c r="EU96" s="100"/>
      <c r="EV96" s="143"/>
      <c r="EW96" s="155">
        <v>45641</v>
      </c>
      <c r="EX96" s="156">
        <v>45687</v>
      </c>
      <c r="EY96" s="160">
        <f t="shared" si="36"/>
        <v>46</v>
      </c>
    </row>
    <row r="97" spans="1:155" s="65" customFormat="1" x14ac:dyDescent="0.25">
      <c r="A97" s="193">
        <v>12</v>
      </c>
      <c r="B97" s="186" t="s">
        <v>64</v>
      </c>
      <c r="C97" s="94" t="s">
        <v>65</v>
      </c>
      <c r="D97" s="23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4"/>
      <c r="AQ97" s="24"/>
      <c r="AR97" s="24"/>
      <c r="AS97" s="24"/>
      <c r="AT97" s="24"/>
      <c r="AU97" s="24"/>
      <c r="AV97" s="24"/>
      <c r="AW97" s="24"/>
      <c r="AX97" s="24"/>
      <c r="AY97" s="24"/>
      <c r="AZ97" s="24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88"/>
      <c r="BT97" s="88"/>
      <c r="BU97" s="88"/>
      <c r="BV97" s="88"/>
      <c r="BW97" s="88"/>
      <c r="BX97" s="88"/>
      <c r="BY97" s="88"/>
      <c r="BZ97" s="88"/>
      <c r="CA97" s="88"/>
      <c r="CB97" s="88"/>
      <c r="CC97" s="88"/>
      <c r="CD97" s="90"/>
      <c r="CE97" s="19"/>
      <c r="CF97" s="16"/>
      <c r="CG97" s="17"/>
      <c r="CH97" s="17"/>
      <c r="CI97" s="16"/>
      <c r="CJ97" s="17"/>
      <c r="CK97" s="98"/>
      <c r="CL97" s="98"/>
      <c r="CM97" s="98"/>
      <c r="CN97" s="97"/>
      <c r="CO97" s="97"/>
      <c r="CP97" s="97"/>
      <c r="CQ97" s="97"/>
      <c r="CR97" s="98"/>
      <c r="CS97" s="97"/>
      <c r="CT97" s="97"/>
      <c r="CU97" s="98"/>
      <c r="CV97" s="97"/>
      <c r="CW97" s="97"/>
      <c r="CX97" s="99"/>
      <c r="CY97" s="97"/>
      <c r="CZ97" s="97"/>
      <c r="DA97" s="97"/>
      <c r="DB97" s="97"/>
      <c r="DC97" s="133"/>
      <c r="DD97" s="17"/>
      <c r="DE97" s="17"/>
      <c r="DF97" s="17"/>
      <c r="DG97" s="17"/>
      <c r="DH97" s="17"/>
      <c r="DI97" s="17"/>
      <c r="DJ97" s="17"/>
      <c r="DK97" s="17"/>
      <c r="DL97" s="17"/>
      <c r="DM97" s="17"/>
      <c r="DN97" s="17"/>
      <c r="DO97" s="17"/>
      <c r="DP97" s="88"/>
      <c r="DQ97" s="88"/>
      <c r="DR97" s="88"/>
      <c r="DS97" s="88"/>
      <c r="DT97" s="88"/>
      <c r="DU97" s="88"/>
      <c r="DV97" s="100"/>
      <c r="DW97" s="100"/>
      <c r="DX97" s="100"/>
      <c r="DY97" s="100"/>
      <c r="DZ97" s="100"/>
      <c r="EA97" s="100"/>
      <c r="EB97" s="100"/>
      <c r="EC97" s="100"/>
      <c r="ED97" s="107"/>
      <c r="EE97" s="102"/>
      <c r="EF97" s="100"/>
      <c r="EG97" s="100"/>
      <c r="EH97" s="100"/>
      <c r="EI97" s="100"/>
      <c r="EJ97" s="100"/>
      <c r="EK97" s="100"/>
      <c r="EL97" s="100"/>
      <c r="EM97" s="107"/>
      <c r="EN97" s="123"/>
      <c r="EO97" s="100"/>
      <c r="EP97" s="100"/>
      <c r="EQ97" s="100"/>
      <c r="ER97" s="100"/>
      <c r="ES97" s="100"/>
      <c r="ET97" s="100"/>
      <c r="EU97" s="100"/>
      <c r="EV97" s="143"/>
      <c r="EW97" s="89"/>
      <c r="EX97" s="88"/>
      <c r="EY97" s="160">
        <f t="shared" si="36"/>
        <v>0</v>
      </c>
    </row>
    <row r="98" spans="1:155" s="65" customFormat="1" ht="14.95" customHeight="1" x14ac:dyDescent="0.25">
      <c r="A98" s="194"/>
      <c r="B98" s="188"/>
      <c r="C98" s="22" t="s">
        <v>58</v>
      </c>
      <c r="D98" s="23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4"/>
      <c r="AQ98" s="24"/>
      <c r="AR98" s="24"/>
      <c r="AS98" s="24"/>
      <c r="AT98" s="24"/>
      <c r="AU98" s="24"/>
      <c r="AV98" s="24"/>
      <c r="AW98" s="24"/>
      <c r="AX98" s="24"/>
      <c r="AY98" s="24"/>
      <c r="AZ98" s="24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88"/>
      <c r="BT98" s="88"/>
      <c r="BU98" s="88"/>
      <c r="BV98" s="88"/>
      <c r="BW98" s="88"/>
      <c r="BX98" s="88"/>
      <c r="BY98" s="88"/>
      <c r="BZ98" s="88"/>
      <c r="CA98" s="88"/>
      <c r="CB98" s="88"/>
      <c r="CC98" s="88"/>
      <c r="CD98" s="90"/>
      <c r="CE98" s="19"/>
      <c r="CF98" s="16"/>
      <c r="CG98" s="17"/>
      <c r="CH98" s="17"/>
      <c r="CI98" s="16"/>
      <c r="CJ98" s="17"/>
      <c r="CK98" s="97"/>
      <c r="CL98" s="98"/>
      <c r="CM98" s="97"/>
      <c r="CN98" s="100"/>
      <c r="CO98" s="98"/>
      <c r="CP98" s="98"/>
      <c r="CQ98" s="98"/>
      <c r="CR98" s="98"/>
      <c r="CS98" s="98"/>
      <c r="CT98" s="98"/>
      <c r="CU98" s="98"/>
      <c r="CV98" s="98"/>
      <c r="CW98" s="97"/>
      <c r="CX98" s="99"/>
      <c r="CY98" s="97"/>
      <c r="CZ98" s="97"/>
      <c r="DA98" s="97"/>
      <c r="DB98" s="97"/>
      <c r="DC98" s="133"/>
      <c r="DD98" s="17"/>
      <c r="DE98" s="17"/>
      <c r="DF98" s="17"/>
      <c r="DG98" s="17"/>
      <c r="DH98" s="16"/>
      <c r="DI98" s="17"/>
      <c r="DJ98" s="17"/>
      <c r="DK98" s="17"/>
      <c r="DL98" s="17"/>
      <c r="DM98" s="17"/>
      <c r="DN98" s="17"/>
      <c r="DO98" s="17"/>
      <c r="DP98" s="88"/>
      <c r="DQ98" s="88"/>
      <c r="DR98" s="88"/>
      <c r="DS98" s="88"/>
      <c r="DT98" s="88"/>
      <c r="DU98" s="88"/>
      <c r="DV98" s="100"/>
      <c r="DW98" s="100"/>
      <c r="DX98" s="100"/>
      <c r="DY98" s="100"/>
      <c r="DZ98" s="100"/>
      <c r="EA98" s="100"/>
      <c r="EB98" s="100"/>
      <c r="EC98" s="100"/>
      <c r="ED98" s="107"/>
      <c r="EE98" s="102"/>
      <c r="EF98" s="100"/>
      <c r="EG98" s="100"/>
      <c r="EH98" s="100"/>
      <c r="EI98" s="100"/>
      <c r="EJ98" s="100"/>
      <c r="EK98" s="100"/>
      <c r="EL98" s="100"/>
      <c r="EM98" s="107"/>
      <c r="EN98" s="123"/>
      <c r="EO98" s="100"/>
      <c r="EP98" s="100"/>
      <c r="EQ98" s="100"/>
      <c r="ER98" s="100"/>
      <c r="ES98" s="100"/>
      <c r="ET98" s="100"/>
      <c r="EU98" s="100"/>
      <c r="EV98" s="143"/>
      <c r="EW98" s="89"/>
      <c r="EX98" s="88"/>
      <c r="EY98" s="160">
        <f t="shared" si="36"/>
        <v>0</v>
      </c>
    </row>
    <row r="99" spans="1:155" s="65" customFormat="1" ht="14.95" customHeight="1" x14ac:dyDescent="0.25">
      <c r="A99" s="195"/>
      <c r="B99" s="187"/>
      <c r="C99" s="22" t="s">
        <v>66</v>
      </c>
      <c r="D99" s="23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/>
      <c r="AK99" s="24"/>
      <c r="AL99" s="24"/>
      <c r="AM99" s="24"/>
      <c r="AN99" s="24"/>
      <c r="AO99" s="24"/>
      <c r="AP99" s="24"/>
      <c r="AQ99" s="24"/>
      <c r="AR99" s="24"/>
      <c r="AS99" s="24"/>
      <c r="AT99" s="24"/>
      <c r="AU99" s="24"/>
      <c r="AV99" s="24"/>
      <c r="AW99" s="24"/>
      <c r="AX99" s="24"/>
      <c r="AY99" s="24"/>
      <c r="AZ99" s="24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88"/>
      <c r="BT99" s="88"/>
      <c r="BU99" s="88"/>
      <c r="BV99" s="88"/>
      <c r="BW99" s="88"/>
      <c r="BX99" s="88"/>
      <c r="BY99" s="88"/>
      <c r="BZ99" s="88"/>
      <c r="CA99" s="88"/>
      <c r="CB99" s="88"/>
      <c r="CC99" s="88"/>
      <c r="CD99" s="90"/>
      <c r="CE99" s="19"/>
      <c r="CF99" s="16"/>
      <c r="CG99" s="17"/>
      <c r="CH99" s="17"/>
      <c r="CI99" s="16"/>
      <c r="CJ99" s="17"/>
      <c r="CK99" s="97"/>
      <c r="CL99" s="98"/>
      <c r="CM99" s="97"/>
      <c r="CN99" s="97"/>
      <c r="CO99" s="97"/>
      <c r="CP99" s="97"/>
      <c r="CQ99" s="97"/>
      <c r="CR99" s="98"/>
      <c r="CS99" s="97"/>
      <c r="CT99" s="97"/>
      <c r="CU99" s="98"/>
      <c r="CV99" s="97"/>
      <c r="CW99" s="98"/>
      <c r="CX99" s="98"/>
      <c r="CY99" s="98"/>
      <c r="CZ99" s="98"/>
      <c r="DA99" s="98"/>
      <c r="DB99" s="98"/>
      <c r="DC99" s="135"/>
      <c r="DD99" s="17"/>
      <c r="DE99" s="17"/>
      <c r="DF99" s="17"/>
      <c r="DG99" s="17"/>
      <c r="DH99" s="16"/>
      <c r="DI99" s="17"/>
      <c r="DJ99" s="17"/>
      <c r="DK99" s="17"/>
      <c r="DL99" s="17"/>
      <c r="DM99" s="17"/>
      <c r="DN99" s="17"/>
      <c r="DO99" s="17"/>
      <c r="DP99" s="88"/>
      <c r="DQ99" s="88"/>
      <c r="DR99" s="88"/>
      <c r="DS99" s="88"/>
      <c r="DT99" s="88"/>
      <c r="DU99" s="88"/>
      <c r="DV99" s="100"/>
      <c r="DW99" s="100"/>
      <c r="DX99" s="100"/>
      <c r="DY99" s="100"/>
      <c r="DZ99" s="100"/>
      <c r="EA99" s="100"/>
      <c r="EB99" s="100"/>
      <c r="EC99" s="100"/>
      <c r="ED99" s="107"/>
      <c r="EE99" s="102"/>
      <c r="EF99" s="100"/>
      <c r="EG99" s="100"/>
      <c r="EH99" s="100"/>
      <c r="EI99" s="100"/>
      <c r="EJ99" s="100"/>
      <c r="EK99" s="100"/>
      <c r="EL99" s="100"/>
      <c r="EM99" s="107"/>
      <c r="EN99" s="123"/>
      <c r="EO99" s="100"/>
      <c r="EP99" s="100"/>
      <c r="EQ99" s="100"/>
      <c r="ER99" s="100"/>
      <c r="ES99" s="100"/>
      <c r="ET99" s="100"/>
      <c r="EU99" s="100"/>
      <c r="EV99" s="143"/>
      <c r="EW99" s="89"/>
      <c r="EX99" s="88"/>
      <c r="EY99" s="160">
        <f t="shared" si="36"/>
        <v>0</v>
      </c>
    </row>
    <row r="100" spans="1:155" s="65" customFormat="1" ht="14.95" hidden="1" customHeight="1" x14ac:dyDescent="0.25">
      <c r="A100" s="193">
        <v>13</v>
      </c>
      <c r="B100" s="186" t="s">
        <v>67</v>
      </c>
      <c r="C100" s="36" t="s">
        <v>68</v>
      </c>
      <c r="D100" s="37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  <c r="AA100" s="38"/>
      <c r="AB100" s="38"/>
      <c r="AC100" s="38"/>
      <c r="AD100" s="38"/>
      <c r="AE100" s="38"/>
      <c r="AF100" s="38"/>
      <c r="AG100" s="38"/>
      <c r="AH100" s="38"/>
      <c r="AI100" s="39"/>
      <c r="AJ100" s="39"/>
      <c r="AK100" s="39"/>
      <c r="AL100" s="39"/>
      <c r="AM100" s="39"/>
      <c r="AN100" s="39"/>
      <c r="AO100" s="39"/>
      <c r="AP100" s="38"/>
      <c r="AQ100" s="38"/>
      <c r="AR100" s="38"/>
      <c r="AS100" s="38"/>
      <c r="AT100" s="38"/>
      <c r="AU100" s="38"/>
      <c r="AV100" s="38"/>
      <c r="AW100" s="38"/>
      <c r="AX100" s="38"/>
      <c r="AY100" s="38"/>
      <c r="AZ100" s="38"/>
      <c r="BA100" s="40"/>
      <c r="BB100" s="40"/>
      <c r="BC100" s="40"/>
      <c r="BD100" s="40"/>
      <c r="BE100" s="40"/>
      <c r="BF100" s="40"/>
      <c r="BG100" s="40"/>
      <c r="BH100" s="40"/>
      <c r="BI100" s="40"/>
      <c r="BJ100" s="40"/>
      <c r="BK100" s="40"/>
      <c r="BL100" s="40"/>
      <c r="BM100" s="40"/>
      <c r="BN100" s="40"/>
      <c r="BO100" s="40"/>
      <c r="BP100" s="40"/>
      <c r="BQ100" s="40"/>
      <c r="BR100" s="40"/>
      <c r="BS100" s="88"/>
      <c r="BT100" s="88"/>
      <c r="BU100" s="88"/>
      <c r="BV100" s="88"/>
      <c r="BW100" s="88"/>
      <c r="BX100" s="88"/>
      <c r="BY100" s="88"/>
      <c r="BZ100" s="88"/>
      <c r="CA100" s="88"/>
      <c r="CB100" s="88"/>
      <c r="CC100" s="88"/>
      <c r="CD100" s="90"/>
      <c r="CE100" s="32"/>
      <c r="CF100" s="41"/>
      <c r="CG100" s="42"/>
      <c r="CH100" s="42"/>
      <c r="CI100" s="41"/>
      <c r="CJ100" s="104"/>
      <c r="CK100" s="104"/>
      <c r="CL100" s="103"/>
      <c r="CM100" s="104"/>
      <c r="CN100" s="104"/>
      <c r="CO100" s="104"/>
      <c r="CP100" s="104"/>
      <c r="CQ100" s="104"/>
      <c r="CR100" s="103"/>
      <c r="CS100" s="104"/>
      <c r="CT100" s="20"/>
      <c r="CU100" s="30"/>
      <c r="CV100" s="20"/>
      <c r="CW100" s="20"/>
      <c r="CX100" s="33"/>
      <c r="CY100" s="20"/>
      <c r="CZ100" s="20"/>
      <c r="DA100" s="20"/>
      <c r="DB100" s="20"/>
      <c r="DC100" s="133"/>
      <c r="DD100" s="20"/>
      <c r="DE100" s="20"/>
      <c r="DF100" s="20"/>
      <c r="DG100" s="20"/>
      <c r="DH100" s="30"/>
      <c r="DI100" s="20"/>
      <c r="DJ100" s="20"/>
      <c r="DK100" s="104"/>
      <c r="DL100" s="104"/>
      <c r="DM100" s="104"/>
      <c r="DN100" s="104"/>
      <c r="DO100" s="104"/>
      <c r="DP100" s="122"/>
      <c r="DQ100" s="122"/>
      <c r="DR100" s="122"/>
      <c r="DS100" s="122"/>
      <c r="DT100" s="122"/>
      <c r="DU100" s="54"/>
      <c r="DV100" s="54"/>
      <c r="DW100" s="54"/>
      <c r="DX100" s="54"/>
      <c r="DY100" s="54"/>
      <c r="DZ100" s="54"/>
      <c r="EA100" s="54"/>
      <c r="EB100" s="54"/>
      <c r="EC100" s="54"/>
      <c r="ED100" s="28"/>
      <c r="EE100" s="34"/>
      <c r="EF100" s="25"/>
      <c r="EG100" s="25"/>
      <c r="EH100" s="25"/>
      <c r="EI100" s="25"/>
      <c r="EJ100" s="25"/>
      <c r="EK100" s="25"/>
      <c r="EL100" s="25"/>
      <c r="EM100" s="28"/>
      <c r="EN100" s="71"/>
      <c r="EO100" s="25"/>
      <c r="EP100" s="25"/>
      <c r="EQ100" s="25"/>
      <c r="ER100" s="25"/>
      <c r="ES100" s="25"/>
      <c r="ET100" s="25"/>
      <c r="EU100" s="25"/>
      <c r="EV100" s="150"/>
      <c r="EW100" s="89"/>
      <c r="EX100" s="88"/>
      <c r="EY100" s="160"/>
    </row>
    <row r="101" spans="1:155" s="65" customFormat="1" ht="30.6" hidden="1" customHeight="1" x14ac:dyDescent="0.25">
      <c r="A101" s="194"/>
      <c r="B101" s="188"/>
      <c r="C101" s="43" t="s">
        <v>69</v>
      </c>
      <c r="D101" s="44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6"/>
      <c r="AJ101" s="46"/>
      <c r="AK101" s="46"/>
      <c r="AL101" s="46"/>
      <c r="AM101" s="45"/>
      <c r="AN101" s="45"/>
      <c r="AO101" s="45"/>
      <c r="AP101" s="45"/>
      <c r="AQ101" s="45"/>
      <c r="AR101" s="45"/>
      <c r="AS101" s="45"/>
      <c r="AT101" s="45"/>
      <c r="AU101" s="45"/>
      <c r="AV101" s="45"/>
      <c r="AW101" s="45"/>
      <c r="AX101" s="45"/>
      <c r="AY101" s="45"/>
      <c r="AZ101" s="45"/>
      <c r="BA101" s="47"/>
      <c r="BB101" s="47"/>
      <c r="BC101" s="47"/>
      <c r="BD101" s="47"/>
      <c r="BE101" s="47"/>
      <c r="BF101" s="47"/>
      <c r="BG101" s="47"/>
      <c r="BH101" s="47"/>
      <c r="BI101" s="47"/>
      <c r="BJ101" s="47"/>
      <c r="BK101" s="47"/>
      <c r="BL101" s="47"/>
      <c r="BM101" s="47"/>
      <c r="BN101" s="47"/>
      <c r="BO101" s="47"/>
      <c r="BP101" s="47"/>
      <c r="BQ101" s="47"/>
      <c r="BR101" s="47"/>
      <c r="BS101" s="88"/>
      <c r="BT101" s="88"/>
      <c r="BU101" s="88"/>
      <c r="BV101" s="88"/>
      <c r="BW101" s="88"/>
      <c r="BX101" s="88"/>
      <c r="BY101" s="88"/>
      <c r="BZ101" s="88"/>
      <c r="CA101" s="88"/>
      <c r="CB101" s="88"/>
      <c r="CC101" s="88"/>
      <c r="CD101" s="90"/>
      <c r="CE101" s="48"/>
      <c r="CF101" s="49"/>
      <c r="CG101" s="49"/>
      <c r="CH101" s="49"/>
      <c r="CI101" s="49"/>
      <c r="CJ101" s="104"/>
      <c r="CK101" s="104"/>
      <c r="CL101" s="103"/>
      <c r="CM101" s="104"/>
      <c r="CN101" s="104"/>
      <c r="CO101" s="104"/>
      <c r="CP101" s="104"/>
      <c r="CQ101" s="104"/>
      <c r="CR101" s="103"/>
      <c r="CS101" s="104"/>
      <c r="CT101" s="50"/>
      <c r="CU101" s="50"/>
      <c r="CV101" s="54"/>
      <c r="CW101" s="54"/>
      <c r="CX101" s="54"/>
      <c r="CY101" s="54"/>
      <c r="CZ101" s="54"/>
      <c r="DA101" s="20"/>
      <c r="DB101" s="20"/>
      <c r="DC101" s="133"/>
      <c r="DD101" s="20"/>
      <c r="DE101" s="20"/>
      <c r="DF101" s="50"/>
      <c r="DG101" s="50"/>
      <c r="DH101" s="54"/>
      <c r="DI101" s="54"/>
      <c r="DJ101" s="54"/>
      <c r="DK101" s="104"/>
      <c r="DL101" s="104"/>
      <c r="DM101" s="104"/>
      <c r="DN101" s="104"/>
      <c r="DO101" s="104"/>
      <c r="DP101" s="122"/>
      <c r="DQ101" s="122"/>
      <c r="DR101" s="122"/>
      <c r="DS101" s="122"/>
      <c r="DT101" s="122"/>
      <c r="DU101" s="54"/>
      <c r="DV101" s="54"/>
      <c r="DW101" s="54"/>
      <c r="DX101" s="54"/>
      <c r="DY101" s="54"/>
      <c r="DZ101" s="54"/>
      <c r="EA101" s="54"/>
      <c r="EB101" s="54"/>
      <c r="EC101" s="54"/>
      <c r="ED101" s="55"/>
      <c r="EE101" s="109"/>
      <c r="EF101" s="54"/>
      <c r="EG101" s="25"/>
      <c r="EH101" s="25"/>
      <c r="EI101" s="25"/>
      <c r="EJ101" s="25"/>
      <c r="EK101" s="25"/>
      <c r="EL101" s="25"/>
      <c r="EM101" s="28"/>
      <c r="EN101" s="71"/>
      <c r="EO101" s="25"/>
      <c r="EP101" s="25"/>
      <c r="EQ101" s="25"/>
      <c r="ER101" s="25"/>
      <c r="ES101" s="25"/>
      <c r="ET101" s="25"/>
      <c r="EU101" s="25"/>
      <c r="EV101" s="150"/>
      <c r="EW101" s="89"/>
      <c r="EX101" s="88"/>
      <c r="EY101" s="160"/>
    </row>
    <row r="102" spans="1:155" s="65" customFormat="1" ht="14.95" hidden="1" customHeight="1" x14ac:dyDescent="0.25">
      <c r="A102" s="194"/>
      <c r="B102" s="188"/>
      <c r="C102" s="36" t="s">
        <v>70</v>
      </c>
      <c r="D102" s="37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  <c r="AA102" s="38"/>
      <c r="AB102" s="38"/>
      <c r="AC102" s="38"/>
      <c r="AD102" s="38"/>
      <c r="AE102" s="38"/>
      <c r="AF102" s="38"/>
      <c r="AG102" s="38"/>
      <c r="AH102" s="39"/>
      <c r="AI102" s="39"/>
      <c r="AJ102" s="39"/>
      <c r="AK102" s="39"/>
      <c r="AL102" s="39"/>
      <c r="AM102" s="39"/>
      <c r="AN102" s="39"/>
      <c r="AO102" s="38"/>
      <c r="AP102" s="38"/>
      <c r="AQ102" s="38"/>
      <c r="AR102" s="38"/>
      <c r="AS102" s="38"/>
      <c r="AT102" s="38"/>
      <c r="AU102" s="38"/>
      <c r="AV102" s="38"/>
      <c r="AW102" s="38"/>
      <c r="AX102" s="38"/>
      <c r="AY102" s="38"/>
      <c r="AZ102" s="38"/>
      <c r="BA102" s="40"/>
      <c r="BB102" s="40"/>
      <c r="BC102" s="40"/>
      <c r="BD102" s="40"/>
      <c r="BE102" s="40"/>
      <c r="BF102" s="40"/>
      <c r="BG102" s="40"/>
      <c r="BH102" s="40"/>
      <c r="BI102" s="40"/>
      <c r="BJ102" s="40"/>
      <c r="BK102" s="40"/>
      <c r="BL102" s="40"/>
      <c r="BM102" s="40"/>
      <c r="BN102" s="40"/>
      <c r="BO102" s="40"/>
      <c r="BP102" s="40"/>
      <c r="BQ102" s="40"/>
      <c r="BR102" s="40"/>
      <c r="BS102" s="88"/>
      <c r="BT102" s="88"/>
      <c r="BU102" s="88"/>
      <c r="BV102" s="88"/>
      <c r="BW102" s="88"/>
      <c r="BX102" s="88"/>
      <c r="BY102" s="88"/>
      <c r="BZ102" s="88"/>
      <c r="CA102" s="88"/>
      <c r="CB102" s="88"/>
      <c r="CC102" s="88"/>
      <c r="CD102" s="90"/>
      <c r="CE102" s="48"/>
      <c r="CF102" s="49"/>
      <c r="CG102" s="49"/>
      <c r="CH102" s="50"/>
      <c r="CI102" s="50"/>
      <c r="CJ102" s="104"/>
      <c r="CK102" s="104"/>
      <c r="CL102" s="103"/>
      <c r="CM102" s="104"/>
      <c r="CN102" s="104"/>
      <c r="CO102" s="104"/>
      <c r="CP102" s="104"/>
      <c r="CQ102" s="104"/>
      <c r="CR102" s="103"/>
      <c r="CS102" s="104"/>
      <c r="CT102" s="50"/>
      <c r="CU102" s="50"/>
      <c r="CV102" s="50"/>
      <c r="CW102" s="50"/>
      <c r="CX102" s="50"/>
      <c r="CY102" s="50"/>
      <c r="CZ102" s="50"/>
      <c r="DA102" s="20"/>
      <c r="DB102" s="20"/>
      <c r="DC102" s="133"/>
      <c r="DD102" s="20"/>
      <c r="DE102" s="20"/>
      <c r="DF102" s="50"/>
      <c r="DG102" s="50"/>
      <c r="DH102" s="50"/>
      <c r="DI102" s="50"/>
      <c r="DJ102" s="50"/>
      <c r="DK102" s="104"/>
      <c r="DL102" s="104"/>
      <c r="DM102" s="104"/>
      <c r="DN102" s="104"/>
      <c r="DO102" s="104"/>
      <c r="DP102" s="122"/>
      <c r="DQ102" s="122"/>
      <c r="DR102" s="122"/>
      <c r="DS102" s="122"/>
      <c r="DT102" s="122"/>
      <c r="DU102" s="54"/>
      <c r="DV102" s="54"/>
      <c r="DW102" s="54"/>
      <c r="DX102" s="54"/>
      <c r="DY102" s="54"/>
      <c r="DZ102" s="54"/>
      <c r="EA102" s="54"/>
      <c r="EB102" s="54"/>
      <c r="EC102" s="54"/>
      <c r="ED102" s="55"/>
      <c r="EE102" s="109"/>
      <c r="EF102" s="54"/>
      <c r="EG102" s="54"/>
      <c r="EH102" s="54"/>
      <c r="EI102" s="54"/>
      <c r="EJ102" s="54"/>
      <c r="EK102" s="54"/>
      <c r="EL102" s="54"/>
      <c r="EM102" s="28"/>
      <c r="EN102" s="71"/>
      <c r="EO102" s="25"/>
      <c r="EP102" s="25"/>
      <c r="EQ102" s="25"/>
      <c r="ER102" s="25"/>
      <c r="ES102" s="25"/>
      <c r="ET102" s="25"/>
      <c r="EU102" s="25"/>
      <c r="EV102" s="150"/>
      <c r="EW102" s="89"/>
      <c r="EX102" s="88"/>
      <c r="EY102" s="160"/>
    </row>
    <row r="103" spans="1:155" s="65" customFormat="1" ht="40.25" hidden="1" customHeight="1" x14ac:dyDescent="0.25">
      <c r="A103" s="194"/>
      <c r="B103" s="188"/>
      <c r="C103" s="43" t="s">
        <v>71</v>
      </c>
      <c r="D103" s="44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6"/>
      <c r="AI103" s="46"/>
      <c r="AJ103" s="46"/>
      <c r="AK103" s="46"/>
      <c r="AL103" s="46"/>
      <c r="AM103" s="46"/>
      <c r="AN103" s="46"/>
      <c r="AO103" s="45"/>
      <c r="AP103" s="45"/>
      <c r="AQ103" s="45"/>
      <c r="AR103" s="45"/>
      <c r="AS103" s="45"/>
      <c r="AT103" s="45"/>
      <c r="AU103" s="45"/>
      <c r="AV103" s="45"/>
      <c r="AW103" s="45"/>
      <c r="AX103" s="45"/>
      <c r="AY103" s="45"/>
      <c r="AZ103" s="45"/>
      <c r="BA103" s="47"/>
      <c r="BB103" s="47"/>
      <c r="BC103" s="47"/>
      <c r="BD103" s="47"/>
      <c r="BE103" s="47"/>
      <c r="BF103" s="47"/>
      <c r="BG103" s="47"/>
      <c r="BH103" s="47"/>
      <c r="BI103" s="47"/>
      <c r="BJ103" s="47"/>
      <c r="BK103" s="47"/>
      <c r="BL103" s="47"/>
      <c r="BM103" s="47"/>
      <c r="BN103" s="47"/>
      <c r="BO103" s="47"/>
      <c r="BP103" s="47"/>
      <c r="BQ103" s="47"/>
      <c r="BR103" s="47"/>
      <c r="BS103" s="88"/>
      <c r="BT103" s="88"/>
      <c r="BU103" s="88"/>
      <c r="BV103" s="88"/>
      <c r="BW103" s="88"/>
      <c r="BX103" s="88"/>
      <c r="BY103" s="88"/>
      <c r="BZ103" s="88"/>
      <c r="CA103" s="88"/>
      <c r="CB103" s="88"/>
      <c r="CC103" s="88"/>
      <c r="CD103" s="90"/>
      <c r="CE103" s="53"/>
      <c r="CF103" s="50"/>
      <c r="CG103" s="50"/>
      <c r="CH103" s="50"/>
      <c r="CI103" s="50"/>
      <c r="CJ103" s="104"/>
      <c r="CK103" s="104"/>
      <c r="CL103" s="103"/>
      <c r="CM103" s="104"/>
      <c r="CN103" s="104"/>
      <c r="CO103" s="104"/>
      <c r="CP103" s="104"/>
      <c r="CQ103" s="104"/>
      <c r="CR103" s="103"/>
      <c r="CS103" s="104"/>
      <c r="CT103" s="50"/>
      <c r="CU103" s="50"/>
      <c r="CV103" s="50"/>
      <c r="CW103" s="50"/>
      <c r="CX103" s="50"/>
      <c r="CY103" s="50"/>
      <c r="CZ103" s="50"/>
      <c r="DA103" s="20"/>
      <c r="DB103" s="20"/>
      <c r="DC103" s="133"/>
      <c r="DD103" s="20"/>
      <c r="DE103" s="20"/>
      <c r="DF103" s="50"/>
      <c r="DG103" s="50"/>
      <c r="DH103" s="110"/>
      <c r="DI103" s="50"/>
      <c r="DJ103" s="50"/>
      <c r="DK103" s="104"/>
      <c r="DL103" s="104"/>
      <c r="DM103" s="104"/>
      <c r="DN103" s="104"/>
      <c r="DO103" s="104"/>
      <c r="DP103" s="122"/>
      <c r="DQ103" s="122"/>
      <c r="DR103" s="122"/>
      <c r="DS103" s="122"/>
      <c r="DT103" s="122"/>
      <c r="DU103" s="54"/>
      <c r="DV103" s="54"/>
      <c r="DW103" s="54"/>
      <c r="DX103" s="54"/>
      <c r="DY103" s="54"/>
      <c r="DZ103" s="54"/>
      <c r="EA103" s="54"/>
      <c r="EB103" s="54"/>
      <c r="EC103" s="54"/>
      <c r="ED103" s="55"/>
      <c r="EE103" s="109"/>
      <c r="EF103" s="54"/>
      <c r="EG103" s="54"/>
      <c r="EH103" s="54"/>
      <c r="EI103" s="54"/>
      <c r="EJ103" s="54"/>
      <c r="EK103" s="54"/>
      <c r="EL103" s="54"/>
      <c r="EM103" s="28"/>
      <c r="EN103" s="71"/>
      <c r="EO103" s="25"/>
      <c r="EP103" s="25"/>
      <c r="EQ103" s="25"/>
      <c r="ER103" s="25"/>
      <c r="ES103" s="25"/>
      <c r="ET103" s="25"/>
      <c r="EU103" s="25"/>
      <c r="EV103" s="150"/>
      <c r="EW103" s="89"/>
      <c r="EX103" s="88"/>
      <c r="EY103" s="160"/>
    </row>
    <row r="104" spans="1:155" s="65" customFormat="1" ht="14.95" hidden="1" customHeight="1" x14ac:dyDescent="0.25">
      <c r="A104" s="194"/>
      <c r="B104" s="188"/>
      <c r="C104" s="43" t="s">
        <v>72</v>
      </c>
      <c r="D104" s="44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6"/>
      <c r="AK104" s="46"/>
      <c r="AL104" s="46"/>
      <c r="AM104" s="45"/>
      <c r="AN104" s="45"/>
      <c r="AO104" s="45"/>
      <c r="AP104" s="45"/>
      <c r="AQ104" s="45"/>
      <c r="AR104" s="45"/>
      <c r="AS104" s="45"/>
      <c r="AT104" s="45"/>
      <c r="AU104" s="45"/>
      <c r="AV104" s="45"/>
      <c r="AW104" s="45"/>
      <c r="AX104" s="45"/>
      <c r="AY104" s="45"/>
      <c r="AZ104" s="45"/>
      <c r="BA104" s="47"/>
      <c r="BB104" s="47"/>
      <c r="BC104" s="47"/>
      <c r="BD104" s="47"/>
      <c r="BE104" s="47"/>
      <c r="BF104" s="47"/>
      <c r="BG104" s="47"/>
      <c r="BH104" s="47"/>
      <c r="BI104" s="47"/>
      <c r="BJ104" s="47"/>
      <c r="BK104" s="47"/>
      <c r="BL104" s="47"/>
      <c r="BM104" s="47"/>
      <c r="BN104" s="47"/>
      <c r="BO104" s="47"/>
      <c r="BP104" s="47"/>
      <c r="BQ104" s="47"/>
      <c r="BR104" s="47"/>
      <c r="BS104" s="88"/>
      <c r="BT104" s="88"/>
      <c r="BU104" s="88"/>
      <c r="BV104" s="88"/>
      <c r="BW104" s="88"/>
      <c r="BX104" s="88"/>
      <c r="BY104" s="88"/>
      <c r="BZ104" s="88"/>
      <c r="CA104" s="88"/>
      <c r="CB104" s="88"/>
      <c r="CC104" s="88"/>
      <c r="CD104" s="90"/>
      <c r="CE104" s="52"/>
      <c r="CF104" s="51"/>
      <c r="CG104" s="50"/>
      <c r="CH104" s="50"/>
      <c r="CI104" s="50"/>
      <c r="CJ104" s="104"/>
      <c r="CK104" s="104"/>
      <c r="CL104" s="103"/>
      <c r="CM104" s="104"/>
      <c r="CN104" s="104"/>
      <c r="CO104" s="104"/>
      <c r="CP104" s="104"/>
      <c r="CQ104" s="104"/>
      <c r="CR104" s="103"/>
      <c r="CS104" s="104"/>
      <c r="CT104" s="50"/>
      <c r="CU104" s="50"/>
      <c r="CV104" s="50"/>
      <c r="CW104" s="50"/>
      <c r="CX104" s="50"/>
      <c r="CY104" s="50"/>
      <c r="CZ104" s="50"/>
      <c r="DA104" s="20"/>
      <c r="DB104" s="20"/>
      <c r="DC104" s="133"/>
      <c r="DD104" s="20"/>
      <c r="DE104" s="20"/>
      <c r="DF104" s="50"/>
      <c r="DG104" s="50"/>
      <c r="DH104" s="50"/>
      <c r="DI104" s="50"/>
      <c r="DJ104" s="50"/>
      <c r="DK104" s="104"/>
      <c r="DL104" s="104"/>
      <c r="DM104" s="104"/>
      <c r="DN104" s="104"/>
      <c r="DO104" s="104"/>
      <c r="DP104" s="122"/>
      <c r="DQ104" s="122"/>
      <c r="DR104" s="122"/>
      <c r="DS104" s="122"/>
      <c r="DT104" s="122"/>
      <c r="DU104" s="54"/>
      <c r="DV104" s="54"/>
      <c r="DW104" s="54"/>
      <c r="DX104" s="54"/>
      <c r="DY104" s="54"/>
      <c r="DZ104" s="54"/>
      <c r="EA104" s="54"/>
      <c r="EB104" s="54"/>
      <c r="EC104" s="54"/>
      <c r="ED104" s="55"/>
      <c r="EE104" s="109"/>
      <c r="EF104" s="54"/>
      <c r="EG104" s="54"/>
      <c r="EH104" s="54"/>
      <c r="EI104" s="54"/>
      <c r="EJ104" s="54"/>
      <c r="EK104" s="54"/>
      <c r="EL104" s="54"/>
      <c r="EM104" s="28"/>
      <c r="EN104" s="71"/>
      <c r="EO104" s="25"/>
      <c r="EP104" s="25"/>
      <c r="EQ104" s="25"/>
      <c r="ER104" s="25"/>
      <c r="ES104" s="25"/>
      <c r="ET104" s="25"/>
      <c r="EU104" s="25"/>
      <c r="EV104" s="150"/>
      <c r="EW104" s="89"/>
      <c r="EX104" s="88"/>
      <c r="EY104" s="160"/>
    </row>
    <row r="105" spans="1:155" s="65" customFormat="1" ht="14.95" hidden="1" customHeight="1" x14ac:dyDescent="0.25">
      <c r="A105" s="194"/>
      <c r="B105" s="188"/>
      <c r="C105" s="43" t="s">
        <v>73</v>
      </c>
      <c r="D105" s="44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  <c r="AL105" s="45"/>
      <c r="AM105" s="45"/>
      <c r="AN105" s="45"/>
      <c r="AO105" s="45"/>
      <c r="AP105" s="45"/>
      <c r="AQ105" s="45"/>
      <c r="AR105" s="45"/>
      <c r="AS105" s="45"/>
      <c r="AT105" s="45"/>
      <c r="AU105" s="45"/>
      <c r="AV105" s="45"/>
      <c r="AW105" s="45"/>
      <c r="AX105" s="45"/>
      <c r="AY105" s="45"/>
      <c r="AZ105" s="45"/>
      <c r="BA105" s="47"/>
      <c r="BB105" s="47"/>
      <c r="BC105" s="47"/>
      <c r="BD105" s="47"/>
      <c r="BE105" s="47"/>
      <c r="BF105" s="47"/>
      <c r="BG105" s="47"/>
      <c r="BH105" s="47"/>
      <c r="BI105" s="47"/>
      <c r="BJ105" s="47"/>
      <c r="BK105" s="47"/>
      <c r="BL105" s="47"/>
      <c r="BM105" s="47"/>
      <c r="BN105" s="47"/>
      <c r="BO105" s="47"/>
      <c r="BP105" s="47"/>
      <c r="BQ105" s="47"/>
      <c r="BR105" s="47"/>
      <c r="BS105" s="88"/>
      <c r="BT105" s="88"/>
      <c r="BU105" s="88"/>
      <c r="BV105" s="88"/>
      <c r="BW105" s="88"/>
      <c r="BX105" s="88"/>
      <c r="BY105" s="88"/>
      <c r="BZ105" s="88"/>
      <c r="CA105" s="88"/>
      <c r="CB105" s="88"/>
      <c r="CC105" s="88"/>
      <c r="CD105" s="90"/>
      <c r="CE105" s="111"/>
      <c r="CF105" s="112"/>
      <c r="CG105" s="112"/>
      <c r="CH105" s="112"/>
      <c r="CI105" s="112"/>
      <c r="CJ105" s="113"/>
      <c r="CK105" s="113"/>
      <c r="CL105" s="113"/>
      <c r="CM105" s="113"/>
      <c r="CN105" s="113"/>
      <c r="CO105" s="113"/>
      <c r="CP105" s="113"/>
      <c r="CQ105" s="113"/>
      <c r="CR105" s="113"/>
      <c r="CS105" s="113"/>
      <c r="CT105" s="113"/>
      <c r="CU105" s="113"/>
      <c r="CV105" s="115"/>
      <c r="CW105" s="115"/>
      <c r="CX105" s="115"/>
      <c r="CY105" s="115"/>
      <c r="CZ105" s="115"/>
      <c r="DA105" s="97"/>
      <c r="DB105" s="97"/>
      <c r="DC105" s="133"/>
      <c r="DD105" s="97"/>
      <c r="DE105" s="97"/>
      <c r="DF105" s="113"/>
      <c r="DG105" s="113"/>
      <c r="DH105" s="115"/>
      <c r="DI105" s="115"/>
      <c r="DJ105" s="115"/>
      <c r="DK105" s="115"/>
      <c r="DL105" s="115"/>
      <c r="DM105" s="115"/>
      <c r="DN105" s="115"/>
      <c r="DO105" s="115"/>
      <c r="DP105" s="115"/>
      <c r="DQ105" s="115"/>
      <c r="DR105" s="115"/>
      <c r="DS105" s="115"/>
      <c r="DT105" s="115"/>
      <c r="DU105" s="54"/>
      <c r="DV105" s="54"/>
      <c r="DW105" s="54"/>
      <c r="DX105" s="54"/>
      <c r="DY105" s="54"/>
      <c r="DZ105" s="54"/>
      <c r="EA105" s="54"/>
      <c r="EB105" s="54"/>
      <c r="EC105" s="54"/>
      <c r="ED105" s="55"/>
      <c r="EE105" s="109"/>
      <c r="EF105" s="54"/>
      <c r="EG105" s="54"/>
      <c r="EH105" s="54"/>
      <c r="EI105" s="54"/>
      <c r="EJ105" s="54"/>
      <c r="EK105" s="54"/>
      <c r="EL105" s="54"/>
      <c r="EM105" s="55"/>
      <c r="EN105" s="117"/>
      <c r="EO105" s="25"/>
      <c r="EP105" s="25"/>
      <c r="EQ105" s="25"/>
      <c r="ER105" s="25"/>
      <c r="ES105" s="25"/>
      <c r="ET105" s="25"/>
      <c r="EU105" s="25"/>
      <c r="EV105" s="150"/>
      <c r="EW105" s="89"/>
      <c r="EX105" s="88"/>
      <c r="EY105" s="160"/>
    </row>
    <row r="106" spans="1:155" s="65" customFormat="1" ht="14.95" hidden="1" customHeight="1" x14ac:dyDescent="0.25">
      <c r="A106" s="194"/>
      <c r="B106" s="188"/>
      <c r="C106" s="22" t="s">
        <v>74</v>
      </c>
      <c r="D106" s="23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/>
      <c r="AK106" s="24"/>
      <c r="AL106" s="24"/>
      <c r="AM106" s="24"/>
      <c r="AN106" s="24"/>
      <c r="AO106" s="24"/>
      <c r="AP106" s="24"/>
      <c r="AQ106" s="24"/>
      <c r="AR106" s="24"/>
      <c r="AS106" s="24"/>
      <c r="AT106" s="24"/>
      <c r="AU106" s="24"/>
      <c r="AV106" s="24"/>
      <c r="AW106" s="24"/>
      <c r="AX106" s="24"/>
      <c r="AY106" s="24"/>
      <c r="AZ106" s="24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88"/>
      <c r="BT106" s="88"/>
      <c r="BU106" s="88"/>
      <c r="BV106" s="88"/>
      <c r="BW106" s="88"/>
      <c r="BX106" s="88"/>
      <c r="BY106" s="88"/>
      <c r="BZ106" s="88"/>
      <c r="CA106" s="88"/>
      <c r="CB106" s="88"/>
      <c r="CC106" s="88"/>
      <c r="CD106" s="90"/>
      <c r="CE106" s="101"/>
      <c r="CF106" s="98"/>
      <c r="CG106" s="97"/>
      <c r="CH106" s="97"/>
      <c r="CI106" s="98"/>
      <c r="CJ106" s="97"/>
      <c r="CK106" s="98"/>
      <c r="CL106" s="98"/>
      <c r="CM106" s="98"/>
      <c r="CN106" s="98"/>
      <c r="CO106" s="98"/>
      <c r="CP106" s="98"/>
      <c r="CQ106" s="97"/>
      <c r="CR106" s="98"/>
      <c r="CS106" s="97"/>
      <c r="CT106" s="97"/>
      <c r="CU106" s="98"/>
      <c r="CV106" s="97"/>
      <c r="CW106" s="97"/>
      <c r="CX106" s="99"/>
      <c r="CY106" s="97"/>
      <c r="CZ106" s="97"/>
      <c r="DA106" s="97"/>
      <c r="DB106" s="97"/>
      <c r="DC106" s="133"/>
      <c r="DD106" s="97"/>
      <c r="DE106" s="97"/>
      <c r="DF106" s="97"/>
      <c r="DG106" s="97"/>
      <c r="DH106" s="98"/>
      <c r="DI106" s="97"/>
      <c r="DJ106" s="97"/>
      <c r="DK106" s="97"/>
      <c r="DL106" s="97"/>
      <c r="DM106" s="97"/>
      <c r="DN106" s="97"/>
      <c r="DO106" s="97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8"/>
      <c r="EE106" s="34"/>
      <c r="EF106" s="54"/>
      <c r="EG106" s="54"/>
      <c r="EH106" s="54"/>
      <c r="EI106" s="54"/>
      <c r="EJ106" s="54"/>
      <c r="EK106" s="54"/>
      <c r="EL106" s="54"/>
      <c r="EM106" s="55"/>
      <c r="EN106" s="56"/>
      <c r="EO106" s="54"/>
      <c r="EP106" s="25"/>
      <c r="EQ106" s="25"/>
      <c r="ER106" s="25"/>
      <c r="ES106" s="25"/>
      <c r="ET106" s="25"/>
      <c r="EU106" s="25"/>
      <c r="EV106" s="150"/>
      <c r="EW106" s="89"/>
      <c r="EX106" s="88"/>
      <c r="EY106" s="160"/>
    </row>
    <row r="107" spans="1:155" s="65" customFormat="1" ht="14.95" hidden="1" customHeight="1" x14ac:dyDescent="0.25">
      <c r="A107" s="194"/>
      <c r="B107" s="188"/>
      <c r="C107" s="43" t="s">
        <v>75</v>
      </c>
      <c r="D107" s="44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  <c r="AG107" s="45"/>
      <c r="AH107" s="45"/>
      <c r="AI107" s="45"/>
      <c r="AJ107" s="45"/>
      <c r="AK107" s="45"/>
      <c r="AL107" s="45"/>
      <c r="AM107" s="45"/>
      <c r="AN107" s="45"/>
      <c r="AO107" s="45"/>
      <c r="AP107" s="45"/>
      <c r="AQ107" s="45"/>
      <c r="AR107" s="45"/>
      <c r="AS107" s="45"/>
      <c r="AT107" s="45"/>
      <c r="AU107" s="45"/>
      <c r="AV107" s="45"/>
      <c r="AW107" s="45"/>
      <c r="AX107" s="45"/>
      <c r="AY107" s="45"/>
      <c r="AZ107" s="45"/>
      <c r="BA107" s="47"/>
      <c r="BB107" s="47"/>
      <c r="BC107" s="47"/>
      <c r="BD107" s="47"/>
      <c r="BE107" s="47"/>
      <c r="BF107" s="47"/>
      <c r="BG107" s="47"/>
      <c r="BH107" s="47"/>
      <c r="BI107" s="47"/>
      <c r="BJ107" s="47"/>
      <c r="BK107" s="47"/>
      <c r="BL107" s="47"/>
      <c r="BM107" s="47"/>
      <c r="BN107" s="47"/>
      <c r="BO107" s="47"/>
      <c r="BP107" s="47"/>
      <c r="BQ107" s="47"/>
      <c r="BR107" s="47"/>
      <c r="BS107" s="88"/>
      <c r="BT107" s="88"/>
      <c r="BU107" s="88"/>
      <c r="BV107" s="88"/>
      <c r="BW107" s="88"/>
      <c r="BX107" s="88"/>
      <c r="BY107" s="88"/>
      <c r="BZ107" s="88"/>
      <c r="CA107" s="88"/>
      <c r="CB107" s="88"/>
      <c r="CC107" s="88"/>
      <c r="CD107" s="90"/>
      <c r="CE107" s="114"/>
      <c r="CF107" s="113"/>
      <c r="CG107" s="113"/>
      <c r="CH107" s="113"/>
      <c r="CI107" s="113"/>
      <c r="CJ107" s="113"/>
      <c r="CK107" s="113"/>
      <c r="CL107" s="113"/>
      <c r="CM107" s="112"/>
      <c r="CN107" s="112"/>
      <c r="CO107" s="112"/>
      <c r="CP107" s="112"/>
      <c r="CQ107" s="112"/>
      <c r="CR107" s="112"/>
      <c r="CS107" s="112"/>
      <c r="CT107" s="112"/>
      <c r="CU107" s="112"/>
      <c r="CV107" s="112"/>
      <c r="CW107" s="113"/>
      <c r="CX107" s="115"/>
      <c r="CY107" s="115"/>
      <c r="CZ107" s="115"/>
      <c r="DA107" s="97"/>
      <c r="DB107" s="97"/>
      <c r="DC107" s="133"/>
      <c r="DD107" s="97"/>
      <c r="DE107" s="97"/>
      <c r="DF107" s="115"/>
      <c r="DG107" s="115"/>
      <c r="DH107" s="115"/>
      <c r="DI107" s="115"/>
      <c r="DJ107" s="115"/>
      <c r="DK107" s="115"/>
      <c r="DL107" s="115"/>
      <c r="DM107" s="115"/>
      <c r="DN107" s="115"/>
      <c r="DO107" s="11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8"/>
      <c r="EE107" s="34"/>
      <c r="EF107" s="54"/>
      <c r="EG107" s="54"/>
      <c r="EH107" s="54"/>
      <c r="EI107" s="54"/>
      <c r="EJ107" s="54"/>
      <c r="EK107" s="54"/>
      <c r="EL107" s="54"/>
      <c r="EM107" s="55"/>
      <c r="EN107" s="56"/>
      <c r="EO107" s="54"/>
      <c r="EP107" s="25"/>
      <c r="EQ107" s="25"/>
      <c r="ER107" s="25"/>
      <c r="ES107" s="25"/>
      <c r="ET107" s="25"/>
      <c r="EU107" s="25"/>
      <c r="EV107" s="150"/>
      <c r="EW107" s="89"/>
      <c r="EX107" s="88"/>
      <c r="EY107" s="160"/>
    </row>
    <row r="108" spans="1:155" s="65" customFormat="1" ht="30.1" hidden="1" customHeight="1" x14ac:dyDescent="0.25">
      <c r="A108" s="194"/>
      <c r="B108" s="188"/>
      <c r="C108" s="43" t="s">
        <v>76</v>
      </c>
      <c r="D108" s="44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  <c r="AG108" s="45"/>
      <c r="AH108" s="45"/>
      <c r="AI108" s="45"/>
      <c r="AJ108" s="45"/>
      <c r="AK108" s="45"/>
      <c r="AL108" s="45"/>
      <c r="AM108" s="45"/>
      <c r="AN108" s="45"/>
      <c r="AO108" s="45"/>
      <c r="AP108" s="45"/>
      <c r="AQ108" s="45"/>
      <c r="AR108" s="45"/>
      <c r="AS108" s="45"/>
      <c r="AT108" s="45"/>
      <c r="AU108" s="45"/>
      <c r="AV108" s="45"/>
      <c r="AW108" s="45"/>
      <c r="AX108" s="45"/>
      <c r="AY108" s="45"/>
      <c r="AZ108" s="45"/>
      <c r="BA108" s="47"/>
      <c r="BB108" s="47"/>
      <c r="BC108" s="47"/>
      <c r="BD108" s="47"/>
      <c r="BE108" s="47"/>
      <c r="BF108" s="47"/>
      <c r="BG108" s="47"/>
      <c r="BH108" s="47"/>
      <c r="BI108" s="47"/>
      <c r="BJ108" s="47"/>
      <c r="BK108" s="47"/>
      <c r="BL108" s="47"/>
      <c r="BM108" s="47"/>
      <c r="BN108" s="47"/>
      <c r="BO108" s="47"/>
      <c r="BP108" s="47"/>
      <c r="BQ108" s="47"/>
      <c r="BR108" s="47"/>
      <c r="BS108" s="88"/>
      <c r="BT108" s="88"/>
      <c r="BU108" s="88"/>
      <c r="BV108" s="88"/>
      <c r="BW108" s="88"/>
      <c r="BX108" s="88"/>
      <c r="BY108" s="88"/>
      <c r="BZ108" s="88"/>
      <c r="CA108" s="88"/>
      <c r="CB108" s="88"/>
      <c r="CC108" s="88"/>
      <c r="CD108" s="90"/>
      <c r="CE108" s="114"/>
      <c r="CF108" s="113"/>
      <c r="CG108" s="113"/>
      <c r="CH108" s="113"/>
      <c r="CI108" s="113"/>
      <c r="CJ108" s="113"/>
      <c r="CK108" s="113"/>
      <c r="CL108" s="113"/>
      <c r="CM108" s="113"/>
      <c r="CN108" s="113"/>
      <c r="CO108" s="113"/>
      <c r="CP108" s="113"/>
      <c r="CQ108" s="113"/>
      <c r="CR108" s="113"/>
      <c r="CS108" s="113"/>
      <c r="CT108" s="113"/>
      <c r="CU108" s="113"/>
      <c r="CV108" s="113"/>
      <c r="CW108" s="113"/>
      <c r="CX108" s="113"/>
      <c r="CY108" s="113"/>
      <c r="CZ108" s="113"/>
      <c r="DA108" s="97"/>
      <c r="DB108" s="97"/>
      <c r="DC108" s="133"/>
      <c r="DD108" s="97"/>
      <c r="DE108" s="97"/>
      <c r="DF108" s="113"/>
      <c r="DG108" s="113"/>
      <c r="DH108" s="113"/>
      <c r="DI108" s="113"/>
      <c r="DJ108" s="113"/>
      <c r="DK108" s="113"/>
      <c r="DL108" s="113"/>
      <c r="DM108" s="113"/>
      <c r="DN108" s="113"/>
      <c r="DO108" s="113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54"/>
      <c r="EA108" s="54"/>
      <c r="EB108" s="54"/>
      <c r="EC108" s="54"/>
      <c r="ED108" s="55"/>
      <c r="EE108" s="109"/>
      <c r="EF108" s="54"/>
      <c r="EG108" s="54"/>
      <c r="EH108" s="54"/>
      <c r="EI108" s="54"/>
      <c r="EJ108" s="54"/>
      <c r="EK108" s="54"/>
      <c r="EL108" s="54"/>
      <c r="EM108" s="55"/>
      <c r="EN108" s="56"/>
      <c r="EO108" s="25"/>
      <c r="EP108" s="25"/>
      <c r="EQ108" s="25"/>
      <c r="ER108" s="25"/>
      <c r="ES108" s="25"/>
      <c r="ET108" s="25"/>
      <c r="EU108" s="25"/>
      <c r="EV108" s="150"/>
      <c r="EW108" s="89"/>
      <c r="EX108" s="88"/>
      <c r="EY108" s="160"/>
    </row>
    <row r="109" spans="1:155" s="65" customFormat="1" ht="28.55" hidden="1" x14ac:dyDescent="0.25">
      <c r="A109" s="194"/>
      <c r="B109" s="188"/>
      <c r="C109" s="43" t="s">
        <v>77</v>
      </c>
      <c r="D109" s="44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  <c r="AJ109" s="45"/>
      <c r="AK109" s="45"/>
      <c r="AL109" s="45"/>
      <c r="AM109" s="45"/>
      <c r="AN109" s="45"/>
      <c r="AO109" s="45"/>
      <c r="AP109" s="45"/>
      <c r="AQ109" s="45"/>
      <c r="AR109" s="45"/>
      <c r="AS109" s="45"/>
      <c r="AT109" s="45"/>
      <c r="AU109" s="45"/>
      <c r="AV109" s="45"/>
      <c r="AW109" s="45"/>
      <c r="AX109" s="45"/>
      <c r="AY109" s="45"/>
      <c r="AZ109" s="45"/>
      <c r="BA109" s="47"/>
      <c r="BB109" s="47"/>
      <c r="BC109" s="47"/>
      <c r="BD109" s="47"/>
      <c r="BE109" s="47"/>
      <c r="BF109" s="47"/>
      <c r="BG109" s="47"/>
      <c r="BH109" s="47"/>
      <c r="BI109" s="47"/>
      <c r="BJ109" s="47"/>
      <c r="BK109" s="47"/>
      <c r="BL109" s="47"/>
      <c r="BM109" s="47"/>
      <c r="BN109" s="47"/>
      <c r="BO109" s="47"/>
      <c r="BP109" s="47"/>
      <c r="BQ109" s="47"/>
      <c r="BR109" s="47"/>
      <c r="BS109" s="88"/>
      <c r="BT109" s="88"/>
      <c r="BU109" s="88"/>
      <c r="BV109" s="88"/>
      <c r="BW109" s="88"/>
      <c r="BX109" s="88"/>
      <c r="BY109" s="88"/>
      <c r="BZ109" s="88"/>
      <c r="CA109" s="88"/>
      <c r="CB109" s="88"/>
      <c r="CC109" s="88"/>
      <c r="CD109" s="90"/>
      <c r="CE109" s="114"/>
      <c r="CF109" s="113"/>
      <c r="CG109" s="113"/>
      <c r="CH109" s="113"/>
      <c r="CI109" s="113"/>
      <c r="CJ109" s="113"/>
      <c r="CK109" s="113"/>
      <c r="CL109" s="113"/>
      <c r="CM109" s="113"/>
      <c r="CN109" s="113"/>
      <c r="CO109" s="113"/>
      <c r="CP109" s="113"/>
      <c r="CQ109" s="113"/>
      <c r="CR109" s="113"/>
      <c r="CS109" s="113"/>
      <c r="CT109" s="113"/>
      <c r="CU109" s="113"/>
      <c r="CV109" s="113"/>
      <c r="CW109" s="113"/>
      <c r="CX109" s="113"/>
      <c r="CY109" s="113"/>
      <c r="CZ109" s="113"/>
      <c r="DA109" s="97"/>
      <c r="DB109" s="97"/>
      <c r="DC109" s="133"/>
      <c r="DD109" s="97"/>
      <c r="DE109" s="97"/>
      <c r="DF109" s="113"/>
      <c r="DG109" s="113"/>
      <c r="DH109" s="115"/>
      <c r="DI109" s="115"/>
      <c r="DJ109" s="115"/>
      <c r="DK109" s="115"/>
      <c r="DL109" s="115"/>
      <c r="DM109" s="115"/>
      <c r="DN109" s="115"/>
      <c r="DO109" s="11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54"/>
      <c r="EA109" s="54"/>
      <c r="EB109" s="54"/>
      <c r="EC109" s="54"/>
      <c r="ED109" s="55"/>
      <c r="EE109" s="109"/>
      <c r="EF109" s="54"/>
      <c r="EG109" s="54"/>
      <c r="EH109" s="54"/>
      <c r="EI109" s="54"/>
      <c r="EJ109" s="54"/>
      <c r="EK109" s="54"/>
      <c r="EL109" s="54"/>
      <c r="EM109" s="55"/>
      <c r="EN109" s="56"/>
      <c r="EO109" s="25"/>
      <c r="EP109" s="25"/>
      <c r="EQ109" s="25"/>
      <c r="ER109" s="25"/>
      <c r="ES109" s="25"/>
      <c r="ET109" s="25"/>
      <c r="EU109" s="25"/>
      <c r="EV109" s="150"/>
      <c r="EW109" s="89"/>
      <c r="EX109" s="88"/>
      <c r="EY109" s="160"/>
    </row>
    <row r="110" spans="1:155" s="65" customFormat="1" ht="14.95" hidden="1" customHeight="1" x14ac:dyDescent="0.25">
      <c r="A110" s="194"/>
      <c r="B110" s="188"/>
      <c r="C110" s="43" t="s">
        <v>78</v>
      </c>
      <c r="D110" s="44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  <c r="AJ110" s="45"/>
      <c r="AK110" s="45"/>
      <c r="AL110" s="45"/>
      <c r="AM110" s="45"/>
      <c r="AN110" s="45"/>
      <c r="AO110" s="45"/>
      <c r="AP110" s="45"/>
      <c r="AQ110" s="45"/>
      <c r="AR110" s="45"/>
      <c r="AS110" s="45"/>
      <c r="AT110" s="45"/>
      <c r="AU110" s="45"/>
      <c r="AV110" s="45"/>
      <c r="AW110" s="45"/>
      <c r="AX110" s="45"/>
      <c r="AY110" s="45"/>
      <c r="AZ110" s="45"/>
      <c r="BA110" s="47"/>
      <c r="BB110" s="47"/>
      <c r="BC110" s="47"/>
      <c r="BD110" s="47"/>
      <c r="BE110" s="47"/>
      <c r="BF110" s="47"/>
      <c r="BG110" s="47"/>
      <c r="BH110" s="47"/>
      <c r="BI110" s="47"/>
      <c r="BJ110" s="47"/>
      <c r="BK110" s="47"/>
      <c r="BL110" s="47"/>
      <c r="BM110" s="47"/>
      <c r="BN110" s="47"/>
      <c r="BO110" s="47"/>
      <c r="BP110" s="47"/>
      <c r="BQ110" s="47"/>
      <c r="BR110" s="47"/>
      <c r="BS110" s="88"/>
      <c r="BT110" s="88"/>
      <c r="BU110" s="88"/>
      <c r="BV110" s="88"/>
      <c r="BW110" s="88"/>
      <c r="BX110" s="88"/>
      <c r="BY110" s="88"/>
      <c r="BZ110" s="88"/>
      <c r="CA110" s="88"/>
      <c r="CB110" s="88"/>
      <c r="CC110" s="88"/>
      <c r="CD110" s="90"/>
      <c r="CE110" s="116"/>
      <c r="CF110" s="115"/>
      <c r="CG110" s="115"/>
      <c r="CH110" s="115"/>
      <c r="CI110" s="115"/>
      <c r="CJ110" s="115"/>
      <c r="CK110" s="115"/>
      <c r="CL110" s="115"/>
      <c r="CM110" s="115"/>
      <c r="CN110" s="115"/>
      <c r="CO110" s="115"/>
      <c r="CP110" s="115"/>
      <c r="CQ110" s="115"/>
      <c r="CR110" s="115"/>
      <c r="CS110" s="115"/>
      <c r="CT110" s="115"/>
      <c r="CU110" s="115"/>
      <c r="CV110" s="115"/>
      <c r="CW110" s="115"/>
      <c r="CX110" s="115"/>
      <c r="CY110" s="115"/>
      <c r="CZ110" s="115"/>
      <c r="DA110" s="115"/>
      <c r="DB110" s="115"/>
      <c r="DC110" s="136"/>
      <c r="DD110" s="97"/>
      <c r="DE110" s="97"/>
      <c r="DF110" s="115"/>
      <c r="DG110" s="115"/>
      <c r="DH110" s="115"/>
      <c r="DI110" s="115"/>
      <c r="DJ110" s="115"/>
      <c r="DK110" s="115"/>
      <c r="DL110" s="115"/>
      <c r="DM110" s="115"/>
      <c r="DN110" s="115"/>
      <c r="DO110" s="11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8"/>
      <c r="EE110" s="34"/>
      <c r="EF110" s="54"/>
      <c r="EG110" s="54"/>
      <c r="EH110" s="54"/>
      <c r="EI110" s="54"/>
      <c r="EJ110" s="54"/>
      <c r="EK110" s="54"/>
      <c r="EL110" s="54"/>
      <c r="EM110" s="55"/>
      <c r="EN110" s="56"/>
      <c r="EO110" s="54"/>
      <c r="EP110" s="54"/>
      <c r="EQ110" s="54"/>
      <c r="ER110" s="54"/>
      <c r="ES110" s="25"/>
      <c r="ET110" s="25"/>
      <c r="EU110" s="25"/>
      <c r="EV110" s="150"/>
      <c r="EW110" s="89"/>
      <c r="EX110" s="88"/>
      <c r="EY110" s="160"/>
    </row>
    <row r="111" spans="1:155" s="65" customFormat="1" ht="14.95" hidden="1" customHeight="1" x14ac:dyDescent="0.25">
      <c r="A111" s="194"/>
      <c r="B111" s="188"/>
      <c r="C111" s="43" t="s">
        <v>79</v>
      </c>
      <c r="D111" s="44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5"/>
      <c r="AI111" s="45"/>
      <c r="AJ111" s="45"/>
      <c r="AK111" s="45"/>
      <c r="AL111" s="45"/>
      <c r="AM111" s="45"/>
      <c r="AN111" s="45"/>
      <c r="AO111" s="45"/>
      <c r="AP111" s="45"/>
      <c r="AQ111" s="45"/>
      <c r="AR111" s="45"/>
      <c r="AS111" s="45"/>
      <c r="AT111" s="45"/>
      <c r="AU111" s="45"/>
      <c r="AV111" s="45"/>
      <c r="AW111" s="45"/>
      <c r="AX111" s="45"/>
      <c r="AY111" s="45"/>
      <c r="AZ111" s="45"/>
      <c r="BA111" s="47"/>
      <c r="BB111" s="47"/>
      <c r="BC111" s="47"/>
      <c r="BD111" s="47"/>
      <c r="BE111" s="47"/>
      <c r="BF111" s="47"/>
      <c r="BG111" s="47"/>
      <c r="BH111" s="47"/>
      <c r="BI111" s="47"/>
      <c r="BJ111" s="47"/>
      <c r="BK111" s="47"/>
      <c r="BL111" s="47"/>
      <c r="BM111" s="47"/>
      <c r="BN111" s="47"/>
      <c r="BO111" s="47"/>
      <c r="BP111" s="47"/>
      <c r="BQ111" s="47"/>
      <c r="BR111" s="47"/>
      <c r="BS111" s="88"/>
      <c r="BT111" s="88"/>
      <c r="BU111" s="88"/>
      <c r="BV111" s="88"/>
      <c r="BW111" s="88"/>
      <c r="BX111" s="88"/>
      <c r="BY111" s="88"/>
      <c r="BZ111" s="88"/>
      <c r="CA111" s="88"/>
      <c r="CB111" s="88"/>
      <c r="CC111" s="88"/>
      <c r="CD111" s="90"/>
      <c r="CE111" s="114"/>
      <c r="CF111" s="113"/>
      <c r="CG111" s="113"/>
      <c r="CH111" s="113"/>
      <c r="CI111" s="113"/>
      <c r="CJ111" s="113"/>
      <c r="CK111" s="113"/>
      <c r="CL111" s="113"/>
      <c r="CM111" s="113"/>
      <c r="CN111" s="113"/>
      <c r="CO111" s="113"/>
      <c r="CP111" s="113"/>
      <c r="CQ111" s="113"/>
      <c r="CR111" s="113"/>
      <c r="CS111" s="113"/>
      <c r="CT111" s="113"/>
      <c r="CU111" s="113"/>
      <c r="CV111" s="113"/>
      <c r="CW111" s="113"/>
      <c r="CX111" s="113"/>
      <c r="CY111" s="113"/>
      <c r="CZ111" s="113"/>
      <c r="DA111" s="113"/>
      <c r="DB111" s="113"/>
      <c r="DC111" s="137"/>
      <c r="DD111" s="97"/>
      <c r="DE111" s="97"/>
      <c r="DF111" s="113"/>
      <c r="DG111" s="113"/>
      <c r="DH111" s="113"/>
      <c r="DI111" s="113"/>
      <c r="DJ111" s="113"/>
      <c r="DK111" s="113"/>
      <c r="DL111" s="113"/>
      <c r="DM111" s="113"/>
      <c r="DN111" s="113"/>
      <c r="DO111" s="113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8"/>
      <c r="EE111" s="34"/>
      <c r="EF111" s="25"/>
      <c r="EG111" s="25"/>
      <c r="EH111" s="25"/>
      <c r="EI111" s="25"/>
      <c r="EJ111" s="25"/>
      <c r="EK111" s="25"/>
      <c r="EL111" s="54"/>
      <c r="EM111" s="55"/>
      <c r="EN111" s="56"/>
      <c r="EO111" s="54"/>
      <c r="EP111" s="54"/>
      <c r="EQ111" s="54"/>
      <c r="ER111" s="54"/>
      <c r="ES111" s="25"/>
      <c r="ET111" s="25"/>
      <c r="EU111" s="25"/>
      <c r="EV111" s="150"/>
      <c r="EW111" s="89"/>
      <c r="EX111" s="88"/>
      <c r="EY111" s="160"/>
    </row>
    <row r="112" spans="1:155" s="65" customFormat="1" ht="28.55" hidden="1" x14ac:dyDescent="0.25">
      <c r="A112" s="194"/>
      <c r="B112" s="188"/>
      <c r="C112" s="43" t="s">
        <v>80</v>
      </c>
      <c r="D112" s="44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  <c r="AJ112" s="45"/>
      <c r="AK112" s="45"/>
      <c r="AL112" s="45"/>
      <c r="AM112" s="45"/>
      <c r="AN112" s="45"/>
      <c r="AO112" s="45"/>
      <c r="AP112" s="45"/>
      <c r="AQ112" s="45"/>
      <c r="AR112" s="45"/>
      <c r="AS112" s="45"/>
      <c r="AT112" s="45"/>
      <c r="AU112" s="45"/>
      <c r="AV112" s="45"/>
      <c r="AW112" s="45"/>
      <c r="AX112" s="45"/>
      <c r="AY112" s="45"/>
      <c r="AZ112" s="45"/>
      <c r="BA112" s="47"/>
      <c r="BB112" s="47"/>
      <c r="BC112" s="47"/>
      <c r="BD112" s="47"/>
      <c r="BE112" s="47"/>
      <c r="BF112" s="47"/>
      <c r="BG112" s="47"/>
      <c r="BH112" s="47"/>
      <c r="BI112" s="47"/>
      <c r="BJ112" s="47"/>
      <c r="BK112" s="47"/>
      <c r="BL112" s="47"/>
      <c r="BM112" s="47"/>
      <c r="BN112" s="47"/>
      <c r="BO112" s="47"/>
      <c r="BP112" s="47"/>
      <c r="BQ112" s="47"/>
      <c r="BR112" s="47"/>
      <c r="BS112" s="88"/>
      <c r="BT112" s="88"/>
      <c r="BU112" s="88"/>
      <c r="BV112" s="88"/>
      <c r="BW112" s="88"/>
      <c r="BX112" s="88"/>
      <c r="BY112" s="88"/>
      <c r="BZ112" s="88"/>
      <c r="CA112" s="88"/>
      <c r="CB112" s="88"/>
      <c r="CC112" s="88"/>
      <c r="CD112" s="90"/>
      <c r="CE112" s="114"/>
      <c r="CF112" s="113"/>
      <c r="CG112" s="113"/>
      <c r="CH112" s="113"/>
      <c r="CI112" s="113"/>
      <c r="CJ112" s="113"/>
      <c r="CK112" s="113"/>
      <c r="CL112" s="113"/>
      <c r="CM112" s="113"/>
      <c r="CN112" s="113"/>
      <c r="CO112" s="113"/>
      <c r="CP112" s="113"/>
      <c r="CQ112" s="113"/>
      <c r="CR112" s="113"/>
      <c r="CS112" s="113"/>
      <c r="CT112" s="113"/>
      <c r="CU112" s="113"/>
      <c r="CV112" s="113"/>
      <c r="CW112" s="113"/>
      <c r="CX112" s="113"/>
      <c r="CY112" s="113"/>
      <c r="CZ112" s="113"/>
      <c r="DA112" s="113"/>
      <c r="DB112" s="113"/>
      <c r="DC112" s="137"/>
      <c r="DD112" s="97"/>
      <c r="DE112" s="97"/>
      <c r="DF112" s="113"/>
      <c r="DG112" s="113"/>
      <c r="DH112" s="113"/>
      <c r="DI112" s="113"/>
      <c r="DJ112" s="113"/>
      <c r="DK112" s="113"/>
      <c r="DL112" s="113"/>
      <c r="DM112" s="113"/>
      <c r="DN112" s="113"/>
      <c r="DO112" s="113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8"/>
      <c r="EE112" s="34"/>
      <c r="EF112" s="25"/>
      <c r="EG112" s="25"/>
      <c r="EH112" s="25"/>
      <c r="EI112" s="25"/>
      <c r="EJ112" s="25"/>
      <c r="EK112" s="25"/>
      <c r="EL112" s="54"/>
      <c r="EM112" s="55"/>
      <c r="EN112" s="56"/>
      <c r="EO112" s="54"/>
      <c r="EP112" s="54"/>
      <c r="EQ112" s="54"/>
      <c r="ER112" s="54"/>
      <c r="ES112" s="25"/>
      <c r="ET112" s="25"/>
      <c r="EU112" s="25"/>
      <c r="EV112" s="150"/>
      <c r="EW112" s="89"/>
      <c r="EX112" s="88"/>
      <c r="EY112" s="160"/>
    </row>
    <row r="113" spans="1:155" s="65" customFormat="1" ht="14.95" hidden="1" customHeight="1" x14ac:dyDescent="0.25">
      <c r="A113" s="194"/>
      <c r="B113" s="188"/>
      <c r="C113" s="43" t="s">
        <v>81</v>
      </c>
      <c r="D113" s="44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  <c r="AG113" s="45"/>
      <c r="AH113" s="45"/>
      <c r="AI113" s="45"/>
      <c r="AJ113" s="45"/>
      <c r="AK113" s="45"/>
      <c r="AL113" s="45"/>
      <c r="AM113" s="45"/>
      <c r="AN113" s="45"/>
      <c r="AO113" s="45"/>
      <c r="AP113" s="45"/>
      <c r="AQ113" s="45"/>
      <c r="AR113" s="45"/>
      <c r="AS113" s="45"/>
      <c r="AT113" s="45"/>
      <c r="AU113" s="45"/>
      <c r="AV113" s="45"/>
      <c r="AW113" s="45"/>
      <c r="AX113" s="45"/>
      <c r="AY113" s="45"/>
      <c r="AZ113" s="45"/>
      <c r="BA113" s="47"/>
      <c r="BB113" s="47"/>
      <c r="BC113" s="47"/>
      <c r="BD113" s="47"/>
      <c r="BE113" s="47"/>
      <c r="BF113" s="47"/>
      <c r="BG113" s="47"/>
      <c r="BH113" s="47"/>
      <c r="BI113" s="47"/>
      <c r="BJ113" s="47"/>
      <c r="BK113" s="47"/>
      <c r="BL113" s="47"/>
      <c r="BM113" s="47"/>
      <c r="BN113" s="47"/>
      <c r="BO113" s="47"/>
      <c r="BP113" s="47"/>
      <c r="BQ113" s="47"/>
      <c r="BR113" s="47"/>
      <c r="BS113" s="88"/>
      <c r="BT113" s="88"/>
      <c r="BU113" s="88"/>
      <c r="BV113" s="88"/>
      <c r="BW113" s="88"/>
      <c r="BX113" s="88"/>
      <c r="BY113" s="88"/>
      <c r="BZ113" s="88"/>
      <c r="CA113" s="88"/>
      <c r="CB113" s="88"/>
      <c r="CC113" s="88"/>
      <c r="CD113" s="90"/>
      <c r="CE113" s="114"/>
      <c r="CF113" s="113"/>
      <c r="CG113" s="113"/>
      <c r="CH113" s="113"/>
      <c r="CI113" s="113"/>
      <c r="CJ113" s="113"/>
      <c r="CK113" s="113"/>
      <c r="CL113" s="113"/>
      <c r="CM113" s="113"/>
      <c r="CN113" s="113"/>
      <c r="CO113" s="113"/>
      <c r="CP113" s="113"/>
      <c r="CQ113" s="113"/>
      <c r="CR113" s="113"/>
      <c r="CS113" s="113"/>
      <c r="CT113" s="113"/>
      <c r="CU113" s="113"/>
      <c r="CV113" s="113"/>
      <c r="CW113" s="113"/>
      <c r="CX113" s="113"/>
      <c r="CY113" s="113"/>
      <c r="CZ113" s="113"/>
      <c r="DA113" s="113"/>
      <c r="DB113" s="113"/>
      <c r="DC113" s="137"/>
      <c r="DD113" s="97"/>
      <c r="DE113" s="97"/>
      <c r="DF113" s="113"/>
      <c r="DG113" s="113"/>
      <c r="DH113" s="113"/>
      <c r="DI113" s="113"/>
      <c r="DJ113" s="113"/>
      <c r="DK113" s="113"/>
      <c r="DL113" s="113"/>
      <c r="DM113" s="113"/>
      <c r="DN113" s="113"/>
      <c r="DO113" s="113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8"/>
      <c r="EE113" s="34"/>
      <c r="EF113" s="25"/>
      <c r="EG113" s="25"/>
      <c r="EH113" s="25"/>
      <c r="EI113" s="25"/>
      <c r="EJ113" s="25"/>
      <c r="EK113" s="25"/>
      <c r="EL113" s="54"/>
      <c r="EM113" s="55"/>
      <c r="EN113" s="56"/>
      <c r="EO113" s="54"/>
      <c r="EP113" s="54"/>
      <c r="EQ113" s="54"/>
      <c r="ER113" s="54"/>
      <c r="ES113" s="25"/>
      <c r="ET113" s="25"/>
      <c r="EU113" s="25"/>
      <c r="EV113" s="150"/>
      <c r="EW113" s="89"/>
      <c r="EX113" s="88"/>
      <c r="EY113" s="160"/>
    </row>
    <row r="114" spans="1:155" s="65" customFormat="1" ht="14.95" hidden="1" customHeight="1" x14ac:dyDescent="0.25">
      <c r="A114" s="194"/>
      <c r="B114" s="188"/>
      <c r="C114" s="43" t="s">
        <v>82</v>
      </c>
      <c r="D114" s="44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  <c r="AG114" s="45"/>
      <c r="AH114" s="45"/>
      <c r="AI114" s="45"/>
      <c r="AJ114" s="45"/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  <c r="AU114" s="45"/>
      <c r="AV114" s="45"/>
      <c r="AW114" s="45"/>
      <c r="AX114" s="45"/>
      <c r="AY114" s="45"/>
      <c r="AZ114" s="45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Q114" s="47"/>
      <c r="BR114" s="47"/>
      <c r="BS114" s="88"/>
      <c r="BT114" s="88"/>
      <c r="BU114" s="88"/>
      <c r="BV114" s="88"/>
      <c r="BW114" s="88"/>
      <c r="BX114" s="88"/>
      <c r="BY114" s="88"/>
      <c r="BZ114" s="88"/>
      <c r="CA114" s="88"/>
      <c r="CB114" s="88"/>
      <c r="CC114" s="88"/>
      <c r="CD114" s="90"/>
      <c r="CE114" s="114"/>
      <c r="CF114" s="113"/>
      <c r="CG114" s="113"/>
      <c r="CH114" s="113"/>
      <c r="CI114" s="113"/>
      <c r="CJ114" s="113"/>
      <c r="CK114" s="113"/>
      <c r="CL114" s="113"/>
      <c r="CM114" s="113"/>
      <c r="CN114" s="113"/>
      <c r="CO114" s="113"/>
      <c r="CP114" s="113"/>
      <c r="CQ114" s="113"/>
      <c r="CR114" s="113"/>
      <c r="CS114" s="113"/>
      <c r="CT114" s="113"/>
      <c r="CU114" s="113"/>
      <c r="CV114" s="113"/>
      <c r="CW114" s="113"/>
      <c r="CX114" s="113"/>
      <c r="CY114" s="113"/>
      <c r="CZ114" s="113"/>
      <c r="DA114" s="113"/>
      <c r="DB114" s="113"/>
      <c r="DC114" s="137"/>
      <c r="DD114" s="97"/>
      <c r="DE114" s="97"/>
      <c r="DF114" s="113"/>
      <c r="DG114" s="113"/>
      <c r="DH114" s="113"/>
      <c r="DI114" s="113"/>
      <c r="DJ114" s="113"/>
      <c r="DK114" s="113"/>
      <c r="DL114" s="113"/>
      <c r="DM114" s="113"/>
      <c r="DN114" s="113"/>
      <c r="DO114" s="113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8"/>
      <c r="EE114" s="34"/>
      <c r="EF114" s="25"/>
      <c r="EG114" s="25"/>
      <c r="EH114" s="25"/>
      <c r="EI114" s="25"/>
      <c r="EJ114" s="25"/>
      <c r="EK114" s="25"/>
      <c r="EL114" s="54"/>
      <c r="EM114" s="55"/>
      <c r="EN114" s="56"/>
      <c r="EO114" s="54"/>
      <c r="EP114" s="54"/>
      <c r="EQ114" s="54"/>
      <c r="ER114" s="54"/>
      <c r="ES114" s="25"/>
      <c r="ET114" s="25"/>
      <c r="EU114" s="25"/>
      <c r="EV114" s="150"/>
      <c r="EW114" s="89"/>
      <c r="EX114" s="88"/>
      <c r="EY114" s="160"/>
    </row>
    <row r="115" spans="1:155" s="65" customFormat="1" ht="14.95" hidden="1" customHeight="1" x14ac:dyDescent="0.25">
      <c r="A115" s="194"/>
      <c r="B115" s="188"/>
      <c r="C115" s="43" t="s">
        <v>83</v>
      </c>
      <c r="D115" s="44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  <c r="AG115" s="45"/>
      <c r="AH115" s="45"/>
      <c r="AI115" s="45"/>
      <c r="AJ115" s="45"/>
      <c r="AK115" s="45"/>
      <c r="AL115" s="45"/>
      <c r="AM115" s="45"/>
      <c r="AN115" s="45"/>
      <c r="AO115" s="45"/>
      <c r="AP115" s="45"/>
      <c r="AQ115" s="45"/>
      <c r="AR115" s="45"/>
      <c r="AS115" s="45"/>
      <c r="AT115" s="45"/>
      <c r="AU115" s="45"/>
      <c r="AV115" s="45"/>
      <c r="AW115" s="45"/>
      <c r="AX115" s="45"/>
      <c r="AY115" s="45"/>
      <c r="AZ115" s="45"/>
      <c r="BA115" s="47"/>
      <c r="BB115" s="47"/>
      <c r="BC115" s="47"/>
      <c r="BD115" s="47"/>
      <c r="BE115" s="47"/>
      <c r="BF115" s="47"/>
      <c r="BG115" s="47"/>
      <c r="BH115" s="47"/>
      <c r="BI115" s="47"/>
      <c r="BJ115" s="47"/>
      <c r="BK115" s="47"/>
      <c r="BL115" s="47"/>
      <c r="BM115" s="47"/>
      <c r="BN115" s="47"/>
      <c r="BO115" s="47"/>
      <c r="BP115" s="47"/>
      <c r="BQ115" s="47"/>
      <c r="BR115" s="47"/>
      <c r="BS115" s="88"/>
      <c r="BT115" s="88"/>
      <c r="BU115" s="88"/>
      <c r="BV115" s="88"/>
      <c r="BW115" s="88"/>
      <c r="BX115" s="88"/>
      <c r="BY115" s="88"/>
      <c r="BZ115" s="88"/>
      <c r="CA115" s="88"/>
      <c r="CB115" s="88"/>
      <c r="CC115" s="88"/>
      <c r="CD115" s="90"/>
      <c r="CE115" s="114"/>
      <c r="CF115" s="113"/>
      <c r="CG115" s="113"/>
      <c r="CH115" s="113"/>
      <c r="CI115" s="113"/>
      <c r="CJ115" s="113"/>
      <c r="CK115" s="113"/>
      <c r="CL115" s="113"/>
      <c r="CM115" s="113"/>
      <c r="CN115" s="113"/>
      <c r="CO115" s="113"/>
      <c r="CP115" s="113"/>
      <c r="CQ115" s="113"/>
      <c r="CR115" s="113"/>
      <c r="CS115" s="113"/>
      <c r="CT115" s="113"/>
      <c r="CU115" s="113"/>
      <c r="CV115" s="113"/>
      <c r="CW115" s="113"/>
      <c r="CX115" s="113"/>
      <c r="CY115" s="113"/>
      <c r="CZ115" s="113"/>
      <c r="DA115" s="113"/>
      <c r="DB115" s="113"/>
      <c r="DC115" s="137"/>
      <c r="DD115" s="97"/>
      <c r="DE115" s="97"/>
      <c r="DF115" s="113"/>
      <c r="DG115" s="113"/>
      <c r="DH115" s="113"/>
      <c r="DI115" s="113"/>
      <c r="DJ115" s="113"/>
      <c r="DK115" s="113"/>
      <c r="DL115" s="113"/>
      <c r="DM115" s="113"/>
      <c r="DN115" s="113"/>
      <c r="DO115" s="113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8"/>
      <c r="EE115" s="34"/>
      <c r="EF115" s="25"/>
      <c r="EG115" s="25"/>
      <c r="EH115" s="25"/>
      <c r="EI115" s="25"/>
      <c r="EJ115" s="25"/>
      <c r="EK115" s="25"/>
      <c r="EL115" s="54"/>
      <c r="EM115" s="55"/>
      <c r="EN115" s="56"/>
      <c r="EO115" s="54"/>
      <c r="EP115" s="54"/>
      <c r="EQ115" s="54"/>
      <c r="ER115" s="54"/>
      <c r="ES115" s="25"/>
      <c r="ET115" s="25"/>
      <c r="EU115" s="25"/>
      <c r="EV115" s="150"/>
      <c r="EW115" s="89"/>
      <c r="EX115" s="88"/>
      <c r="EY115" s="160"/>
    </row>
    <row r="116" spans="1:155" s="65" customFormat="1" ht="14.95" hidden="1" customHeight="1" x14ac:dyDescent="0.25">
      <c r="A116" s="194"/>
      <c r="B116" s="188"/>
      <c r="C116" s="43" t="s">
        <v>84</v>
      </c>
      <c r="D116" s="44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  <c r="AG116" s="45"/>
      <c r="AH116" s="45"/>
      <c r="AI116" s="45"/>
      <c r="AJ116" s="45"/>
      <c r="AK116" s="45"/>
      <c r="AL116" s="45"/>
      <c r="AM116" s="45"/>
      <c r="AN116" s="45"/>
      <c r="AO116" s="45"/>
      <c r="AP116" s="45"/>
      <c r="AQ116" s="45"/>
      <c r="AR116" s="45"/>
      <c r="AS116" s="45"/>
      <c r="AT116" s="45"/>
      <c r="AU116" s="45"/>
      <c r="AV116" s="45"/>
      <c r="AW116" s="45"/>
      <c r="AX116" s="45"/>
      <c r="AY116" s="45"/>
      <c r="AZ116" s="45"/>
      <c r="BA116" s="47"/>
      <c r="BB116" s="47"/>
      <c r="BC116" s="47"/>
      <c r="BD116" s="47"/>
      <c r="BE116" s="47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Q116" s="47"/>
      <c r="BR116" s="47"/>
      <c r="BS116" s="88"/>
      <c r="BT116" s="88"/>
      <c r="BU116" s="88"/>
      <c r="BV116" s="88"/>
      <c r="BW116" s="88"/>
      <c r="BX116" s="88"/>
      <c r="BY116" s="88"/>
      <c r="BZ116" s="88"/>
      <c r="CA116" s="88"/>
      <c r="CB116" s="88"/>
      <c r="CC116" s="88"/>
      <c r="CD116" s="90"/>
      <c r="CE116" s="114"/>
      <c r="CF116" s="113"/>
      <c r="CG116" s="113"/>
      <c r="CH116" s="113"/>
      <c r="CI116" s="113"/>
      <c r="CJ116" s="113"/>
      <c r="CK116" s="113"/>
      <c r="CL116" s="113"/>
      <c r="CM116" s="113"/>
      <c r="CN116" s="113"/>
      <c r="CO116" s="113"/>
      <c r="CP116" s="113"/>
      <c r="CQ116" s="113"/>
      <c r="CR116" s="113"/>
      <c r="CS116" s="113"/>
      <c r="CT116" s="113"/>
      <c r="CU116" s="113"/>
      <c r="CV116" s="113"/>
      <c r="CW116" s="113"/>
      <c r="CX116" s="113"/>
      <c r="CY116" s="113"/>
      <c r="CZ116" s="113"/>
      <c r="DA116" s="113"/>
      <c r="DB116" s="113"/>
      <c r="DC116" s="137"/>
      <c r="DD116" s="97"/>
      <c r="DE116" s="97"/>
      <c r="DF116" s="113"/>
      <c r="DG116" s="113"/>
      <c r="DH116" s="113"/>
      <c r="DI116" s="113"/>
      <c r="DJ116" s="113"/>
      <c r="DK116" s="113"/>
      <c r="DL116" s="113"/>
      <c r="DM116" s="113"/>
      <c r="DN116" s="113"/>
      <c r="DO116" s="113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8"/>
      <c r="EE116" s="34"/>
      <c r="EF116" s="25"/>
      <c r="EG116" s="25"/>
      <c r="EH116" s="25"/>
      <c r="EI116" s="25"/>
      <c r="EJ116" s="25"/>
      <c r="EK116" s="25"/>
      <c r="EL116" s="54"/>
      <c r="EM116" s="55"/>
      <c r="EN116" s="56"/>
      <c r="EO116" s="54"/>
      <c r="EP116" s="54"/>
      <c r="EQ116" s="54"/>
      <c r="ER116" s="54"/>
      <c r="ES116" s="25"/>
      <c r="ET116" s="25"/>
      <c r="EU116" s="25"/>
      <c r="EV116" s="150"/>
      <c r="EW116" s="89"/>
      <c r="EX116" s="88"/>
      <c r="EY116" s="160"/>
    </row>
    <row r="117" spans="1:155" s="65" customFormat="1" ht="14.95" hidden="1" customHeight="1" x14ac:dyDescent="0.25">
      <c r="A117" s="194"/>
      <c r="B117" s="188"/>
      <c r="C117" s="43" t="s">
        <v>85</v>
      </c>
      <c r="D117" s="44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  <c r="AG117" s="45"/>
      <c r="AH117" s="45"/>
      <c r="AI117" s="45"/>
      <c r="AJ117" s="45"/>
      <c r="AK117" s="45"/>
      <c r="AL117" s="45"/>
      <c r="AM117" s="45"/>
      <c r="AN117" s="45"/>
      <c r="AO117" s="45"/>
      <c r="AP117" s="45"/>
      <c r="AQ117" s="45"/>
      <c r="AR117" s="45"/>
      <c r="AS117" s="45"/>
      <c r="AT117" s="45"/>
      <c r="AU117" s="45"/>
      <c r="AV117" s="45"/>
      <c r="AW117" s="45"/>
      <c r="AX117" s="45"/>
      <c r="AY117" s="45"/>
      <c r="AZ117" s="45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Q117" s="47"/>
      <c r="BR117" s="47"/>
      <c r="BS117" s="88"/>
      <c r="BT117" s="88"/>
      <c r="BU117" s="88"/>
      <c r="BV117" s="88"/>
      <c r="BW117" s="88"/>
      <c r="BX117" s="88"/>
      <c r="BY117" s="88"/>
      <c r="BZ117" s="88"/>
      <c r="CA117" s="88"/>
      <c r="CB117" s="88"/>
      <c r="CC117" s="88"/>
      <c r="CD117" s="90"/>
      <c r="CE117" s="114"/>
      <c r="CF117" s="113"/>
      <c r="CG117" s="113"/>
      <c r="CH117" s="113"/>
      <c r="CI117" s="113"/>
      <c r="CJ117" s="113"/>
      <c r="CK117" s="113"/>
      <c r="CL117" s="113"/>
      <c r="CM117" s="113"/>
      <c r="CN117" s="113"/>
      <c r="CO117" s="113"/>
      <c r="CP117" s="113"/>
      <c r="CQ117" s="113"/>
      <c r="CR117" s="113"/>
      <c r="CS117" s="113"/>
      <c r="CT117" s="113"/>
      <c r="CU117" s="113"/>
      <c r="CV117" s="113"/>
      <c r="CW117" s="113"/>
      <c r="CX117" s="113"/>
      <c r="CY117" s="113"/>
      <c r="CZ117" s="113"/>
      <c r="DA117" s="113"/>
      <c r="DB117" s="113"/>
      <c r="DC117" s="137"/>
      <c r="DD117" s="97"/>
      <c r="DE117" s="97"/>
      <c r="DF117" s="113"/>
      <c r="DG117" s="113"/>
      <c r="DH117" s="113"/>
      <c r="DI117" s="113"/>
      <c r="DJ117" s="113"/>
      <c r="DK117" s="113"/>
      <c r="DL117" s="113"/>
      <c r="DM117" s="113"/>
      <c r="DN117" s="113"/>
      <c r="DO117" s="113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8"/>
      <c r="EE117" s="34"/>
      <c r="EF117" s="25"/>
      <c r="EG117" s="25"/>
      <c r="EH117" s="25"/>
      <c r="EI117" s="25"/>
      <c r="EJ117" s="25"/>
      <c r="EK117" s="25"/>
      <c r="EL117" s="54"/>
      <c r="EM117" s="55"/>
      <c r="EN117" s="56"/>
      <c r="EO117" s="54"/>
      <c r="EP117" s="54"/>
      <c r="EQ117" s="54"/>
      <c r="ER117" s="54"/>
      <c r="ES117" s="25"/>
      <c r="ET117" s="25"/>
      <c r="EU117" s="25"/>
      <c r="EV117" s="150"/>
      <c r="EW117" s="89"/>
      <c r="EX117" s="88"/>
      <c r="EY117" s="160"/>
    </row>
    <row r="118" spans="1:155" s="65" customFormat="1" ht="14.95" hidden="1" customHeight="1" x14ac:dyDescent="0.25">
      <c r="A118" s="194"/>
      <c r="B118" s="188"/>
      <c r="C118" s="43" t="s">
        <v>86</v>
      </c>
      <c r="D118" s="44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  <c r="AG118" s="45"/>
      <c r="AH118" s="45"/>
      <c r="AI118" s="45"/>
      <c r="AJ118" s="45"/>
      <c r="AK118" s="45"/>
      <c r="AL118" s="45"/>
      <c r="AM118" s="45"/>
      <c r="AN118" s="45"/>
      <c r="AO118" s="45"/>
      <c r="AP118" s="46"/>
      <c r="AQ118" s="46"/>
      <c r="AR118" s="46"/>
      <c r="AS118" s="46"/>
      <c r="AT118" s="46"/>
      <c r="AU118" s="46"/>
      <c r="AV118" s="45"/>
      <c r="AW118" s="45"/>
      <c r="AX118" s="45"/>
      <c r="AY118" s="45"/>
      <c r="AZ118" s="45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Q118" s="47"/>
      <c r="BR118" s="47"/>
      <c r="BS118" s="88"/>
      <c r="BT118" s="88"/>
      <c r="BU118" s="88"/>
      <c r="BV118" s="88"/>
      <c r="BW118" s="88"/>
      <c r="BX118" s="88"/>
      <c r="BY118" s="88"/>
      <c r="BZ118" s="88"/>
      <c r="CA118" s="88"/>
      <c r="CB118" s="88"/>
      <c r="CC118" s="88"/>
      <c r="CD118" s="90"/>
      <c r="CE118" s="114"/>
      <c r="CF118" s="113"/>
      <c r="CG118" s="113"/>
      <c r="CH118" s="113"/>
      <c r="CI118" s="113"/>
      <c r="CJ118" s="113"/>
      <c r="CK118" s="113"/>
      <c r="CL118" s="113"/>
      <c r="CM118" s="113"/>
      <c r="CN118" s="113"/>
      <c r="CO118" s="113"/>
      <c r="CP118" s="113"/>
      <c r="CQ118" s="113"/>
      <c r="CR118" s="113"/>
      <c r="CS118" s="113"/>
      <c r="CT118" s="113"/>
      <c r="CU118" s="113"/>
      <c r="CV118" s="113"/>
      <c r="CW118" s="113"/>
      <c r="CX118" s="113"/>
      <c r="CY118" s="113"/>
      <c r="CZ118" s="113"/>
      <c r="DA118" s="113"/>
      <c r="DB118" s="113"/>
      <c r="DC118" s="137"/>
      <c r="DD118" s="97"/>
      <c r="DE118" s="97"/>
      <c r="DF118" s="113"/>
      <c r="DG118" s="113"/>
      <c r="DH118" s="113"/>
      <c r="DI118" s="113"/>
      <c r="DJ118" s="113"/>
      <c r="DK118" s="113"/>
      <c r="DL118" s="113"/>
      <c r="DM118" s="113"/>
      <c r="DN118" s="113"/>
      <c r="DO118" s="113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8"/>
      <c r="EE118" s="34"/>
      <c r="EF118" s="25"/>
      <c r="EG118" s="25"/>
      <c r="EH118" s="25"/>
      <c r="EI118" s="25"/>
      <c r="EJ118" s="25"/>
      <c r="EK118" s="25"/>
      <c r="EL118" s="54"/>
      <c r="EM118" s="55"/>
      <c r="EN118" s="56"/>
      <c r="EO118" s="54"/>
      <c r="EP118" s="54"/>
      <c r="EQ118" s="54"/>
      <c r="ER118" s="54"/>
      <c r="ES118" s="54"/>
      <c r="ET118" s="54"/>
      <c r="EU118" s="25"/>
      <c r="EV118" s="150"/>
      <c r="EW118" s="89"/>
      <c r="EX118" s="88"/>
      <c r="EY118" s="160"/>
    </row>
    <row r="119" spans="1:155" s="65" customFormat="1" ht="14.95" hidden="1" customHeight="1" x14ac:dyDescent="0.25">
      <c r="A119" s="194"/>
      <c r="B119" s="188"/>
      <c r="C119" s="43" t="s">
        <v>87</v>
      </c>
      <c r="D119" s="44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5"/>
      <c r="AI119" s="45"/>
      <c r="AJ119" s="45"/>
      <c r="AK119" s="45"/>
      <c r="AL119" s="45"/>
      <c r="AM119" s="45"/>
      <c r="AN119" s="45"/>
      <c r="AO119" s="45"/>
      <c r="AP119" s="45"/>
      <c r="AQ119" s="45"/>
      <c r="AR119" s="45"/>
      <c r="AS119" s="45"/>
      <c r="AT119" s="45"/>
      <c r="AU119" s="45"/>
      <c r="AV119" s="45"/>
      <c r="AW119" s="45"/>
      <c r="AX119" s="45"/>
      <c r="AY119" s="45"/>
      <c r="AZ119" s="45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Q119" s="47"/>
      <c r="BR119" s="47"/>
      <c r="BS119" s="88"/>
      <c r="BT119" s="88"/>
      <c r="BU119" s="88"/>
      <c r="BV119" s="88"/>
      <c r="BW119" s="88"/>
      <c r="BX119" s="88"/>
      <c r="BY119" s="88"/>
      <c r="BZ119" s="88"/>
      <c r="CA119" s="88"/>
      <c r="CB119" s="88"/>
      <c r="CC119" s="88"/>
      <c r="CD119" s="90"/>
      <c r="CE119" s="114"/>
      <c r="CF119" s="113"/>
      <c r="CG119" s="113"/>
      <c r="CH119" s="113"/>
      <c r="CI119" s="113"/>
      <c r="CJ119" s="113"/>
      <c r="CK119" s="113"/>
      <c r="CL119" s="113"/>
      <c r="CM119" s="113"/>
      <c r="CN119" s="113"/>
      <c r="CO119" s="113"/>
      <c r="CP119" s="113"/>
      <c r="CQ119" s="113"/>
      <c r="CR119" s="113"/>
      <c r="CS119" s="113"/>
      <c r="CT119" s="113"/>
      <c r="CU119" s="113"/>
      <c r="CV119" s="113"/>
      <c r="CW119" s="113"/>
      <c r="CX119" s="113"/>
      <c r="CY119" s="113"/>
      <c r="CZ119" s="113"/>
      <c r="DA119" s="113"/>
      <c r="DB119" s="113"/>
      <c r="DC119" s="137"/>
      <c r="DD119" s="97"/>
      <c r="DE119" s="97"/>
      <c r="DF119" s="113"/>
      <c r="DG119" s="113"/>
      <c r="DH119" s="113"/>
      <c r="DI119" s="113"/>
      <c r="DJ119" s="113"/>
      <c r="DK119" s="113"/>
      <c r="DL119" s="113"/>
      <c r="DM119" s="113"/>
      <c r="DN119" s="113"/>
      <c r="DO119" s="113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8"/>
      <c r="EE119" s="34"/>
      <c r="EF119" s="54"/>
      <c r="EG119" s="54"/>
      <c r="EH119" s="54"/>
      <c r="EI119" s="54"/>
      <c r="EJ119" s="54"/>
      <c r="EK119" s="54"/>
      <c r="EL119" s="54"/>
      <c r="EM119" s="55"/>
      <c r="EN119" s="56"/>
      <c r="EO119" s="54"/>
      <c r="EP119" s="54"/>
      <c r="EQ119" s="54"/>
      <c r="ER119" s="54"/>
      <c r="ES119" s="54"/>
      <c r="ET119" s="54"/>
      <c r="EU119" s="25"/>
      <c r="EV119" s="150"/>
      <c r="EW119" s="89"/>
      <c r="EX119" s="88"/>
      <c r="EY119" s="160"/>
    </row>
    <row r="120" spans="1:155" s="65" customFormat="1" ht="14.95" hidden="1" customHeight="1" x14ac:dyDescent="0.25">
      <c r="A120" s="194"/>
      <c r="B120" s="188"/>
      <c r="C120" s="43" t="s">
        <v>88</v>
      </c>
      <c r="D120" s="44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  <c r="AG120" s="45"/>
      <c r="AH120" s="45"/>
      <c r="AI120" s="45"/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  <c r="AT120" s="45"/>
      <c r="AU120" s="45"/>
      <c r="AV120" s="45"/>
      <c r="AW120" s="45"/>
      <c r="AX120" s="45"/>
      <c r="AY120" s="45"/>
      <c r="AZ120" s="45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Q120" s="47"/>
      <c r="BR120" s="47"/>
      <c r="BS120" s="88"/>
      <c r="BT120" s="88"/>
      <c r="BU120" s="88"/>
      <c r="BV120" s="88"/>
      <c r="BW120" s="88"/>
      <c r="BX120" s="88"/>
      <c r="BY120" s="88"/>
      <c r="BZ120" s="88"/>
      <c r="CA120" s="88"/>
      <c r="CB120" s="88"/>
      <c r="CC120" s="88"/>
      <c r="CD120" s="90"/>
      <c r="CE120" s="114"/>
      <c r="CF120" s="113"/>
      <c r="CG120" s="113"/>
      <c r="CH120" s="113"/>
      <c r="CI120" s="113"/>
      <c r="CJ120" s="113"/>
      <c r="CK120" s="113"/>
      <c r="CL120" s="113"/>
      <c r="CM120" s="113"/>
      <c r="CN120" s="113"/>
      <c r="CO120" s="113"/>
      <c r="CP120" s="113"/>
      <c r="CQ120" s="113"/>
      <c r="CR120" s="113"/>
      <c r="CS120" s="113"/>
      <c r="CT120" s="113"/>
      <c r="CU120" s="113"/>
      <c r="CV120" s="113"/>
      <c r="CW120" s="113"/>
      <c r="CX120" s="113"/>
      <c r="CY120" s="113"/>
      <c r="CZ120" s="113"/>
      <c r="DA120" s="113"/>
      <c r="DB120" s="113"/>
      <c r="DC120" s="137"/>
      <c r="DD120" s="113"/>
      <c r="DE120" s="113"/>
      <c r="DF120" s="113"/>
      <c r="DG120" s="113"/>
      <c r="DH120" s="113"/>
      <c r="DI120" s="113"/>
      <c r="DJ120" s="113"/>
      <c r="DK120" s="113"/>
      <c r="DL120" s="113"/>
      <c r="DM120" s="113"/>
      <c r="DN120" s="113"/>
      <c r="DO120" s="113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8"/>
      <c r="EE120" s="34"/>
      <c r="EF120" s="54"/>
      <c r="EG120" s="54"/>
      <c r="EH120" s="54"/>
      <c r="EI120" s="54"/>
      <c r="EJ120" s="54"/>
      <c r="EK120" s="54"/>
      <c r="EL120" s="54"/>
      <c r="EM120" s="55"/>
      <c r="EN120" s="56"/>
      <c r="EO120" s="54"/>
      <c r="EP120" s="54"/>
      <c r="EQ120" s="54"/>
      <c r="ER120" s="54"/>
      <c r="ES120" s="25"/>
      <c r="ET120" s="25"/>
      <c r="EU120" s="25"/>
      <c r="EV120" s="150"/>
      <c r="EW120" s="89"/>
      <c r="EX120" s="88"/>
      <c r="EY120" s="160"/>
    </row>
    <row r="121" spans="1:155" s="65" customFormat="1" ht="14.95" hidden="1" customHeight="1" x14ac:dyDescent="0.25">
      <c r="A121" s="194"/>
      <c r="B121" s="188" t="s">
        <v>67</v>
      </c>
      <c r="C121" s="43" t="s">
        <v>89</v>
      </c>
      <c r="D121" s="44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  <c r="AU121" s="45"/>
      <c r="AV121" s="45"/>
      <c r="AW121" s="45"/>
      <c r="AX121" s="45"/>
      <c r="AY121" s="45"/>
      <c r="AZ121" s="45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Q121" s="47"/>
      <c r="BR121" s="47"/>
      <c r="BS121" s="88"/>
      <c r="BT121" s="88"/>
      <c r="BU121" s="88"/>
      <c r="BV121" s="88"/>
      <c r="BW121" s="88"/>
      <c r="BX121" s="88"/>
      <c r="BY121" s="88"/>
      <c r="BZ121" s="88"/>
      <c r="CA121" s="88"/>
      <c r="CB121" s="88"/>
      <c r="CC121" s="88"/>
      <c r="CD121" s="90"/>
      <c r="CE121" s="114"/>
      <c r="CF121" s="113"/>
      <c r="CG121" s="113"/>
      <c r="CH121" s="113"/>
      <c r="CI121" s="113"/>
      <c r="CJ121" s="113"/>
      <c r="CK121" s="113"/>
      <c r="CL121" s="113"/>
      <c r="CM121" s="113"/>
      <c r="CN121" s="113"/>
      <c r="CO121" s="113"/>
      <c r="CP121" s="113"/>
      <c r="CQ121" s="113"/>
      <c r="CR121" s="113"/>
      <c r="CS121" s="113"/>
      <c r="CT121" s="113"/>
      <c r="CU121" s="113"/>
      <c r="CV121" s="113"/>
      <c r="CW121" s="113"/>
      <c r="CX121" s="113"/>
      <c r="CY121" s="113"/>
      <c r="CZ121" s="113"/>
      <c r="DA121" s="113"/>
      <c r="DB121" s="113"/>
      <c r="DC121" s="137"/>
      <c r="DD121" s="113"/>
      <c r="DE121" s="113"/>
      <c r="DF121" s="113"/>
      <c r="DG121" s="113"/>
      <c r="DH121" s="113"/>
      <c r="DI121" s="113"/>
      <c r="DJ121" s="113"/>
      <c r="DK121" s="113"/>
      <c r="DL121" s="113"/>
      <c r="DM121" s="113"/>
      <c r="DN121" s="113"/>
      <c r="DO121" s="113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8"/>
      <c r="EE121" s="34"/>
      <c r="EF121" s="54"/>
      <c r="EG121" s="54"/>
      <c r="EH121" s="54"/>
      <c r="EI121" s="54"/>
      <c r="EJ121" s="54"/>
      <c r="EK121" s="54"/>
      <c r="EL121" s="54"/>
      <c r="EM121" s="55"/>
      <c r="EN121" s="56"/>
      <c r="EO121" s="54"/>
      <c r="EP121" s="54"/>
      <c r="EQ121" s="54"/>
      <c r="ER121" s="54"/>
      <c r="ES121" s="25"/>
      <c r="ET121" s="25"/>
      <c r="EU121" s="25"/>
      <c r="EV121" s="150"/>
      <c r="EW121" s="89"/>
      <c r="EX121" s="88"/>
      <c r="EY121" s="160"/>
    </row>
    <row r="122" spans="1:155" s="65" customFormat="1" ht="31.75" hidden="1" customHeight="1" x14ac:dyDescent="0.25">
      <c r="A122" s="194"/>
      <c r="B122" s="188"/>
      <c r="C122" s="43" t="s">
        <v>90</v>
      </c>
      <c r="D122" s="44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  <c r="AU122" s="45"/>
      <c r="AV122" s="45"/>
      <c r="AW122" s="45"/>
      <c r="AX122" s="45"/>
      <c r="AY122" s="45"/>
      <c r="AZ122" s="45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Q122" s="47"/>
      <c r="BR122" s="47"/>
      <c r="BS122" s="88"/>
      <c r="BT122" s="88"/>
      <c r="BU122" s="88"/>
      <c r="BV122" s="88"/>
      <c r="BW122" s="88"/>
      <c r="BX122" s="88"/>
      <c r="BY122" s="88"/>
      <c r="BZ122" s="88"/>
      <c r="CA122" s="88"/>
      <c r="CB122" s="88"/>
      <c r="CC122" s="88"/>
      <c r="CD122" s="90"/>
      <c r="CE122" s="114"/>
      <c r="CF122" s="113"/>
      <c r="CG122" s="113"/>
      <c r="CH122" s="113"/>
      <c r="CI122" s="113"/>
      <c r="CJ122" s="113"/>
      <c r="CK122" s="113"/>
      <c r="CL122" s="113"/>
      <c r="CM122" s="113"/>
      <c r="CN122" s="113"/>
      <c r="CO122" s="113"/>
      <c r="CP122" s="113"/>
      <c r="CQ122" s="113"/>
      <c r="CR122" s="113"/>
      <c r="CS122" s="113"/>
      <c r="CT122" s="113"/>
      <c r="CU122" s="113"/>
      <c r="CV122" s="113"/>
      <c r="CW122" s="113"/>
      <c r="CX122" s="113"/>
      <c r="CY122" s="113"/>
      <c r="CZ122" s="113"/>
      <c r="DA122" s="113"/>
      <c r="DB122" s="113"/>
      <c r="DC122" s="137"/>
      <c r="DD122" s="113"/>
      <c r="DE122" s="113"/>
      <c r="DF122" s="113"/>
      <c r="DG122" s="113"/>
      <c r="DH122" s="113"/>
      <c r="DI122" s="113"/>
      <c r="DJ122" s="113"/>
      <c r="DK122" s="113"/>
      <c r="DL122" s="113"/>
      <c r="DM122" s="113"/>
      <c r="DN122" s="113"/>
      <c r="DO122" s="113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8"/>
      <c r="EE122" s="34"/>
      <c r="EF122" s="25"/>
      <c r="EG122" s="25"/>
      <c r="EH122" s="25"/>
      <c r="EI122" s="25"/>
      <c r="EJ122" s="25"/>
      <c r="EK122" s="25"/>
      <c r="EL122" s="25"/>
      <c r="EM122" s="28"/>
      <c r="EN122" s="71"/>
      <c r="EO122" s="54"/>
      <c r="EP122" s="54"/>
      <c r="EQ122" s="54"/>
      <c r="ER122" s="54"/>
      <c r="ES122" s="54"/>
      <c r="ET122" s="25"/>
      <c r="EU122" s="25"/>
      <c r="EV122" s="150"/>
      <c r="EW122" s="89"/>
      <c r="EX122" s="88"/>
      <c r="EY122" s="160"/>
    </row>
    <row r="123" spans="1:155" s="65" customFormat="1" ht="14.95" hidden="1" customHeight="1" x14ac:dyDescent="0.25">
      <c r="A123" s="194"/>
      <c r="B123" s="188"/>
      <c r="C123" s="43" t="s">
        <v>91</v>
      </c>
      <c r="D123" s="44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  <c r="AG123" s="45"/>
      <c r="AH123" s="45"/>
      <c r="AI123" s="45"/>
      <c r="AJ123" s="45"/>
      <c r="AK123" s="45"/>
      <c r="AL123" s="45"/>
      <c r="AM123" s="45"/>
      <c r="AN123" s="45"/>
      <c r="AO123" s="45"/>
      <c r="AP123" s="45"/>
      <c r="AQ123" s="45"/>
      <c r="AR123" s="45"/>
      <c r="AS123" s="45"/>
      <c r="AT123" s="45"/>
      <c r="AU123" s="45"/>
      <c r="AV123" s="45"/>
      <c r="AW123" s="45"/>
      <c r="AX123" s="45"/>
      <c r="AY123" s="45"/>
      <c r="AZ123" s="45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Q123" s="47"/>
      <c r="BR123" s="47"/>
      <c r="BS123" s="88"/>
      <c r="BT123" s="88"/>
      <c r="BU123" s="88"/>
      <c r="BV123" s="88"/>
      <c r="BW123" s="88"/>
      <c r="BX123" s="88"/>
      <c r="BY123" s="88"/>
      <c r="BZ123" s="88"/>
      <c r="CA123" s="88"/>
      <c r="CB123" s="88"/>
      <c r="CC123" s="88"/>
      <c r="CD123" s="90"/>
      <c r="CE123" s="114"/>
      <c r="CF123" s="113"/>
      <c r="CG123" s="113"/>
      <c r="CH123" s="113"/>
      <c r="CI123" s="113"/>
      <c r="CJ123" s="113"/>
      <c r="CK123" s="113"/>
      <c r="CL123" s="113"/>
      <c r="CM123" s="113"/>
      <c r="CN123" s="113"/>
      <c r="CO123" s="113"/>
      <c r="CP123" s="113"/>
      <c r="CQ123" s="113"/>
      <c r="CR123" s="113"/>
      <c r="CS123" s="113"/>
      <c r="CT123" s="113"/>
      <c r="CU123" s="113"/>
      <c r="CV123" s="113"/>
      <c r="CW123" s="113"/>
      <c r="CX123" s="113"/>
      <c r="CY123" s="113"/>
      <c r="CZ123" s="113"/>
      <c r="DA123" s="113"/>
      <c r="DB123" s="113"/>
      <c r="DC123" s="137"/>
      <c r="DD123" s="113"/>
      <c r="DE123" s="113"/>
      <c r="DF123" s="113"/>
      <c r="DG123" s="113"/>
      <c r="DH123" s="113"/>
      <c r="DI123" s="113"/>
      <c r="DJ123" s="113"/>
      <c r="DK123" s="113"/>
      <c r="DL123" s="113"/>
      <c r="DM123" s="113"/>
      <c r="DN123" s="113"/>
      <c r="DO123" s="113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8"/>
      <c r="EE123" s="34"/>
      <c r="EF123" s="25"/>
      <c r="EG123" s="25"/>
      <c r="EH123" s="25"/>
      <c r="EI123" s="25"/>
      <c r="EJ123" s="25"/>
      <c r="EK123" s="25"/>
      <c r="EL123" s="25"/>
      <c r="EM123" s="28"/>
      <c r="EN123" s="71"/>
      <c r="EO123" s="54"/>
      <c r="EP123" s="54"/>
      <c r="EQ123" s="54"/>
      <c r="ER123" s="54"/>
      <c r="ES123" s="54"/>
      <c r="ET123" s="25"/>
      <c r="EU123" s="25"/>
      <c r="EV123" s="150"/>
      <c r="EW123" s="89"/>
      <c r="EX123" s="88"/>
      <c r="EY123" s="160"/>
    </row>
    <row r="124" spans="1:155" s="65" customFormat="1" ht="14.95" hidden="1" customHeight="1" x14ac:dyDescent="0.25">
      <c r="A124" s="194"/>
      <c r="B124" s="188"/>
      <c r="C124" s="43" t="s">
        <v>92</v>
      </c>
      <c r="D124" s="44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  <c r="AG124" s="45"/>
      <c r="AH124" s="45"/>
      <c r="AI124" s="45"/>
      <c r="AJ124" s="45"/>
      <c r="AK124" s="45"/>
      <c r="AL124" s="45"/>
      <c r="AM124" s="45"/>
      <c r="AN124" s="45"/>
      <c r="AO124" s="45"/>
      <c r="AP124" s="45"/>
      <c r="AQ124" s="45"/>
      <c r="AR124" s="45"/>
      <c r="AS124" s="45"/>
      <c r="AT124" s="45"/>
      <c r="AU124" s="45"/>
      <c r="AV124" s="45"/>
      <c r="AW124" s="45"/>
      <c r="AX124" s="45"/>
      <c r="AY124" s="45"/>
      <c r="AZ124" s="45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Q124" s="47"/>
      <c r="BR124" s="47"/>
      <c r="BS124" s="88"/>
      <c r="BT124" s="88"/>
      <c r="BU124" s="88"/>
      <c r="BV124" s="88"/>
      <c r="BW124" s="88"/>
      <c r="BX124" s="88"/>
      <c r="BY124" s="88"/>
      <c r="BZ124" s="88"/>
      <c r="CA124" s="88"/>
      <c r="CB124" s="88"/>
      <c r="CC124" s="88"/>
      <c r="CD124" s="90"/>
      <c r="CE124" s="114"/>
      <c r="CF124" s="113"/>
      <c r="CG124" s="113"/>
      <c r="CH124" s="113"/>
      <c r="CI124" s="113"/>
      <c r="CJ124" s="113"/>
      <c r="CK124" s="113"/>
      <c r="CL124" s="113"/>
      <c r="CM124" s="113"/>
      <c r="CN124" s="113"/>
      <c r="CO124" s="113"/>
      <c r="CP124" s="113"/>
      <c r="CQ124" s="113"/>
      <c r="CR124" s="113"/>
      <c r="CS124" s="113"/>
      <c r="CT124" s="113"/>
      <c r="CU124" s="113"/>
      <c r="CV124" s="113"/>
      <c r="CW124" s="113"/>
      <c r="CX124" s="113"/>
      <c r="CY124" s="113"/>
      <c r="CZ124" s="113"/>
      <c r="DA124" s="113"/>
      <c r="DB124" s="113"/>
      <c r="DC124" s="137"/>
      <c r="DD124" s="113"/>
      <c r="DE124" s="113"/>
      <c r="DF124" s="113"/>
      <c r="DG124" s="113"/>
      <c r="DH124" s="113"/>
      <c r="DI124" s="113"/>
      <c r="DJ124" s="113"/>
      <c r="DK124" s="113"/>
      <c r="DL124" s="113"/>
      <c r="DM124" s="113"/>
      <c r="DN124" s="113"/>
      <c r="DO124" s="113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8"/>
      <c r="EE124" s="34"/>
      <c r="EF124" s="25"/>
      <c r="EG124" s="25"/>
      <c r="EH124" s="25"/>
      <c r="EI124" s="25"/>
      <c r="EJ124" s="25"/>
      <c r="EK124" s="25"/>
      <c r="EL124" s="25"/>
      <c r="EM124" s="28"/>
      <c r="EN124" s="71"/>
      <c r="EO124" s="54"/>
      <c r="EP124" s="54"/>
      <c r="EQ124" s="54"/>
      <c r="ER124" s="54"/>
      <c r="ES124" s="54"/>
      <c r="ET124" s="25"/>
      <c r="EU124" s="25"/>
      <c r="EV124" s="150"/>
      <c r="EW124" s="89"/>
      <c r="EX124" s="88"/>
      <c r="EY124" s="160"/>
    </row>
    <row r="125" spans="1:155" s="65" customFormat="1" ht="14.95" hidden="1" customHeight="1" x14ac:dyDescent="0.25">
      <c r="A125" s="194"/>
      <c r="B125" s="188"/>
      <c r="C125" s="43" t="s">
        <v>93</v>
      </c>
      <c r="D125" s="44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  <c r="AG125" s="45"/>
      <c r="AH125" s="45"/>
      <c r="AI125" s="45"/>
      <c r="AJ125" s="45"/>
      <c r="AK125" s="45"/>
      <c r="AL125" s="45"/>
      <c r="AM125" s="45"/>
      <c r="AN125" s="45"/>
      <c r="AO125" s="45"/>
      <c r="AP125" s="45"/>
      <c r="AQ125" s="45"/>
      <c r="AR125" s="45"/>
      <c r="AS125" s="45"/>
      <c r="AT125" s="45"/>
      <c r="AU125" s="45"/>
      <c r="AV125" s="45"/>
      <c r="AW125" s="45"/>
      <c r="AX125" s="45"/>
      <c r="AY125" s="45"/>
      <c r="AZ125" s="45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Q125" s="47"/>
      <c r="BR125" s="47"/>
      <c r="BS125" s="88"/>
      <c r="BT125" s="88"/>
      <c r="BU125" s="88"/>
      <c r="BV125" s="88"/>
      <c r="BW125" s="88"/>
      <c r="BX125" s="88"/>
      <c r="BY125" s="88"/>
      <c r="BZ125" s="88"/>
      <c r="CA125" s="88"/>
      <c r="CB125" s="88"/>
      <c r="CC125" s="88"/>
      <c r="CD125" s="90"/>
      <c r="CE125" s="114"/>
      <c r="CF125" s="113"/>
      <c r="CG125" s="113"/>
      <c r="CH125" s="113"/>
      <c r="CI125" s="113"/>
      <c r="CJ125" s="113"/>
      <c r="CK125" s="113"/>
      <c r="CL125" s="113"/>
      <c r="CM125" s="113"/>
      <c r="CN125" s="113"/>
      <c r="CO125" s="113"/>
      <c r="CP125" s="113"/>
      <c r="CQ125" s="113"/>
      <c r="CR125" s="113"/>
      <c r="CS125" s="113"/>
      <c r="CT125" s="113"/>
      <c r="CU125" s="113"/>
      <c r="CV125" s="113"/>
      <c r="CW125" s="113"/>
      <c r="CX125" s="113"/>
      <c r="CY125" s="113"/>
      <c r="CZ125" s="113"/>
      <c r="DA125" s="113"/>
      <c r="DB125" s="113"/>
      <c r="DC125" s="137"/>
      <c r="DD125" s="113"/>
      <c r="DE125" s="113"/>
      <c r="DF125" s="113"/>
      <c r="DG125" s="113"/>
      <c r="DH125" s="113"/>
      <c r="DI125" s="113"/>
      <c r="DJ125" s="113"/>
      <c r="DK125" s="113"/>
      <c r="DL125" s="113"/>
      <c r="DM125" s="113"/>
      <c r="DN125" s="113"/>
      <c r="DO125" s="113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8"/>
      <c r="EE125" s="34"/>
      <c r="EF125" s="25"/>
      <c r="EG125" s="25"/>
      <c r="EH125" s="25"/>
      <c r="EI125" s="25"/>
      <c r="EJ125" s="25"/>
      <c r="EK125" s="25"/>
      <c r="EL125" s="25"/>
      <c r="EM125" s="28"/>
      <c r="EN125" s="71"/>
      <c r="EO125" s="54"/>
      <c r="EP125" s="54"/>
      <c r="EQ125" s="54"/>
      <c r="ER125" s="54"/>
      <c r="ES125" s="54"/>
      <c r="ET125" s="25"/>
      <c r="EU125" s="25"/>
      <c r="EV125" s="150"/>
      <c r="EW125" s="89"/>
      <c r="EX125" s="88"/>
      <c r="EY125" s="160"/>
    </row>
    <row r="126" spans="1:155" s="65" customFormat="1" ht="14.95" hidden="1" customHeight="1" x14ac:dyDescent="0.25">
      <c r="A126" s="194"/>
      <c r="B126" s="188"/>
      <c r="C126" s="43" t="s">
        <v>94</v>
      </c>
      <c r="D126" s="44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  <c r="AG126" s="45"/>
      <c r="AH126" s="45"/>
      <c r="AI126" s="45"/>
      <c r="AJ126" s="45"/>
      <c r="AK126" s="45"/>
      <c r="AL126" s="45"/>
      <c r="AM126" s="45"/>
      <c r="AN126" s="45"/>
      <c r="AO126" s="45"/>
      <c r="AP126" s="45"/>
      <c r="AQ126" s="45"/>
      <c r="AR126" s="45"/>
      <c r="AS126" s="45"/>
      <c r="AT126" s="45"/>
      <c r="AU126" s="45"/>
      <c r="AV126" s="45"/>
      <c r="AW126" s="45"/>
      <c r="AX126" s="45"/>
      <c r="AY126" s="45"/>
      <c r="AZ126" s="45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Q126" s="47"/>
      <c r="BR126" s="47"/>
      <c r="BS126" s="88"/>
      <c r="BT126" s="88"/>
      <c r="BU126" s="88"/>
      <c r="BV126" s="88"/>
      <c r="BW126" s="88"/>
      <c r="BX126" s="88"/>
      <c r="BY126" s="88"/>
      <c r="BZ126" s="88"/>
      <c r="CA126" s="88"/>
      <c r="CB126" s="88"/>
      <c r="CC126" s="88"/>
      <c r="CD126" s="90"/>
      <c r="CE126" s="114"/>
      <c r="CF126" s="113"/>
      <c r="CG126" s="113"/>
      <c r="CH126" s="113"/>
      <c r="CI126" s="113"/>
      <c r="CJ126" s="113"/>
      <c r="CK126" s="113"/>
      <c r="CL126" s="113"/>
      <c r="CM126" s="113"/>
      <c r="CN126" s="113"/>
      <c r="CO126" s="113"/>
      <c r="CP126" s="113"/>
      <c r="CQ126" s="113"/>
      <c r="CR126" s="113"/>
      <c r="CS126" s="113"/>
      <c r="CT126" s="113"/>
      <c r="CU126" s="113"/>
      <c r="CV126" s="113"/>
      <c r="CW126" s="113"/>
      <c r="CX126" s="113"/>
      <c r="CY126" s="113"/>
      <c r="CZ126" s="113"/>
      <c r="DA126" s="113"/>
      <c r="DB126" s="113"/>
      <c r="DC126" s="137"/>
      <c r="DD126" s="113"/>
      <c r="DE126" s="113"/>
      <c r="DF126" s="113"/>
      <c r="DG126" s="113"/>
      <c r="DH126" s="113"/>
      <c r="DI126" s="113"/>
      <c r="DJ126" s="113"/>
      <c r="DK126" s="113"/>
      <c r="DL126" s="113"/>
      <c r="DM126" s="113"/>
      <c r="DN126" s="113"/>
      <c r="DO126" s="113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8"/>
      <c r="EE126" s="34"/>
      <c r="EF126" s="25"/>
      <c r="EG126" s="25"/>
      <c r="EH126" s="25"/>
      <c r="EI126" s="25"/>
      <c r="EJ126" s="25"/>
      <c r="EK126" s="25"/>
      <c r="EL126" s="25"/>
      <c r="EM126" s="28"/>
      <c r="EN126" s="71"/>
      <c r="EO126" s="54"/>
      <c r="EP126" s="54"/>
      <c r="EQ126" s="54"/>
      <c r="ER126" s="54"/>
      <c r="ES126" s="54"/>
      <c r="ET126" s="25"/>
      <c r="EU126" s="25"/>
      <c r="EV126" s="150"/>
      <c r="EW126" s="89"/>
      <c r="EX126" s="88"/>
      <c r="EY126" s="160"/>
    </row>
    <row r="127" spans="1:155" s="65" customFormat="1" ht="14.95" hidden="1" customHeight="1" x14ac:dyDescent="0.25">
      <c r="A127" s="194"/>
      <c r="B127" s="188"/>
      <c r="C127" s="43" t="s">
        <v>95</v>
      </c>
      <c r="D127" s="44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  <c r="AU127" s="45"/>
      <c r="AV127" s="45"/>
      <c r="AW127" s="45"/>
      <c r="AX127" s="45"/>
      <c r="AY127" s="45"/>
      <c r="AZ127" s="45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Q127" s="47"/>
      <c r="BR127" s="47"/>
      <c r="BS127" s="88"/>
      <c r="BT127" s="88"/>
      <c r="BU127" s="88"/>
      <c r="BV127" s="88"/>
      <c r="BW127" s="88"/>
      <c r="BX127" s="88"/>
      <c r="BY127" s="88"/>
      <c r="BZ127" s="88"/>
      <c r="CA127" s="88"/>
      <c r="CB127" s="88"/>
      <c r="CC127" s="88"/>
      <c r="CD127" s="90"/>
      <c r="CE127" s="114"/>
      <c r="CF127" s="113"/>
      <c r="CG127" s="113"/>
      <c r="CH127" s="113"/>
      <c r="CI127" s="113"/>
      <c r="CJ127" s="113"/>
      <c r="CK127" s="113"/>
      <c r="CL127" s="113"/>
      <c r="CM127" s="113"/>
      <c r="CN127" s="113"/>
      <c r="CO127" s="113"/>
      <c r="CP127" s="113"/>
      <c r="CQ127" s="113"/>
      <c r="CR127" s="113"/>
      <c r="CS127" s="113"/>
      <c r="CT127" s="113"/>
      <c r="CU127" s="113"/>
      <c r="CV127" s="113"/>
      <c r="CW127" s="113"/>
      <c r="CX127" s="113"/>
      <c r="CY127" s="113"/>
      <c r="CZ127" s="113"/>
      <c r="DA127" s="113"/>
      <c r="DB127" s="113"/>
      <c r="DC127" s="137"/>
      <c r="DD127" s="113"/>
      <c r="DE127" s="113"/>
      <c r="DF127" s="113"/>
      <c r="DG127" s="113"/>
      <c r="DH127" s="113"/>
      <c r="DI127" s="113"/>
      <c r="DJ127" s="113"/>
      <c r="DK127" s="113"/>
      <c r="DL127" s="113"/>
      <c r="DM127" s="113"/>
      <c r="DN127" s="113"/>
      <c r="DO127" s="113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8"/>
      <c r="EE127" s="34"/>
      <c r="EF127" s="25"/>
      <c r="EG127" s="25"/>
      <c r="EH127" s="25"/>
      <c r="EI127" s="25"/>
      <c r="EJ127" s="25"/>
      <c r="EK127" s="25"/>
      <c r="EL127" s="25"/>
      <c r="EM127" s="28"/>
      <c r="EN127" s="71"/>
      <c r="EO127" s="54"/>
      <c r="EP127" s="54"/>
      <c r="EQ127" s="54"/>
      <c r="ER127" s="54"/>
      <c r="ES127" s="54"/>
      <c r="ET127" s="25"/>
      <c r="EU127" s="25"/>
      <c r="EV127" s="150"/>
      <c r="EW127" s="89"/>
      <c r="EX127" s="88"/>
      <c r="EY127" s="160"/>
    </row>
    <row r="128" spans="1:155" s="65" customFormat="1" ht="32.450000000000003" hidden="1" customHeight="1" x14ac:dyDescent="0.25">
      <c r="A128" s="194"/>
      <c r="B128" s="188"/>
      <c r="C128" s="43" t="s">
        <v>96</v>
      </c>
      <c r="D128" s="44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  <c r="AG128" s="45"/>
      <c r="AH128" s="45"/>
      <c r="AI128" s="45"/>
      <c r="AJ128" s="45"/>
      <c r="AK128" s="45"/>
      <c r="AL128" s="45"/>
      <c r="AM128" s="45"/>
      <c r="AN128" s="45"/>
      <c r="AO128" s="45"/>
      <c r="AP128" s="45"/>
      <c r="AQ128" s="45"/>
      <c r="AR128" s="45"/>
      <c r="AS128" s="45"/>
      <c r="AT128" s="45"/>
      <c r="AU128" s="45"/>
      <c r="AV128" s="45"/>
      <c r="AW128" s="45"/>
      <c r="AX128" s="45"/>
      <c r="AY128" s="45"/>
      <c r="AZ128" s="45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Q128" s="47"/>
      <c r="BR128" s="47"/>
      <c r="BS128" s="88"/>
      <c r="BT128" s="88"/>
      <c r="BU128" s="88"/>
      <c r="BV128" s="88"/>
      <c r="BW128" s="88"/>
      <c r="BX128" s="88"/>
      <c r="BY128" s="88"/>
      <c r="BZ128" s="88"/>
      <c r="CA128" s="88"/>
      <c r="CB128" s="88"/>
      <c r="CC128" s="88"/>
      <c r="CD128" s="90"/>
      <c r="CE128" s="114"/>
      <c r="CF128" s="113"/>
      <c r="CG128" s="113"/>
      <c r="CH128" s="113"/>
      <c r="CI128" s="113"/>
      <c r="CJ128" s="113"/>
      <c r="CK128" s="113"/>
      <c r="CL128" s="113"/>
      <c r="CM128" s="113"/>
      <c r="CN128" s="113"/>
      <c r="CO128" s="113"/>
      <c r="CP128" s="113"/>
      <c r="CQ128" s="113"/>
      <c r="CR128" s="113"/>
      <c r="CS128" s="113"/>
      <c r="CT128" s="113"/>
      <c r="CU128" s="113"/>
      <c r="CV128" s="113"/>
      <c r="CW128" s="113"/>
      <c r="CX128" s="113"/>
      <c r="CY128" s="113"/>
      <c r="CZ128" s="113"/>
      <c r="DA128" s="113"/>
      <c r="DB128" s="113"/>
      <c r="DC128" s="137"/>
      <c r="DD128" s="113"/>
      <c r="DE128" s="113"/>
      <c r="DF128" s="113"/>
      <c r="DG128" s="113"/>
      <c r="DH128" s="113"/>
      <c r="DI128" s="113"/>
      <c r="DJ128" s="113"/>
      <c r="DK128" s="113"/>
      <c r="DL128" s="113"/>
      <c r="DM128" s="113"/>
      <c r="DN128" s="113"/>
      <c r="DO128" s="113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8"/>
      <c r="EE128" s="34"/>
      <c r="EF128" s="25"/>
      <c r="EG128" s="25"/>
      <c r="EH128" s="25"/>
      <c r="EI128" s="25"/>
      <c r="EJ128" s="25"/>
      <c r="EK128" s="25"/>
      <c r="EL128" s="25"/>
      <c r="EM128" s="28"/>
      <c r="EN128" s="71"/>
      <c r="EO128" s="54"/>
      <c r="EP128" s="54"/>
      <c r="EQ128" s="54"/>
      <c r="ER128" s="54"/>
      <c r="ES128" s="54"/>
      <c r="ET128" s="25"/>
      <c r="EU128" s="25"/>
      <c r="EV128" s="150"/>
      <c r="EW128" s="89"/>
      <c r="EX128" s="88"/>
      <c r="EY128" s="160"/>
    </row>
    <row r="129" spans="1:155" s="65" customFormat="1" ht="14.95" hidden="1" customHeight="1" x14ac:dyDescent="0.25">
      <c r="A129" s="194"/>
      <c r="B129" s="188"/>
      <c r="C129" s="43" t="s">
        <v>97</v>
      </c>
      <c r="D129" s="44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45"/>
      <c r="AJ129" s="45"/>
      <c r="AK129" s="45"/>
      <c r="AL129" s="45"/>
      <c r="AM129" s="45"/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Q129" s="47"/>
      <c r="BR129" s="47"/>
      <c r="BS129" s="88"/>
      <c r="BT129" s="88"/>
      <c r="BU129" s="88"/>
      <c r="BV129" s="88"/>
      <c r="BW129" s="88"/>
      <c r="BX129" s="88"/>
      <c r="BY129" s="88"/>
      <c r="BZ129" s="88"/>
      <c r="CA129" s="88"/>
      <c r="CB129" s="88"/>
      <c r="CC129" s="88"/>
      <c r="CD129" s="90"/>
      <c r="CE129" s="114"/>
      <c r="CF129" s="113"/>
      <c r="CG129" s="113"/>
      <c r="CH129" s="113"/>
      <c r="CI129" s="113"/>
      <c r="CJ129" s="113"/>
      <c r="CK129" s="113"/>
      <c r="CL129" s="113"/>
      <c r="CM129" s="113"/>
      <c r="CN129" s="113"/>
      <c r="CO129" s="113"/>
      <c r="CP129" s="113"/>
      <c r="CQ129" s="113"/>
      <c r="CR129" s="113"/>
      <c r="CS129" s="113"/>
      <c r="CT129" s="113"/>
      <c r="CU129" s="113"/>
      <c r="CV129" s="113"/>
      <c r="CW129" s="113"/>
      <c r="CX129" s="113"/>
      <c r="CY129" s="113"/>
      <c r="CZ129" s="113"/>
      <c r="DA129" s="113"/>
      <c r="DB129" s="113"/>
      <c r="DC129" s="137"/>
      <c r="DD129" s="113"/>
      <c r="DE129" s="113"/>
      <c r="DF129" s="113"/>
      <c r="DG129" s="113"/>
      <c r="DH129" s="113"/>
      <c r="DI129" s="113"/>
      <c r="DJ129" s="113"/>
      <c r="DK129" s="113"/>
      <c r="DL129" s="113"/>
      <c r="DM129" s="113"/>
      <c r="DN129" s="113"/>
      <c r="DO129" s="113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8"/>
      <c r="EE129" s="34"/>
      <c r="EF129" s="25"/>
      <c r="EG129" s="25"/>
      <c r="EH129" s="25"/>
      <c r="EI129" s="25"/>
      <c r="EJ129" s="25"/>
      <c r="EK129" s="25"/>
      <c r="EL129" s="25"/>
      <c r="EM129" s="28"/>
      <c r="EN129" s="71"/>
      <c r="EO129" s="54"/>
      <c r="EP129" s="54"/>
      <c r="EQ129" s="54"/>
      <c r="ER129" s="54"/>
      <c r="ES129" s="54"/>
      <c r="ET129" s="25"/>
      <c r="EU129" s="25"/>
      <c r="EV129" s="150"/>
      <c r="EW129" s="89"/>
      <c r="EX129" s="88"/>
      <c r="EY129" s="160"/>
    </row>
    <row r="130" spans="1:155" s="65" customFormat="1" ht="26.35" hidden="1" customHeight="1" x14ac:dyDescent="0.25">
      <c r="A130" s="194"/>
      <c r="B130" s="188"/>
      <c r="C130" s="43" t="s">
        <v>98</v>
      </c>
      <c r="D130" s="44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  <c r="AG130" s="45"/>
      <c r="AH130" s="45"/>
      <c r="AI130" s="45"/>
      <c r="AJ130" s="45"/>
      <c r="AK130" s="45"/>
      <c r="AL130" s="45"/>
      <c r="AM130" s="45"/>
      <c r="AN130" s="45"/>
      <c r="AO130" s="45"/>
      <c r="AP130" s="45"/>
      <c r="AQ130" s="45"/>
      <c r="AR130" s="45"/>
      <c r="AS130" s="45"/>
      <c r="AT130" s="45"/>
      <c r="AU130" s="45"/>
      <c r="AV130" s="45"/>
      <c r="AW130" s="45"/>
      <c r="AX130" s="45"/>
      <c r="AY130" s="45"/>
      <c r="AZ130" s="45"/>
      <c r="BA130" s="47"/>
      <c r="BB130" s="47"/>
      <c r="BC130" s="47"/>
      <c r="BD130" s="47"/>
      <c r="BE130" s="47"/>
      <c r="BF130" s="47"/>
      <c r="BG130" s="47"/>
      <c r="BH130" s="47"/>
      <c r="BI130" s="47"/>
      <c r="BJ130" s="47"/>
      <c r="BK130" s="47"/>
      <c r="BL130" s="47"/>
      <c r="BM130" s="47"/>
      <c r="BN130" s="47"/>
      <c r="BO130" s="47"/>
      <c r="BP130" s="47"/>
      <c r="BQ130" s="47"/>
      <c r="BR130" s="47"/>
      <c r="BS130" s="88"/>
      <c r="BT130" s="88"/>
      <c r="BU130" s="88"/>
      <c r="BV130" s="88"/>
      <c r="BW130" s="88"/>
      <c r="BX130" s="88"/>
      <c r="BY130" s="88"/>
      <c r="BZ130" s="88"/>
      <c r="CA130" s="88"/>
      <c r="CB130" s="88"/>
      <c r="CC130" s="88"/>
      <c r="CD130" s="90"/>
      <c r="CE130" s="114"/>
      <c r="CF130" s="113"/>
      <c r="CG130" s="113"/>
      <c r="CH130" s="113"/>
      <c r="CI130" s="113"/>
      <c r="CJ130" s="113"/>
      <c r="CK130" s="113"/>
      <c r="CL130" s="113"/>
      <c r="CM130" s="113"/>
      <c r="CN130" s="113"/>
      <c r="CO130" s="113"/>
      <c r="CP130" s="113"/>
      <c r="CQ130" s="113"/>
      <c r="CR130" s="113"/>
      <c r="CS130" s="113"/>
      <c r="CT130" s="113"/>
      <c r="CU130" s="113"/>
      <c r="CV130" s="113"/>
      <c r="CW130" s="113"/>
      <c r="CX130" s="113"/>
      <c r="CY130" s="113"/>
      <c r="CZ130" s="113"/>
      <c r="DA130" s="113"/>
      <c r="DB130" s="113"/>
      <c r="DC130" s="137"/>
      <c r="DD130" s="113"/>
      <c r="DE130" s="113"/>
      <c r="DF130" s="113"/>
      <c r="DG130" s="113"/>
      <c r="DH130" s="113"/>
      <c r="DI130" s="113"/>
      <c r="DJ130" s="113"/>
      <c r="DK130" s="113"/>
      <c r="DL130" s="113"/>
      <c r="DM130" s="113"/>
      <c r="DN130" s="113"/>
      <c r="DO130" s="113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8"/>
      <c r="EE130" s="34"/>
      <c r="EF130" s="25"/>
      <c r="EG130" s="25"/>
      <c r="EH130" s="25"/>
      <c r="EI130" s="25"/>
      <c r="EJ130" s="25"/>
      <c r="EK130" s="25"/>
      <c r="EL130" s="25"/>
      <c r="EM130" s="28"/>
      <c r="EN130" s="71"/>
      <c r="EO130" s="54"/>
      <c r="EP130" s="54"/>
      <c r="EQ130" s="54"/>
      <c r="ER130" s="54"/>
      <c r="ES130" s="54"/>
      <c r="ET130" s="25"/>
      <c r="EU130" s="25"/>
      <c r="EV130" s="150"/>
      <c r="EW130" s="89"/>
      <c r="EX130" s="88"/>
      <c r="EY130" s="160"/>
    </row>
    <row r="131" spans="1:155" s="65" customFormat="1" ht="14.95" hidden="1" customHeight="1" x14ac:dyDescent="0.25">
      <c r="A131" s="194"/>
      <c r="B131" s="188"/>
      <c r="C131" s="43" t="s">
        <v>99</v>
      </c>
      <c r="D131" s="44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  <c r="AG131" s="45"/>
      <c r="AH131" s="45"/>
      <c r="AI131" s="45"/>
      <c r="AJ131" s="45"/>
      <c r="AK131" s="45"/>
      <c r="AL131" s="45"/>
      <c r="AM131" s="45"/>
      <c r="AN131" s="45"/>
      <c r="AO131" s="45"/>
      <c r="AP131" s="45"/>
      <c r="AQ131" s="45"/>
      <c r="AR131" s="45"/>
      <c r="AS131" s="45"/>
      <c r="AT131" s="45"/>
      <c r="AU131" s="45"/>
      <c r="AV131" s="45"/>
      <c r="AW131" s="45"/>
      <c r="AX131" s="45"/>
      <c r="AY131" s="45"/>
      <c r="AZ131" s="45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Q131" s="47"/>
      <c r="BR131" s="47"/>
      <c r="BS131" s="88"/>
      <c r="BT131" s="88"/>
      <c r="BU131" s="88"/>
      <c r="BV131" s="88"/>
      <c r="BW131" s="88"/>
      <c r="BX131" s="88"/>
      <c r="BY131" s="88"/>
      <c r="BZ131" s="88"/>
      <c r="CA131" s="88"/>
      <c r="CB131" s="88"/>
      <c r="CC131" s="88"/>
      <c r="CD131" s="90"/>
      <c r="CE131" s="114"/>
      <c r="CF131" s="113"/>
      <c r="CG131" s="113"/>
      <c r="CH131" s="113"/>
      <c r="CI131" s="113"/>
      <c r="CJ131" s="113"/>
      <c r="CK131" s="113"/>
      <c r="CL131" s="113"/>
      <c r="CM131" s="113"/>
      <c r="CN131" s="113"/>
      <c r="CO131" s="113"/>
      <c r="CP131" s="113"/>
      <c r="CQ131" s="113"/>
      <c r="CR131" s="113"/>
      <c r="CS131" s="113"/>
      <c r="CT131" s="113"/>
      <c r="CU131" s="113"/>
      <c r="CV131" s="113"/>
      <c r="CW131" s="113"/>
      <c r="CX131" s="113"/>
      <c r="CY131" s="113"/>
      <c r="CZ131" s="113"/>
      <c r="DA131" s="113"/>
      <c r="DB131" s="113"/>
      <c r="DC131" s="137"/>
      <c r="DD131" s="113"/>
      <c r="DE131" s="113"/>
      <c r="DF131" s="113"/>
      <c r="DG131" s="113"/>
      <c r="DH131" s="113"/>
      <c r="DI131" s="113"/>
      <c r="DJ131" s="113"/>
      <c r="DK131" s="113"/>
      <c r="DL131" s="113"/>
      <c r="DM131" s="113"/>
      <c r="DN131" s="113"/>
      <c r="DO131" s="113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8"/>
      <c r="EE131" s="34"/>
      <c r="EF131" s="25"/>
      <c r="EG131" s="25"/>
      <c r="EH131" s="25"/>
      <c r="EI131" s="25"/>
      <c r="EJ131" s="25"/>
      <c r="EK131" s="25"/>
      <c r="EL131" s="25"/>
      <c r="EM131" s="28"/>
      <c r="EN131" s="71"/>
      <c r="EO131" s="54"/>
      <c r="EP131" s="54"/>
      <c r="EQ131" s="54"/>
      <c r="ER131" s="54"/>
      <c r="ES131" s="54"/>
      <c r="ET131" s="25"/>
      <c r="EU131" s="25"/>
      <c r="EV131" s="150"/>
      <c r="EW131" s="89"/>
      <c r="EX131" s="88"/>
      <c r="EY131" s="160"/>
    </row>
    <row r="132" spans="1:155" s="65" customFormat="1" ht="14.95" hidden="1" customHeight="1" x14ac:dyDescent="0.25">
      <c r="A132" s="194"/>
      <c r="B132" s="188"/>
      <c r="C132" s="43" t="s">
        <v>100</v>
      </c>
      <c r="D132" s="44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  <c r="AG132" s="45"/>
      <c r="AH132" s="45"/>
      <c r="AI132" s="45"/>
      <c r="AJ132" s="45"/>
      <c r="AK132" s="45"/>
      <c r="AL132" s="45"/>
      <c r="AM132" s="45"/>
      <c r="AN132" s="45"/>
      <c r="AO132" s="45"/>
      <c r="AP132" s="45"/>
      <c r="AQ132" s="45"/>
      <c r="AR132" s="45"/>
      <c r="AS132" s="45"/>
      <c r="AT132" s="45"/>
      <c r="AU132" s="45"/>
      <c r="AV132" s="45"/>
      <c r="AW132" s="45"/>
      <c r="AX132" s="45"/>
      <c r="AY132" s="45"/>
      <c r="AZ132" s="45"/>
      <c r="BA132" s="47"/>
      <c r="BB132" s="47"/>
      <c r="BC132" s="47"/>
      <c r="BD132" s="47"/>
      <c r="BE132" s="47"/>
      <c r="BF132" s="47"/>
      <c r="BG132" s="47"/>
      <c r="BH132" s="47"/>
      <c r="BI132" s="47"/>
      <c r="BJ132" s="47"/>
      <c r="BK132" s="47"/>
      <c r="BL132" s="47"/>
      <c r="BM132" s="47"/>
      <c r="BN132" s="47"/>
      <c r="BO132" s="47"/>
      <c r="BP132" s="47"/>
      <c r="BQ132" s="47"/>
      <c r="BR132" s="47"/>
      <c r="BS132" s="88"/>
      <c r="BT132" s="88"/>
      <c r="BU132" s="88"/>
      <c r="BV132" s="88"/>
      <c r="BW132" s="88"/>
      <c r="BX132" s="88"/>
      <c r="BY132" s="88"/>
      <c r="BZ132" s="88"/>
      <c r="CA132" s="88"/>
      <c r="CB132" s="88"/>
      <c r="CC132" s="88"/>
      <c r="CD132" s="90"/>
      <c r="CE132" s="114"/>
      <c r="CF132" s="113"/>
      <c r="CG132" s="113"/>
      <c r="CH132" s="113"/>
      <c r="CI132" s="113"/>
      <c r="CJ132" s="113"/>
      <c r="CK132" s="113"/>
      <c r="CL132" s="113"/>
      <c r="CM132" s="113"/>
      <c r="CN132" s="113"/>
      <c r="CO132" s="113"/>
      <c r="CP132" s="113"/>
      <c r="CQ132" s="113"/>
      <c r="CR132" s="113"/>
      <c r="CS132" s="113"/>
      <c r="CT132" s="113"/>
      <c r="CU132" s="113"/>
      <c r="CV132" s="113"/>
      <c r="CW132" s="113"/>
      <c r="CX132" s="113"/>
      <c r="CY132" s="113"/>
      <c r="CZ132" s="113"/>
      <c r="DA132" s="113"/>
      <c r="DB132" s="113"/>
      <c r="DC132" s="137"/>
      <c r="DD132" s="113"/>
      <c r="DE132" s="113"/>
      <c r="DF132" s="113"/>
      <c r="DG132" s="113"/>
      <c r="DH132" s="113"/>
      <c r="DI132" s="113"/>
      <c r="DJ132" s="113"/>
      <c r="DK132" s="113"/>
      <c r="DL132" s="113"/>
      <c r="DM132" s="113"/>
      <c r="DN132" s="113"/>
      <c r="DO132" s="113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8"/>
      <c r="EE132" s="34"/>
      <c r="EF132" s="25"/>
      <c r="EG132" s="25"/>
      <c r="EH132" s="25"/>
      <c r="EI132" s="25"/>
      <c r="EJ132" s="25"/>
      <c r="EK132" s="25"/>
      <c r="EL132" s="25"/>
      <c r="EM132" s="28"/>
      <c r="EN132" s="71"/>
      <c r="EO132" s="54"/>
      <c r="EP132" s="54"/>
      <c r="EQ132" s="54"/>
      <c r="ER132" s="54"/>
      <c r="ES132" s="54"/>
      <c r="ET132" s="25"/>
      <c r="EU132" s="25"/>
      <c r="EV132" s="150"/>
      <c r="EW132" s="89"/>
      <c r="EX132" s="88"/>
      <c r="EY132" s="160"/>
    </row>
    <row r="133" spans="1:155" s="65" customFormat="1" ht="32.950000000000003" hidden="1" customHeight="1" x14ac:dyDescent="0.25">
      <c r="A133" s="194"/>
      <c r="B133" s="188"/>
      <c r="C133" s="43" t="s">
        <v>101</v>
      </c>
      <c r="D133" s="44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  <c r="AG133" s="45"/>
      <c r="AH133" s="45"/>
      <c r="AI133" s="45"/>
      <c r="AJ133" s="45"/>
      <c r="AK133" s="45"/>
      <c r="AL133" s="45"/>
      <c r="AM133" s="45"/>
      <c r="AN133" s="45"/>
      <c r="AO133" s="45"/>
      <c r="AP133" s="45"/>
      <c r="AQ133" s="45"/>
      <c r="AR133" s="45"/>
      <c r="AS133" s="45"/>
      <c r="AT133" s="45"/>
      <c r="AU133" s="45"/>
      <c r="AV133" s="45"/>
      <c r="AW133" s="45"/>
      <c r="AX133" s="45"/>
      <c r="AY133" s="45"/>
      <c r="AZ133" s="45"/>
      <c r="BA133" s="47"/>
      <c r="BB133" s="47"/>
      <c r="BC133" s="47"/>
      <c r="BD133" s="47"/>
      <c r="BE133" s="47"/>
      <c r="BF133" s="47"/>
      <c r="BG133" s="47"/>
      <c r="BH133" s="47"/>
      <c r="BI133" s="47"/>
      <c r="BJ133" s="47"/>
      <c r="BK133" s="47"/>
      <c r="BL133" s="47"/>
      <c r="BM133" s="47"/>
      <c r="BN133" s="47"/>
      <c r="BO133" s="47"/>
      <c r="BP133" s="47"/>
      <c r="BQ133" s="47"/>
      <c r="BR133" s="47"/>
      <c r="BS133" s="88"/>
      <c r="BT133" s="88"/>
      <c r="BU133" s="88"/>
      <c r="BV133" s="88"/>
      <c r="BW133" s="88"/>
      <c r="BX133" s="88"/>
      <c r="BY133" s="88"/>
      <c r="BZ133" s="88"/>
      <c r="CA133" s="88"/>
      <c r="CB133" s="88"/>
      <c r="CC133" s="88"/>
      <c r="CD133" s="90"/>
      <c r="CE133" s="114"/>
      <c r="CF133" s="113"/>
      <c r="CG133" s="113"/>
      <c r="CH133" s="113"/>
      <c r="CI133" s="113"/>
      <c r="CJ133" s="113"/>
      <c r="CK133" s="113"/>
      <c r="CL133" s="113"/>
      <c r="CM133" s="113"/>
      <c r="CN133" s="113"/>
      <c r="CO133" s="113"/>
      <c r="CP133" s="113"/>
      <c r="CQ133" s="113"/>
      <c r="CR133" s="113"/>
      <c r="CS133" s="113"/>
      <c r="CT133" s="113"/>
      <c r="CU133" s="113"/>
      <c r="CV133" s="113"/>
      <c r="CW133" s="113"/>
      <c r="CX133" s="113"/>
      <c r="CY133" s="113"/>
      <c r="CZ133" s="113"/>
      <c r="DA133" s="113"/>
      <c r="DB133" s="113"/>
      <c r="DC133" s="137"/>
      <c r="DD133" s="113"/>
      <c r="DE133" s="113"/>
      <c r="DF133" s="113"/>
      <c r="DG133" s="113"/>
      <c r="DH133" s="113"/>
      <c r="DI133" s="113"/>
      <c r="DJ133" s="113"/>
      <c r="DK133" s="113"/>
      <c r="DL133" s="113"/>
      <c r="DM133" s="113"/>
      <c r="DN133" s="113"/>
      <c r="DO133" s="113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8"/>
      <c r="EE133" s="34"/>
      <c r="EF133" s="25"/>
      <c r="EG133" s="25"/>
      <c r="EH133" s="25"/>
      <c r="EI133" s="25"/>
      <c r="EJ133" s="25"/>
      <c r="EK133" s="25"/>
      <c r="EL133" s="25"/>
      <c r="EM133" s="28"/>
      <c r="EN133" s="71"/>
      <c r="EO133" s="54"/>
      <c r="EP133" s="54"/>
      <c r="EQ133" s="54"/>
      <c r="ER133" s="54"/>
      <c r="ES133" s="54"/>
      <c r="ET133" s="25"/>
      <c r="EU133" s="25"/>
      <c r="EV133" s="150"/>
      <c r="EW133" s="89"/>
      <c r="EX133" s="88"/>
      <c r="EY133" s="160"/>
    </row>
    <row r="134" spans="1:155" s="65" customFormat="1" ht="28.55" hidden="1" x14ac:dyDescent="0.25">
      <c r="A134" s="194"/>
      <c r="B134" s="188"/>
      <c r="C134" s="43" t="s">
        <v>102</v>
      </c>
      <c r="D134" s="44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  <c r="AG134" s="45"/>
      <c r="AH134" s="45"/>
      <c r="AI134" s="45"/>
      <c r="AJ134" s="45"/>
      <c r="AK134" s="45"/>
      <c r="AL134" s="45"/>
      <c r="AM134" s="45"/>
      <c r="AN134" s="45"/>
      <c r="AO134" s="45"/>
      <c r="AP134" s="45"/>
      <c r="AQ134" s="45"/>
      <c r="AR134" s="45"/>
      <c r="AS134" s="45"/>
      <c r="AT134" s="45"/>
      <c r="AU134" s="45"/>
      <c r="AV134" s="45"/>
      <c r="AW134" s="45"/>
      <c r="AX134" s="45"/>
      <c r="AY134" s="45"/>
      <c r="AZ134" s="45"/>
      <c r="BA134" s="47"/>
      <c r="BB134" s="47"/>
      <c r="BC134" s="47"/>
      <c r="BD134" s="47"/>
      <c r="BE134" s="47"/>
      <c r="BF134" s="47"/>
      <c r="BG134" s="47"/>
      <c r="BH134" s="47"/>
      <c r="BI134" s="47"/>
      <c r="BJ134" s="47"/>
      <c r="BK134" s="47"/>
      <c r="BL134" s="47"/>
      <c r="BM134" s="47"/>
      <c r="BN134" s="47"/>
      <c r="BO134" s="47"/>
      <c r="BP134" s="47"/>
      <c r="BQ134" s="47"/>
      <c r="BR134" s="47"/>
      <c r="BS134" s="88"/>
      <c r="BT134" s="88"/>
      <c r="BU134" s="88"/>
      <c r="BV134" s="88"/>
      <c r="BW134" s="88"/>
      <c r="BX134" s="88"/>
      <c r="BY134" s="88"/>
      <c r="BZ134" s="88"/>
      <c r="CA134" s="88"/>
      <c r="CB134" s="88"/>
      <c r="CC134" s="88"/>
      <c r="CD134" s="90"/>
      <c r="CE134" s="114"/>
      <c r="CF134" s="113"/>
      <c r="CG134" s="113"/>
      <c r="CH134" s="113"/>
      <c r="CI134" s="113"/>
      <c r="CJ134" s="113"/>
      <c r="CK134" s="113"/>
      <c r="CL134" s="113"/>
      <c r="CM134" s="113"/>
      <c r="CN134" s="113"/>
      <c r="CO134" s="113"/>
      <c r="CP134" s="113"/>
      <c r="CQ134" s="113"/>
      <c r="CR134" s="113"/>
      <c r="CS134" s="113"/>
      <c r="CT134" s="113"/>
      <c r="CU134" s="113"/>
      <c r="CV134" s="113"/>
      <c r="CW134" s="113"/>
      <c r="CX134" s="113"/>
      <c r="CY134" s="113"/>
      <c r="CZ134" s="113"/>
      <c r="DA134" s="113"/>
      <c r="DB134" s="113"/>
      <c r="DC134" s="137"/>
      <c r="DD134" s="113"/>
      <c r="DE134" s="113"/>
      <c r="DF134" s="113"/>
      <c r="DG134" s="115"/>
      <c r="DH134" s="115"/>
      <c r="DI134" s="115"/>
      <c r="DJ134" s="115"/>
      <c r="DK134" s="115"/>
      <c r="DL134" s="115"/>
      <c r="DM134" s="115"/>
      <c r="DN134" s="115"/>
      <c r="DO134" s="11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8"/>
      <c r="EE134" s="34"/>
      <c r="EF134" s="25"/>
      <c r="EG134" s="25"/>
      <c r="EH134" s="25"/>
      <c r="EI134" s="25"/>
      <c r="EJ134" s="25"/>
      <c r="EK134" s="25"/>
      <c r="EL134" s="25"/>
      <c r="EM134" s="28"/>
      <c r="EN134" s="71"/>
      <c r="EO134" s="25"/>
      <c r="EP134" s="25"/>
      <c r="EQ134" s="25"/>
      <c r="ER134" s="54"/>
      <c r="ES134" s="54"/>
      <c r="ET134" s="54"/>
      <c r="EU134" s="54"/>
      <c r="EV134" s="150"/>
      <c r="EW134" s="89"/>
      <c r="EX134" s="88"/>
      <c r="EY134" s="160"/>
    </row>
    <row r="135" spans="1:155" s="65" customFormat="1" ht="36" hidden="1" customHeight="1" x14ac:dyDescent="0.25">
      <c r="A135" s="194"/>
      <c r="B135" s="188"/>
      <c r="C135" s="43" t="s">
        <v>103</v>
      </c>
      <c r="D135" s="44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5"/>
      <c r="AI135" s="45"/>
      <c r="AJ135" s="45"/>
      <c r="AK135" s="45"/>
      <c r="AL135" s="45"/>
      <c r="AM135" s="45"/>
      <c r="AN135" s="45"/>
      <c r="AO135" s="45"/>
      <c r="AP135" s="45"/>
      <c r="AQ135" s="45"/>
      <c r="AR135" s="45"/>
      <c r="AS135" s="45"/>
      <c r="AT135" s="45"/>
      <c r="AU135" s="45"/>
      <c r="AV135" s="45"/>
      <c r="AW135" s="45"/>
      <c r="AX135" s="45"/>
      <c r="AY135" s="45"/>
      <c r="AZ135" s="45"/>
      <c r="BA135" s="47"/>
      <c r="BB135" s="47"/>
      <c r="BC135" s="47"/>
      <c r="BD135" s="47"/>
      <c r="BE135" s="47"/>
      <c r="BF135" s="47"/>
      <c r="BG135" s="47"/>
      <c r="BH135" s="47"/>
      <c r="BI135" s="47"/>
      <c r="BJ135" s="47"/>
      <c r="BK135" s="47"/>
      <c r="BL135" s="47"/>
      <c r="BM135" s="47"/>
      <c r="BN135" s="47"/>
      <c r="BO135" s="47"/>
      <c r="BP135" s="47"/>
      <c r="BQ135" s="47"/>
      <c r="BR135" s="47"/>
      <c r="BS135" s="88"/>
      <c r="BT135" s="88"/>
      <c r="BU135" s="88"/>
      <c r="BV135" s="88"/>
      <c r="BW135" s="88"/>
      <c r="BX135" s="88"/>
      <c r="BY135" s="88"/>
      <c r="BZ135" s="88"/>
      <c r="CA135" s="88"/>
      <c r="CB135" s="88"/>
      <c r="CC135" s="88"/>
      <c r="CD135" s="90"/>
      <c r="CE135" s="114"/>
      <c r="CF135" s="113"/>
      <c r="CG135" s="113"/>
      <c r="CH135" s="113"/>
      <c r="CI135" s="113"/>
      <c r="CJ135" s="113"/>
      <c r="CK135" s="113"/>
      <c r="CL135" s="113"/>
      <c r="CM135" s="113"/>
      <c r="CN135" s="113"/>
      <c r="CO135" s="113"/>
      <c r="CP135" s="113"/>
      <c r="CQ135" s="113"/>
      <c r="CR135" s="113"/>
      <c r="CS135" s="113"/>
      <c r="CT135" s="113"/>
      <c r="CU135" s="113"/>
      <c r="CV135" s="113"/>
      <c r="CW135" s="113"/>
      <c r="CX135" s="115"/>
      <c r="CY135" s="115"/>
      <c r="CZ135" s="115"/>
      <c r="DA135" s="115"/>
      <c r="DB135" s="115"/>
      <c r="DC135" s="136"/>
      <c r="DD135" s="113"/>
      <c r="DE135" s="113"/>
      <c r="DF135" s="113"/>
      <c r="DG135" s="113"/>
      <c r="DH135" s="113"/>
      <c r="DI135" s="113"/>
      <c r="DJ135" s="113"/>
      <c r="DK135" s="113"/>
      <c r="DL135" s="113"/>
      <c r="DM135" s="113"/>
      <c r="DN135" s="113"/>
      <c r="DO135" s="113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8"/>
      <c r="EE135" s="34"/>
      <c r="EF135" s="25"/>
      <c r="EG135" s="25"/>
      <c r="EH135" s="25"/>
      <c r="EI135" s="25"/>
      <c r="EJ135" s="25"/>
      <c r="EK135" s="25"/>
      <c r="EL135" s="25"/>
      <c r="EM135" s="28"/>
      <c r="EN135" s="71"/>
      <c r="EO135" s="25"/>
      <c r="EP135" s="25"/>
      <c r="EQ135" s="25"/>
      <c r="ER135" s="54"/>
      <c r="ES135" s="54"/>
      <c r="ET135" s="54"/>
      <c r="EU135" s="54"/>
      <c r="EV135" s="150"/>
      <c r="EW135" s="89"/>
      <c r="EX135" s="88"/>
      <c r="EY135" s="160"/>
    </row>
    <row r="136" spans="1:155" s="65" customFormat="1" ht="28.55" hidden="1" x14ac:dyDescent="0.25">
      <c r="A136" s="194"/>
      <c r="B136" s="188"/>
      <c r="C136" s="43" t="s">
        <v>104</v>
      </c>
      <c r="D136" s="44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  <c r="AG136" s="45"/>
      <c r="AH136" s="45"/>
      <c r="AI136" s="45"/>
      <c r="AJ136" s="45"/>
      <c r="AK136" s="45"/>
      <c r="AL136" s="45"/>
      <c r="AM136" s="45"/>
      <c r="AN136" s="45"/>
      <c r="AO136" s="45"/>
      <c r="AP136" s="45"/>
      <c r="AQ136" s="45"/>
      <c r="AR136" s="45"/>
      <c r="AS136" s="45"/>
      <c r="AT136" s="45"/>
      <c r="AU136" s="45"/>
      <c r="AV136" s="45"/>
      <c r="AW136" s="45"/>
      <c r="AX136" s="45"/>
      <c r="AY136" s="45"/>
      <c r="AZ136" s="45"/>
      <c r="BA136" s="47"/>
      <c r="BB136" s="47"/>
      <c r="BC136" s="47"/>
      <c r="BD136" s="47"/>
      <c r="BE136" s="47"/>
      <c r="BF136" s="47"/>
      <c r="BG136" s="47"/>
      <c r="BH136" s="47"/>
      <c r="BI136" s="47"/>
      <c r="BJ136" s="47"/>
      <c r="BK136" s="47"/>
      <c r="BL136" s="47"/>
      <c r="BM136" s="47"/>
      <c r="BN136" s="47"/>
      <c r="BO136" s="47"/>
      <c r="BP136" s="47"/>
      <c r="BQ136" s="47"/>
      <c r="BR136" s="47"/>
      <c r="BS136" s="88"/>
      <c r="BT136" s="88"/>
      <c r="BU136" s="88"/>
      <c r="BV136" s="88"/>
      <c r="BW136" s="88"/>
      <c r="BX136" s="88"/>
      <c r="BY136" s="88"/>
      <c r="BZ136" s="88"/>
      <c r="CA136" s="88"/>
      <c r="CB136" s="88"/>
      <c r="CC136" s="88"/>
      <c r="CD136" s="90"/>
      <c r="CE136" s="114"/>
      <c r="CF136" s="113"/>
      <c r="CG136" s="113"/>
      <c r="CH136" s="113"/>
      <c r="CI136" s="113"/>
      <c r="CJ136" s="113"/>
      <c r="CK136" s="113"/>
      <c r="CL136" s="113"/>
      <c r="CM136" s="113"/>
      <c r="CN136" s="113"/>
      <c r="CO136" s="113"/>
      <c r="CP136" s="113"/>
      <c r="CQ136" s="113"/>
      <c r="CR136" s="113"/>
      <c r="CS136" s="113"/>
      <c r="CT136" s="113"/>
      <c r="CU136" s="113"/>
      <c r="CV136" s="113"/>
      <c r="CW136" s="113"/>
      <c r="CX136" s="113"/>
      <c r="CY136" s="113"/>
      <c r="CZ136" s="113"/>
      <c r="DA136" s="113"/>
      <c r="DB136" s="113"/>
      <c r="DC136" s="137"/>
      <c r="DD136" s="113"/>
      <c r="DE136" s="113"/>
      <c r="DF136" s="113"/>
      <c r="DG136" s="113"/>
      <c r="DH136" s="113"/>
      <c r="DI136" s="113"/>
      <c r="DJ136" s="113"/>
      <c r="DK136" s="113"/>
      <c r="DL136" s="113"/>
      <c r="DM136" s="113"/>
      <c r="DN136" s="113"/>
      <c r="DO136" s="113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8"/>
      <c r="EE136" s="34"/>
      <c r="EF136" s="25"/>
      <c r="EG136" s="25"/>
      <c r="EH136" s="25"/>
      <c r="EI136" s="25"/>
      <c r="EJ136" s="25"/>
      <c r="EK136" s="25"/>
      <c r="EL136" s="25"/>
      <c r="EM136" s="28"/>
      <c r="EN136" s="71"/>
      <c r="EO136" s="25"/>
      <c r="EP136" s="25"/>
      <c r="EQ136" s="25"/>
      <c r="ER136" s="54"/>
      <c r="ES136" s="54"/>
      <c r="ET136" s="54"/>
      <c r="EU136" s="54"/>
      <c r="EV136" s="150"/>
      <c r="EW136" s="89"/>
      <c r="EX136" s="88"/>
      <c r="EY136" s="160"/>
    </row>
    <row r="137" spans="1:155" s="65" customFormat="1" ht="30.6" hidden="1" customHeight="1" x14ac:dyDescent="0.25">
      <c r="A137" s="194"/>
      <c r="B137" s="188"/>
      <c r="C137" s="43" t="s">
        <v>105</v>
      </c>
      <c r="D137" s="44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  <c r="AG137" s="45"/>
      <c r="AH137" s="45"/>
      <c r="AI137" s="45"/>
      <c r="AJ137" s="45"/>
      <c r="AK137" s="45"/>
      <c r="AL137" s="45"/>
      <c r="AM137" s="45"/>
      <c r="AN137" s="45"/>
      <c r="AO137" s="45"/>
      <c r="AP137" s="45"/>
      <c r="AQ137" s="45"/>
      <c r="AR137" s="45"/>
      <c r="AS137" s="45"/>
      <c r="AT137" s="45"/>
      <c r="AU137" s="45"/>
      <c r="AV137" s="45"/>
      <c r="AW137" s="45"/>
      <c r="AX137" s="45"/>
      <c r="AY137" s="45"/>
      <c r="AZ137" s="45"/>
      <c r="BA137" s="47"/>
      <c r="BB137" s="47"/>
      <c r="BC137" s="47"/>
      <c r="BD137" s="47"/>
      <c r="BE137" s="47"/>
      <c r="BF137" s="47"/>
      <c r="BG137" s="47"/>
      <c r="BH137" s="47"/>
      <c r="BI137" s="47"/>
      <c r="BJ137" s="47"/>
      <c r="BK137" s="47"/>
      <c r="BL137" s="47"/>
      <c r="BM137" s="47"/>
      <c r="BN137" s="47"/>
      <c r="BO137" s="47"/>
      <c r="BP137" s="47"/>
      <c r="BQ137" s="47"/>
      <c r="BR137" s="47"/>
      <c r="BS137" s="88"/>
      <c r="BT137" s="88"/>
      <c r="BU137" s="88"/>
      <c r="BV137" s="88"/>
      <c r="BW137" s="88"/>
      <c r="BX137" s="88"/>
      <c r="BY137" s="88"/>
      <c r="BZ137" s="88"/>
      <c r="CA137" s="88"/>
      <c r="CB137" s="88"/>
      <c r="CC137" s="88"/>
      <c r="CD137" s="90"/>
      <c r="CE137" s="114"/>
      <c r="CF137" s="113"/>
      <c r="CG137" s="113"/>
      <c r="CH137" s="113"/>
      <c r="CI137" s="113"/>
      <c r="CJ137" s="113"/>
      <c r="CK137" s="115"/>
      <c r="CL137" s="113"/>
      <c r="CM137" s="113"/>
      <c r="CN137" s="113"/>
      <c r="CO137" s="113"/>
      <c r="CP137" s="113"/>
      <c r="CQ137" s="113"/>
      <c r="CR137" s="113"/>
      <c r="CS137" s="113"/>
      <c r="CT137" s="113"/>
      <c r="CU137" s="113"/>
      <c r="CV137" s="113"/>
      <c r="CW137" s="113"/>
      <c r="CX137" s="113"/>
      <c r="CY137" s="113"/>
      <c r="CZ137" s="113"/>
      <c r="DA137" s="113"/>
      <c r="DB137" s="113"/>
      <c r="DC137" s="137"/>
      <c r="DD137" s="113"/>
      <c r="DE137" s="113"/>
      <c r="DF137" s="113"/>
      <c r="DG137" s="113"/>
      <c r="DH137" s="113"/>
      <c r="DI137" s="113"/>
      <c r="DJ137" s="113"/>
      <c r="DK137" s="113"/>
      <c r="DL137" s="113"/>
      <c r="DM137" s="113"/>
      <c r="DN137" s="113"/>
      <c r="DO137" s="113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8"/>
      <c r="EE137" s="34"/>
      <c r="EF137" s="25"/>
      <c r="EG137" s="25"/>
      <c r="EH137" s="25"/>
      <c r="EI137" s="25"/>
      <c r="EJ137" s="25"/>
      <c r="EK137" s="25"/>
      <c r="EL137" s="25"/>
      <c r="EM137" s="28"/>
      <c r="EN137" s="71"/>
      <c r="EO137" s="25"/>
      <c r="EP137" s="25"/>
      <c r="EQ137" s="25"/>
      <c r="ER137" s="54"/>
      <c r="ES137" s="54"/>
      <c r="ET137" s="54"/>
      <c r="EU137" s="54"/>
      <c r="EV137" s="150"/>
      <c r="EW137" s="89"/>
      <c r="EX137" s="88"/>
      <c r="EY137" s="160"/>
    </row>
    <row r="138" spans="1:155" s="65" customFormat="1" ht="27.7" hidden="1" customHeight="1" x14ac:dyDescent="0.25">
      <c r="A138" s="194"/>
      <c r="B138" s="188"/>
      <c r="C138" s="43" t="s">
        <v>106</v>
      </c>
      <c r="D138" s="44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  <c r="AW138" s="45"/>
      <c r="AX138" s="45"/>
      <c r="AY138" s="45"/>
      <c r="AZ138" s="45"/>
      <c r="BA138" s="47"/>
      <c r="BB138" s="47"/>
      <c r="BC138" s="47"/>
      <c r="BD138" s="47"/>
      <c r="BE138" s="47"/>
      <c r="BF138" s="47"/>
      <c r="BG138" s="47"/>
      <c r="BH138" s="47"/>
      <c r="BI138" s="47"/>
      <c r="BJ138" s="47"/>
      <c r="BK138" s="47"/>
      <c r="BL138" s="47"/>
      <c r="BM138" s="47"/>
      <c r="BN138" s="47"/>
      <c r="BO138" s="47"/>
      <c r="BP138" s="47"/>
      <c r="BQ138" s="47"/>
      <c r="BR138" s="47"/>
      <c r="BS138" s="88"/>
      <c r="BT138" s="88"/>
      <c r="BU138" s="88"/>
      <c r="BV138" s="88"/>
      <c r="BW138" s="88"/>
      <c r="BX138" s="88"/>
      <c r="BY138" s="88"/>
      <c r="BZ138" s="88"/>
      <c r="CA138" s="88"/>
      <c r="CB138" s="88"/>
      <c r="CC138" s="88"/>
      <c r="CD138" s="90"/>
      <c r="CE138" s="114"/>
      <c r="CF138" s="113"/>
      <c r="CG138" s="113"/>
      <c r="CH138" s="113"/>
      <c r="CI138" s="113"/>
      <c r="CJ138" s="113"/>
      <c r="CK138" s="113"/>
      <c r="CL138" s="113"/>
      <c r="CM138" s="113"/>
      <c r="CN138" s="113"/>
      <c r="CO138" s="113"/>
      <c r="CP138" s="113"/>
      <c r="CQ138" s="113"/>
      <c r="CR138" s="113"/>
      <c r="CS138" s="113"/>
      <c r="CT138" s="113"/>
      <c r="CU138" s="113"/>
      <c r="CV138" s="113"/>
      <c r="CW138" s="113"/>
      <c r="CX138" s="113"/>
      <c r="CY138" s="113"/>
      <c r="CZ138" s="113"/>
      <c r="DA138" s="113"/>
      <c r="DB138" s="113"/>
      <c r="DC138" s="137"/>
      <c r="DD138" s="113"/>
      <c r="DE138" s="113"/>
      <c r="DF138" s="113"/>
      <c r="DG138" s="113"/>
      <c r="DH138" s="113"/>
      <c r="DI138" s="113"/>
      <c r="DJ138" s="113"/>
      <c r="DK138" s="113"/>
      <c r="DL138" s="113"/>
      <c r="DM138" s="113"/>
      <c r="DN138" s="113"/>
      <c r="DO138" s="113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8"/>
      <c r="EE138" s="34"/>
      <c r="EF138" s="25"/>
      <c r="EG138" s="25"/>
      <c r="EH138" s="25"/>
      <c r="EI138" s="25"/>
      <c r="EJ138" s="25"/>
      <c r="EK138" s="25"/>
      <c r="EL138" s="25"/>
      <c r="EM138" s="28"/>
      <c r="EN138" s="71"/>
      <c r="EO138" s="25"/>
      <c r="EP138" s="25"/>
      <c r="EQ138" s="25"/>
      <c r="ER138" s="54"/>
      <c r="ES138" s="54"/>
      <c r="ET138" s="54"/>
      <c r="EU138" s="54"/>
      <c r="EV138" s="150"/>
      <c r="EW138" s="89"/>
      <c r="EX138" s="88"/>
      <c r="EY138" s="160"/>
    </row>
    <row r="139" spans="1:155" s="65" customFormat="1" ht="14.95" hidden="1" customHeight="1" x14ac:dyDescent="0.25">
      <c r="A139" s="195"/>
      <c r="B139" s="187"/>
      <c r="C139" s="43" t="s">
        <v>107</v>
      </c>
      <c r="D139" s="44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5"/>
      <c r="AH139" s="45"/>
      <c r="AI139" s="45"/>
      <c r="AJ139" s="45"/>
      <c r="AK139" s="45"/>
      <c r="AL139" s="45"/>
      <c r="AM139" s="45"/>
      <c r="AN139" s="45"/>
      <c r="AO139" s="45"/>
      <c r="AP139" s="45"/>
      <c r="AQ139" s="45"/>
      <c r="AR139" s="45"/>
      <c r="AS139" s="45"/>
      <c r="AT139" s="45"/>
      <c r="AU139" s="45"/>
      <c r="AV139" s="45"/>
      <c r="AW139" s="45"/>
      <c r="AX139" s="45"/>
      <c r="AY139" s="45"/>
      <c r="AZ139" s="45"/>
      <c r="BA139" s="47"/>
      <c r="BB139" s="47"/>
      <c r="BC139" s="47"/>
      <c r="BD139" s="47"/>
      <c r="BE139" s="47"/>
      <c r="BF139" s="47"/>
      <c r="BG139" s="47"/>
      <c r="BH139" s="47"/>
      <c r="BI139" s="47"/>
      <c r="BJ139" s="47"/>
      <c r="BK139" s="47"/>
      <c r="BL139" s="47"/>
      <c r="BM139" s="47"/>
      <c r="BN139" s="47"/>
      <c r="BO139" s="47"/>
      <c r="BP139" s="47"/>
      <c r="BQ139" s="47"/>
      <c r="BR139" s="47"/>
      <c r="BS139" s="88"/>
      <c r="BT139" s="88"/>
      <c r="BU139" s="88"/>
      <c r="BV139" s="88"/>
      <c r="BW139" s="88"/>
      <c r="BX139" s="88"/>
      <c r="BY139" s="88"/>
      <c r="BZ139" s="88"/>
      <c r="CA139" s="88"/>
      <c r="CB139" s="88"/>
      <c r="CC139" s="88"/>
      <c r="CD139" s="90"/>
      <c r="CE139" s="116"/>
      <c r="CF139" s="115"/>
      <c r="CG139" s="115"/>
      <c r="CH139" s="115"/>
      <c r="CI139" s="115"/>
      <c r="CJ139" s="115"/>
      <c r="CK139" s="115"/>
      <c r="CL139" s="115"/>
      <c r="CM139" s="115"/>
      <c r="CN139" s="115"/>
      <c r="CO139" s="115"/>
      <c r="CP139" s="115"/>
      <c r="CQ139" s="115"/>
      <c r="CR139" s="115"/>
      <c r="CS139" s="115"/>
      <c r="CT139" s="115"/>
      <c r="CU139" s="115"/>
      <c r="CV139" s="115"/>
      <c r="CW139" s="115"/>
      <c r="CX139" s="115"/>
      <c r="CY139" s="115"/>
      <c r="CZ139" s="115"/>
      <c r="DA139" s="115"/>
      <c r="DB139" s="115"/>
      <c r="DC139" s="136"/>
      <c r="DD139" s="115"/>
      <c r="DE139" s="115"/>
      <c r="DF139" s="115"/>
      <c r="DG139" s="115"/>
      <c r="DH139" s="115"/>
      <c r="DI139" s="115"/>
      <c r="DJ139" s="115"/>
      <c r="DK139" s="115"/>
      <c r="DL139" s="115"/>
      <c r="DM139" s="115"/>
      <c r="DN139" s="115"/>
      <c r="DO139" s="11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8"/>
      <c r="EE139" s="34"/>
      <c r="EF139" s="25"/>
      <c r="EG139" s="25"/>
      <c r="EH139" s="25"/>
      <c r="EI139" s="25"/>
      <c r="EJ139" s="25"/>
      <c r="EK139" s="25"/>
      <c r="EL139" s="25"/>
      <c r="EM139" s="28"/>
      <c r="EN139" s="71"/>
      <c r="EO139" s="25"/>
      <c r="EP139" s="25"/>
      <c r="EQ139" s="25"/>
      <c r="ER139" s="54"/>
      <c r="ES139" s="54"/>
      <c r="ET139" s="54"/>
      <c r="EU139" s="54"/>
      <c r="EV139" s="151"/>
      <c r="EW139" s="89"/>
      <c r="EX139" s="88"/>
      <c r="EY139" s="160"/>
    </row>
    <row r="140" spans="1:155" s="65" customFormat="1" ht="14.95" hidden="1" customHeight="1" thickBot="1" x14ac:dyDescent="0.3">
      <c r="A140" s="57"/>
      <c r="B140" s="108"/>
      <c r="C140" s="58" t="s">
        <v>108</v>
      </c>
      <c r="D140" s="59"/>
      <c r="E140" s="60"/>
      <c r="F140" s="60"/>
      <c r="G140" s="60"/>
      <c r="H140" s="60"/>
      <c r="I140" s="60"/>
      <c r="J140" s="60"/>
      <c r="K140" s="60"/>
      <c r="L140" s="60"/>
      <c r="M140" s="60"/>
      <c r="N140" s="60"/>
      <c r="O140" s="60"/>
      <c r="P140" s="60"/>
      <c r="Q140" s="60"/>
      <c r="R140" s="60"/>
      <c r="S140" s="60"/>
      <c r="T140" s="60"/>
      <c r="U140" s="60"/>
      <c r="V140" s="60"/>
      <c r="W140" s="60"/>
      <c r="X140" s="60"/>
      <c r="Y140" s="60"/>
      <c r="Z140" s="60"/>
      <c r="AA140" s="60"/>
      <c r="AB140" s="60"/>
      <c r="AC140" s="60"/>
      <c r="AD140" s="60"/>
      <c r="AE140" s="59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59"/>
      <c r="BA140" s="60"/>
      <c r="BB140" s="60"/>
      <c r="BC140" s="60"/>
      <c r="BD140" s="60"/>
      <c r="BE140" s="60"/>
      <c r="BF140" s="60"/>
      <c r="BG140" s="60"/>
      <c r="BH140" s="60"/>
      <c r="BI140" s="60"/>
      <c r="BJ140" s="60"/>
      <c r="BK140" s="60"/>
      <c r="BL140" s="60"/>
      <c r="BM140" s="60"/>
      <c r="BN140" s="60"/>
      <c r="BO140" s="60"/>
      <c r="BP140" s="60"/>
      <c r="BQ140" s="60"/>
      <c r="BR140" s="61"/>
      <c r="BS140" s="95"/>
      <c r="BT140" s="95"/>
      <c r="BU140" s="95"/>
      <c r="BV140" s="95"/>
      <c r="BW140" s="95"/>
      <c r="BX140" s="95"/>
      <c r="BY140" s="95"/>
      <c r="BZ140" s="95"/>
      <c r="CA140" s="95"/>
      <c r="CB140" s="95"/>
      <c r="CC140" s="95"/>
      <c r="CD140" s="96"/>
      <c r="CE140" s="128"/>
      <c r="CF140" s="129"/>
      <c r="CG140" s="129"/>
      <c r="CH140" s="129"/>
      <c r="CI140" s="129"/>
      <c r="CJ140" s="129"/>
      <c r="CK140" s="129"/>
      <c r="CL140" s="129"/>
      <c r="CM140" s="129"/>
      <c r="CN140" s="129"/>
      <c r="CO140" s="129"/>
      <c r="CP140" s="129"/>
      <c r="CQ140" s="129"/>
      <c r="CR140" s="129"/>
      <c r="CS140" s="129"/>
      <c r="CT140" s="129"/>
      <c r="CU140" s="129"/>
      <c r="CV140" s="129"/>
      <c r="CW140" s="129"/>
      <c r="CX140" s="129"/>
      <c r="CY140" s="129"/>
      <c r="CZ140" s="129"/>
      <c r="DA140" s="129"/>
      <c r="DB140" s="129"/>
      <c r="DC140" s="138"/>
      <c r="DD140" s="129"/>
      <c r="DE140" s="129"/>
      <c r="DF140" s="129"/>
      <c r="DG140" s="129"/>
      <c r="DH140" s="129"/>
      <c r="DI140" s="129"/>
      <c r="DJ140" s="129"/>
      <c r="DK140" s="129"/>
      <c r="DL140" s="129"/>
      <c r="DM140" s="129"/>
      <c r="DN140" s="129"/>
      <c r="DO140" s="129"/>
      <c r="DP140" s="119"/>
      <c r="DQ140" s="119"/>
      <c r="DR140" s="119"/>
      <c r="DS140" s="119"/>
      <c r="DT140" s="119"/>
      <c r="DU140" s="119"/>
      <c r="DV140" s="119"/>
      <c r="DW140" s="119"/>
      <c r="DX140" s="119"/>
      <c r="DY140" s="119"/>
      <c r="DZ140" s="119"/>
      <c r="EA140" s="119"/>
      <c r="EB140" s="119"/>
      <c r="EC140" s="119"/>
      <c r="ED140" s="120"/>
      <c r="EE140" s="118"/>
      <c r="EF140" s="119"/>
      <c r="EG140" s="119"/>
      <c r="EH140" s="119"/>
      <c r="EI140" s="119"/>
      <c r="EJ140" s="119"/>
      <c r="EK140" s="119"/>
      <c r="EL140" s="119"/>
      <c r="EM140" s="120"/>
      <c r="EN140" s="124"/>
      <c r="EO140" s="119"/>
      <c r="EP140" s="119"/>
      <c r="EQ140" s="119"/>
      <c r="ER140" s="119"/>
      <c r="ES140" s="119"/>
      <c r="ET140" s="119"/>
      <c r="EU140" s="121"/>
      <c r="EV140" s="152"/>
      <c r="EW140" s="153"/>
      <c r="EX140" s="154"/>
      <c r="EY140" s="161"/>
    </row>
    <row r="141" spans="1:155" s="65" customFormat="1" ht="14.95" customHeight="1" x14ac:dyDescent="0.25">
      <c r="A141" s="62"/>
      <c r="B141" s="67"/>
      <c r="C141" s="63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CE141" s="93"/>
      <c r="CP141" s="91"/>
      <c r="CQ141" s="93"/>
      <c r="CR141" s="93"/>
      <c r="DD141" s="93"/>
      <c r="DP141" s="93"/>
      <c r="EY141" s="162"/>
    </row>
    <row r="142" spans="1:155" s="65" customFormat="1" ht="14.95" customHeight="1" x14ac:dyDescent="0.25">
      <c r="A142" s="62"/>
      <c r="B142" s="67"/>
      <c r="C142" s="63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CE142" s="93"/>
      <c r="CP142" s="91"/>
      <c r="CQ142" s="93"/>
      <c r="CR142" s="93"/>
      <c r="DD142" s="93"/>
      <c r="DP142" s="93"/>
      <c r="EY142" s="162"/>
    </row>
    <row r="143" spans="1:155" s="65" customFormat="1" ht="14.95" customHeight="1" x14ac:dyDescent="0.25">
      <c r="A143" s="62"/>
      <c r="B143" s="67"/>
      <c r="C143" s="63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CE143" s="93"/>
      <c r="CP143" s="91"/>
      <c r="CQ143" s="93"/>
      <c r="CR143" s="93"/>
      <c r="DD143" s="93"/>
      <c r="DP143" s="93"/>
      <c r="EY143" s="162"/>
    </row>
    <row r="144" spans="1:155" s="65" customFormat="1" ht="14.95" customHeight="1" x14ac:dyDescent="0.25">
      <c r="A144" s="62"/>
      <c r="B144" s="67"/>
      <c r="C144" s="63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CE144" s="93"/>
      <c r="CP144" s="91"/>
      <c r="CQ144" s="93"/>
      <c r="CR144" s="93"/>
      <c r="DD144" s="93"/>
      <c r="DP144" s="93"/>
      <c r="EY144" s="162"/>
    </row>
    <row r="145" spans="1:155" s="65" customFormat="1" ht="14.95" customHeight="1" x14ac:dyDescent="0.25">
      <c r="A145" s="62"/>
      <c r="B145" s="67"/>
      <c r="C145" s="63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CE145" s="93"/>
      <c r="CP145" s="91"/>
      <c r="CQ145" s="93"/>
      <c r="CR145" s="93"/>
      <c r="DD145" s="93"/>
      <c r="DP145" s="93"/>
      <c r="EY145" s="162"/>
    </row>
    <row r="146" spans="1:155" s="65" customFormat="1" ht="14.95" customHeight="1" x14ac:dyDescent="0.25">
      <c r="A146" s="62"/>
      <c r="B146" s="67"/>
      <c r="C146" s="63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CE146" s="93"/>
      <c r="CP146" s="91"/>
      <c r="CQ146" s="93"/>
      <c r="CR146" s="93"/>
      <c r="DD146" s="93"/>
      <c r="DP146" s="93"/>
      <c r="EY146" s="162"/>
    </row>
    <row r="147" spans="1:155" s="65" customFormat="1" ht="14.95" customHeight="1" thickBot="1" x14ac:dyDescent="0.3">
      <c r="A147" s="62"/>
      <c r="B147" s="67"/>
      <c r="C147" s="63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CE147" s="93"/>
      <c r="CP147" s="91"/>
      <c r="CQ147" s="93"/>
      <c r="CR147" s="93"/>
      <c r="DD147" s="93"/>
      <c r="DP147" s="93"/>
      <c r="EY147" s="162"/>
    </row>
    <row r="148" spans="1:155" s="65" customFormat="1" x14ac:dyDescent="0.25">
      <c r="A148" s="64"/>
      <c r="B148" s="67"/>
      <c r="CE148" s="93"/>
      <c r="CP148" s="91"/>
      <c r="CQ148" s="93"/>
      <c r="CR148" s="93"/>
      <c r="DD148" s="93"/>
      <c r="DP148" s="93"/>
      <c r="EY148" s="162"/>
    </row>
    <row r="149" spans="1:155" s="65" customFormat="1" ht="20.05" customHeight="1" x14ac:dyDescent="0.25">
      <c r="B149" s="67"/>
      <c r="CE149" s="93"/>
      <c r="CP149" s="91"/>
      <c r="CQ149" s="93"/>
      <c r="CR149" s="93"/>
      <c r="DD149" s="93"/>
      <c r="DP149" s="93"/>
      <c r="EY149" s="162"/>
    </row>
    <row r="150" spans="1:155" s="65" customFormat="1" ht="20.05" customHeight="1" x14ac:dyDescent="0.25">
      <c r="B150" s="67"/>
      <c r="AI150" s="196"/>
      <c r="AJ150" s="196"/>
      <c r="AK150" s="196"/>
      <c r="AL150" s="196"/>
      <c r="AM150" s="196"/>
      <c r="CE150" s="93"/>
      <c r="CP150" s="91"/>
      <c r="CQ150" s="93"/>
      <c r="CR150" s="93"/>
      <c r="DD150" s="93"/>
      <c r="DP150" s="93"/>
      <c r="EY150" s="162"/>
    </row>
    <row r="151" spans="1:155" s="65" customFormat="1" ht="20.05" customHeight="1" x14ac:dyDescent="0.25">
      <c r="B151" s="67"/>
      <c r="AI151" s="189"/>
      <c r="AJ151" s="185"/>
      <c r="AK151" s="185"/>
      <c r="AL151" s="185"/>
      <c r="AM151" s="185"/>
      <c r="CE151" s="93"/>
      <c r="CP151" s="91"/>
      <c r="CQ151" s="93"/>
      <c r="CR151" s="93"/>
      <c r="DD151" s="93"/>
      <c r="DP151" s="93"/>
      <c r="EY151" s="162"/>
    </row>
    <row r="152" spans="1:155" s="65" customFormat="1" ht="20.05" customHeight="1" x14ac:dyDescent="0.25">
      <c r="B152" s="67"/>
      <c r="AI152" s="189"/>
      <c r="AJ152" s="185"/>
      <c r="AK152" s="185"/>
      <c r="AL152" s="185"/>
      <c r="AM152" s="185"/>
      <c r="CE152" s="93"/>
      <c r="CP152" s="91"/>
      <c r="CQ152" s="93"/>
      <c r="CR152" s="93"/>
      <c r="DD152" s="93"/>
      <c r="DP152" s="93"/>
      <c r="EY152" s="162"/>
    </row>
    <row r="153" spans="1:155" s="65" customFormat="1" ht="20.05" customHeight="1" x14ac:dyDescent="0.25">
      <c r="B153" s="67"/>
      <c r="AI153" s="189"/>
      <c r="AJ153" s="185"/>
      <c r="AK153" s="185"/>
      <c r="AL153" s="185"/>
      <c r="AM153" s="185"/>
      <c r="CE153" s="93"/>
      <c r="CP153" s="91"/>
      <c r="CQ153" s="93"/>
      <c r="CR153" s="93"/>
      <c r="DD153" s="93"/>
      <c r="DP153" s="93"/>
      <c r="EY153" s="162"/>
    </row>
    <row r="154" spans="1:155" s="65" customFormat="1" ht="20.05" customHeight="1" x14ac:dyDescent="0.25">
      <c r="B154" s="67"/>
      <c r="AI154" s="189"/>
      <c r="AJ154" s="185"/>
      <c r="AK154" s="185"/>
      <c r="AL154" s="185"/>
      <c r="AM154" s="185"/>
      <c r="CE154" s="93"/>
      <c r="CP154" s="91"/>
      <c r="CQ154" s="93"/>
      <c r="CR154" s="93"/>
      <c r="DD154" s="93"/>
      <c r="DP154" s="93"/>
      <c r="EY154" s="162"/>
    </row>
    <row r="155" spans="1:155" s="65" customFormat="1" ht="20.05" customHeight="1" x14ac:dyDescent="0.25">
      <c r="B155" s="67"/>
      <c r="AI155" s="189"/>
      <c r="AJ155" s="185"/>
      <c r="AK155" s="185"/>
      <c r="AL155" s="185"/>
      <c r="AM155" s="185"/>
      <c r="CE155" s="93"/>
      <c r="CP155" s="91"/>
      <c r="CQ155" s="93"/>
      <c r="CR155" s="93"/>
      <c r="DD155" s="93"/>
      <c r="DP155" s="93"/>
      <c r="EY155" s="162"/>
    </row>
    <row r="156" spans="1:155" s="65" customFormat="1" ht="20.05" customHeight="1" x14ac:dyDescent="0.25">
      <c r="B156" s="67"/>
      <c r="AI156" s="189"/>
      <c r="AJ156" s="185"/>
      <c r="AK156" s="185"/>
      <c r="AL156" s="185"/>
      <c r="AM156" s="185"/>
      <c r="CE156" s="93"/>
      <c r="CP156" s="91"/>
      <c r="CQ156" s="93"/>
      <c r="CR156" s="93"/>
      <c r="DD156" s="93"/>
      <c r="DP156" s="93"/>
      <c r="EY156" s="162"/>
    </row>
    <row r="157" spans="1:155" s="65" customFormat="1" ht="20.05" customHeight="1" x14ac:dyDescent="0.25">
      <c r="B157" s="67"/>
      <c r="AI157" s="189"/>
      <c r="AJ157" s="189"/>
      <c r="AK157" s="189"/>
      <c r="AL157" s="189"/>
      <c r="AM157" s="189"/>
      <c r="CE157" s="93"/>
      <c r="CP157" s="91"/>
      <c r="CQ157" s="93"/>
      <c r="CR157" s="93"/>
      <c r="DD157" s="93"/>
      <c r="DP157" s="93"/>
      <c r="EY157" s="162"/>
    </row>
    <row r="158" spans="1:155" s="65" customFormat="1" ht="20.05" customHeight="1" x14ac:dyDescent="0.25">
      <c r="B158" s="67"/>
      <c r="AI158" s="189"/>
      <c r="AJ158" s="189"/>
      <c r="AK158" s="189"/>
      <c r="AL158" s="189"/>
      <c r="AM158" s="189"/>
      <c r="CE158" s="93"/>
      <c r="CP158" s="91"/>
      <c r="CQ158" s="93"/>
      <c r="CR158" s="93"/>
      <c r="DD158" s="93"/>
      <c r="DP158" s="93"/>
      <c r="EY158" s="162"/>
    </row>
    <row r="159" spans="1:155" s="65" customFormat="1" ht="20.05" customHeight="1" x14ac:dyDescent="0.25">
      <c r="B159" s="67"/>
      <c r="AI159" s="189"/>
      <c r="AJ159" s="189"/>
      <c r="AK159" s="189"/>
      <c r="AL159" s="189"/>
      <c r="AM159" s="189"/>
      <c r="CE159" s="93"/>
      <c r="CP159" s="91"/>
      <c r="CQ159" s="93"/>
      <c r="CR159" s="93"/>
      <c r="DD159" s="93"/>
      <c r="DP159" s="93"/>
      <c r="EY159" s="162"/>
    </row>
    <row r="160" spans="1:155" s="65" customFormat="1" ht="20.05" customHeight="1" x14ac:dyDescent="0.25">
      <c r="B160" s="67"/>
      <c r="AI160" s="189"/>
      <c r="AJ160" s="189"/>
      <c r="AK160" s="189"/>
      <c r="AL160" s="189"/>
      <c r="AM160" s="189"/>
      <c r="AX160" s="68"/>
      <c r="AZ160" s="68"/>
      <c r="BA160" s="68"/>
      <c r="BB160" s="68"/>
      <c r="BC160" s="68"/>
      <c r="BD160" s="68"/>
      <c r="BE160" s="68"/>
      <c r="BF160" s="68"/>
      <c r="BG160" s="68"/>
      <c r="BH160" s="68"/>
      <c r="BI160" s="68"/>
      <c r="BJ160" s="68"/>
      <c r="BK160" s="68"/>
      <c r="BL160" s="68"/>
      <c r="BM160" s="68"/>
      <c r="BN160" s="68"/>
      <c r="BO160" s="68"/>
      <c r="BP160" s="68"/>
      <c r="BQ160" s="68"/>
      <c r="CE160" s="93"/>
      <c r="CP160" s="91"/>
      <c r="CQ160" s="93"/>
      <c r="CR160" s="93"/>
      <c r="DD160" s="93"/>
      <c r="DP160" s="93"/>
      <c r="EY160" s="162"/>
    </row>
    <row r="161" spans="2:155" s="65" customFormat="1" ht="41.45" customHeight="1" x14ac:dyDescent="0.25">
      <c r="B161" s="67"/>
      <c r="AI161" s="189"/>
      <c r="AJ161" s="189"/>
      <c r="AK161" s="189"/>
      <c r="AL161" s="189"/>
      <c r="AM161" s="189"/>
      <c r="AX161" s="68"/>
      <c r="AZ161" s="68"/>
      <c r="BA161" s="68"/>
      <c r="BB161" s="68"/>
      <c r="BC161" s="68"/>
      <c r="BD161" s="68"/>
      <c r="BE161" s="68"/>
      <c r="BF161" s="68"/>
      <c r="BG161" s="68"/>
      <c r="BH161" s="68"/>
      <c r="BI161" s="68"/>
      <c r="BJ161" s="68"/>
      <c r="BK161" s="68"/>
      <c r="BL161" s="68"/>
      <c r="BM161" s="68"/>
      <c r="BN161" s="68"/>
      <c r="BO161" s="68"/>
      <c r="BP161" s="68"/>
      <c r="BQ161" s="68"/>
      <c r="CE161" s="93"/>
      <c r="CP161" s="91"/>
      <c r="CQ161" s="93"/>
      <c r="CR161" s="93"/>
      <c r="DD161" s="93"/>
      <c r="DP161" s="93"/>
      <c r="EY161" s="162"/>
    </row>
    <row r="162" spans="2:155" s="65" customFormat="1" ht="20.05" customHeight="1" x14ac:dyDescent="0.25">
      <c r="B162" s="67"/>
      <c r="AI162" s="189"/>
      <c r="AJ162" s="189"/>
      <c r="AK162" s="189"/>
      <c r="AL162" s="189"/>
      <c r="AM162" s="189"/>
      <c r="AX162" s="68"/>
      <c r="AZ162" s="68"/>
      <c r="BA162" s="68"/>
      <c r="BB162" s="68"/>
      <c r="BC162" s="68"/>
      <c r="BD162" s="68"/>
      <c r="BE162" s="68"/>
      <c r="BF162" s="68"/>
      <c r="BG162" s="68"/>
      <c r="BH162" s="68"/>
      <c r="BI162" s="68"/>
      <c r="BJ162" s="68"/>
      <c r="BK162" s="68"/>
      <c r="BL162" s="68"/>
      <c r="BM162" s="68"/>
      <c r="BN162" s="68"/>
      <c r="BO162" s="68"/>
      <c r="BP162" s="68"/>
      <c r="BQ162" s="68"/>
      <c r="CE162" s="93"/>
      <c r="CP162" s="91"/>
      <c r="CQ162" s="93"/>
      <c r="CR162" s="93"/>
      <c r="DD162" s="93"/>
      <c r="DP162" s="93"/>
      <c r="EY162" s="162"/>
    </row>
    <row r="163" spans="2:155" s="65" customFormat="1" ht="20.05" customHeight="1" x14ac:dyDescent="0.25">
      <c r="B163" s="67"/>
      <c r="AI163" s="189"/>
      <c r="AJ163" s="189"/>
      <c r="AK163" s="189"/>
      <c r="AL163" s="189"/>
      <c r="AM163" s="189"/>
      <c r="AX163" s="68"/>
      <c r="AZ163" s="68"/>
      <c r="BA163" s="68"/>
      <c r="BB163" s="68"/>
      <c r="BC163" s="68"/>
      <c r="BD163" s="68"/>
      <c r="BE163" s="68"/>
      <c r="BF163" s="68"/>
      <c r="BG163" s="68"/>
      <c r="BH163" s="68"/>
      <c r="BI163" s="68"/>
      <c r="BJ163" s="68"/>
      <c r="BK163" s="68"/>
      <c r="BL163" s="68"/>
      <c r="BM163" s="68"/>
      <c r="BN163" s="68"/>
      <c r="BO163" s="68"/>
      <c r="BP163" s="68"/>
      <c r="BQ163" s="68"/>
      <c r="CE163" s="93"/>
      <c r="CP163" s="91"/>
      <c r="CQ163" s="93"/>
      <c r="CR163" s="93"/>
      <c r="DD163" s="93"/>
      <c r="DP163" s="93"/>
      <c r="EY163" s="162"/>
    </row>
    <row r="164" spans="2:155" s="65" customFormat="1" ht="20.05" customHeight="1" x14ac:dyDescent="0.25">
      <c r="B164" s="67"/>
      <c r="AI164" s="189"/>
      <c r="AJ164" s="189"/>
      <c r="AK164" s="189"/>
      <c r="AL164" s="189"/>
      <c r="AM164" s="189"/>
      <c r="AX164" s="68"/>
      <c r="AZ164" s="68"/>
      <c r="BA164" s="68"/>
      <c r="BB164" s="68"/>
      <c r="BC164" s="68"/>
      <c r="BD164" s="68"/>
      <c r="BE164" s="68"/>
      <c r="BF164" s="68"/>
      <c r="BG164" s="68"/>
      <c r="BH164" s="68"/>
      <c r="BI164" s="68"/>
      <c r="BJ164" s="68"/>
      <c r="BK164" s="68"/>
      <c r="BL164" s="68"/>
      <c r="BM164" s="68"/>
      <c r="BN164" s="68"/>
      <c r="BO164" s="68"/>
      <c r="BP164" s="68"/>
      <c r="BQ164" s="68"/>
      <c r="CE164" s="93"/>
      <c r="CP164" s="91"/>
      <c r="CQ164" s="93"/>
      <c r="CR164" s="93"/>
      <c r="DD164" s="93"/>
      <c r="DP164" s="93"/>
      <c r="EY164" s="162"/>
    </row>
    <row r="165" spans="2:155" s="65" customFormat="1" ht="20.05" customHeight="1" x14ac:dyDescent="0.25">
      <c r="B165" s="67"/>
      <c r="AI165" s="189"/>
      <c r="AJ165" s="189"/>
      <c r="AK165" s="189"/>
      <c r="AL165" s="189"/>
      <c r="AM165" s="189"/>
      <c r="AX165" s="66"/>
      <c r="AZ165" s="66"/>
      <c r="BA165" s="66"/>
      <c r="BB165" s="66"/>
      <c r="BC165" s="66"/>
      <c r="BD165" s="66"/>
      <c r="BE165" s="66"/>
      <c r="BF165" s="66"/>
      <c r="BG165" s="66"/>
      <c r="BH165" s="66"/>
      <c r="BI165" s="66"/>
      <c r="BJ165" s="66"/>
      <c r="BK165" s="66"/>
      <c r="BL165" s="66"/>
      <c r="BM165" s="66"/>
      <c r="BN165" s="66"/>
      <c r="BO165" s="66"/>
      <c r="BP165" s="66"/>
      <c r="BQ165" s="66"/>
      <c r="CE165" s="93"/>
      <c r="CP165" s="91"/>
      <c r="CQ165" s="93"/>
      <c r="CR165" s="93"/>
      <c r="DD165" s="93"/>
      <c r="DP165" s="93"/>
      <c r="EY165" s="162"/>
    </row>
    <row r="166" spans="2:155" s="65" customFormat="1" ht="20.05" customHeight="1" x14ac:dyDescent="0.25">
      <c r="B166" s="67"/>
      <c r="AI166" s="189"/>
      <c r="AJ166" s="189"/>
      <c r="AK166" s="189"/>
      <c r="AL166" s="189"/>
      <c r="AM166" s="189"/>
      <c r="AX166" s="66"/>
      <c r="AZ166" s="66"/>
      <c r="BA166" s="66"/>
      <c r="BB166" s="66"/>
      <c r="BC166" s="66"/>
      <c r="BD166" s="66"/>
      <c r="BE166" s="66"/>
      <c r="BF166" s="66"/>
      <c r="BG166" s="66"/>
      <c r="BH166" s="66"/>
      <c r="BI166" s="66"/>
      <c r="BJ166" s="66"/>
      <c r="BK166" s="66"/>
      <c r="BL166" s="66"/>
      <c r="BM166" s="66"/>
      <c r="BN166" s="66"/>
      <c r="BO166" s="66"/>
      <c r="BP166" s="66"/>
      <c r="BQ166" s="66"/>
      <c r="CE166" s="93"/>
      <c r="CP166" s="91"/>
      <c r="CQ166" s="93"/>
      <c r="CR166" s="93"/>
      <c r="DD166" s="93"/>
      <c r="DP166" s="93"/>
      <c r="EY166" s="162"/>
    </row>
    <row r="167" spans="2:155" s="65" customFormat="1" ht="20.05" customHeight="1" x14ac:dyDescent="0.25">
      <c r="B167" s="67"/>
      <c r="AI167" s="189"/>
      <c r="AJ167" s="189"/>
      <c r="AK167" s="189"/>
      <c r="AL167" s="189"/>
      <c r="AM167" s="189"/>
      <c r="AX167" s="66"/>
      <c r="AZ167" s="66"/>
      <c r="BA167" s="66"/>
      <c r="BB167" s="66"/>
      <c r="BC167" s="66"/>
      <c r="BD167" s="66"/>
      <c r="BE167" s="66"/>
      <c r="BF167" s="66"/>
      <c r="BG167" s="66"/>
      <c r="BH167" s="66"/>
      <c r="BI167" s="66"/>
      <c r="BJ167" s="66"/>
      <c r="BK167" s="66"/>
      <c r="BL167" s="66"/>
      <c r="BM167" s="66"/>
      <c r="BN167" s="66"/>
      <c r="BO167" s="66"/>
      <c r="BP167" s="66"/>
      <c r="BQ167" s="66"/>
      <c r="CE167" s="93"/>
      <c r="CP167" s="91"/>
      <c r="CQ167" s="93"/>
      <c r="CR167" s="93"/>
      <c r="DD167" s="93"/>
      <c r="DP167" s="93"/>
      <c r="EY167" s="162"/>
    </row>
    <row r="168" spans="2:155" s="65" customFormat="1" ht="32.450000000000003" customHeight="1" x14ac:dyDescent="0.25">
      <c r="B168" s="67"/>
      <c r="AI168" s="189"/>
      <c r="AJ168" s="189"/>
      <c r="AK168" s="189"/>
      <c r="AL168" s="189"/>
      <c r="AM168" s="189"/>
      <c r="AX168" s="66"/>
      <c r="AZ168" s="66"/>
      <c r="BA168" s="66"/>
      <c r="BB168" s="66"/>
      <c r="BC168" s="66"/>
      <c r="BD168" s="66"/>
      <c r="BE168" s="66"/>
      <c r="BF168" s="66"/>
      <c r="BG168" s="66"/>
      <c r="BH168" s="66"/>
      <c r="BI168" s="66"/>
      <c r="BJ168" s="66"/>
      <c r="BK168" s="66"/>
      <c r="BL168" s="66"/>
      <c r="BM168" s="66"/>
      <c r="BN168" s="66"/>
      <c r="BO168" s="66"/>
      <c r="BP168" s="66"/>
      <c r="BQ168" s="66"/>
      <c r="CE168" s="93"/>
      <c r="CP168" s="91"/>
      <c r="CQ168" s="93"/>
      <c r="CR168" s="93"/>
      <c r="DD168" s="93"/>
      <c r="DP168" s="93"/>
      <c r="EY168" s="162"/>
    </row>
    <row r="169" spans="2:155" s="65" customFormat="1" ht="20.05" customHeight="1" x14ac:dyDescent="0.25">
      <c r="B169" s="67"/>
      <c r="AI169" s="189"/>
      <c r="AJ169" s="189"/>
      <c r="AK169" s="189"/>
      <c r="AL169" s="189"/>
      <c r="AM169" s="189"/>
      <c r="AX169" s="66"/>
      <c r="AZ169" s="66"/>
      <c r="BA169" s="66"/>
      <c r="BB169" s="66"/>
      <c r="BC169" s="66"/>
      <c r="BD169" s="66"/>
      <c r="BE169" s="66"/>
      <c r="BF169" s="66"/>
      <c r="BG169" s="66"/>
      <c r="BH169" s="66"/>
      <c r="BI169" s="66"/>
      <c r="BJ169" s="66"/>
      <c r="BK169" s="66"/>
      <c r="BL169" s="66"/>
      <c r="BM169" s="66"/>
      <c r="BN169" s="66"/>
      <c r="BO169" s="66"/>
      <c r="BP169" s="66"/>
      <c r="BQ169" s="66"/>
      <c r="CE169" s="93"/>
      <c r="CP169" s="91"/>
      <c r="CQ169" s="93"/>
      <c r="CR169" s="93"/>
      <c r="DD169" s="93"/>
      <c r="DP169" s="93"/>
      <c r="EY169" s="162"/>
    </row>
    <row r="170" spans="2:155" s="65" customFormat="1" ht="20.05" customHeight="1" x14ac:dyDescent="0.25">
      <c r="B170" s="67"/>
      <c r="AI170" s="189"/>
      <c r="AJ170" s="189"/>
      <c r="AK170" s="189"/>
      <c r="AL170" s="189"/>
      <c r="AM170" s="189"/>
      <c r="AX170" s="66"/>
      <c r="AZ170" s="66"/>
      <c r="BA170" s="66"/>
      <c r="BB170" s="66"/>
      <c r="BC170" s="66"/>
      <c r="BD170" s="66"/>
      <c r="BE170" s="66"/>
      <c r="BF170" s="66"/>
      <c r="BG170" s="66"/>
      <c r="BH170" s="66"/>
      <c r="BI170" s="66"/>
      <c r="BJ170" s="66"/>
      <c r="BK170" s="66"/>
      <c r="BL170" s="66"/>
      <c r="BM170" s="66"/>
      <c r="BN170" s="66"/>
      <c r="BO170" s="66"/>
      <c r="BP170" s="66"/>
      <c r="BQ170" s="66"/>
      <c r="CE170" s="93"/>
      <c r="CP170" s="91"/>
      <c r="CQ170" s="93"/>
      <c r="CR170" s="93"/>
      <c r="DD170" s="93"/>
      <c r="DP170" s="93"/>
      <c r="EY170" s="162"/>
    </row>
    <row r="171" spans="2:155" s="65" customFormat="1" ht="20.05" customHeight="1" x14ac:dyDescent="0.25">
      <c r="B171" s="67"/>
      <c r="AI171" s="189"/>
      <c r="AJ171" s="189"/>
      <c r="AK171" s="189"/>
      <c r="AL171" s="189"/>
      <c r="AM171" s="189"/>
      <c r="AR171" s="68"/>
      <c r="AT171" s="68"/>
      <c r="CE171" s="93"/>
      <c r="CP171" s="91"/>
      <c r="CQ171" s="93"/>
      <c r="CR171" s="93"/>
      <c r="DD171" s="93"/>
      <c r="DP171" s="93"/>
      <c r="EY171" s="162"/>
    </row>
    <row r="172" spans="2:155" s="65" customFormat="1" ht="20.05" customHeight="1" x14ac:dyDescent="0.25">
      <c r="B172" s="67"/>
      <c r="AI172" s="189"/>
      <c r="AJ172" s="189"/>
      <c r="AK172" s="189"/>
      <c r="AL172" s="189"/>
      <c r="AM172" s="189"/>
      <c r="AR172" s="68"/>
      <c r="AT172" s="68"/>
      <c r="CE172" s="93"/>
      <c r="CP172" s="91"/>
      <c r="CQ172" s="93"/>
      <c r="CR172" s="93"/>
      <c r="DD172" s="93"/>
      <c r="DP172" s="93"/>
      <c r="EY172" s="162"/>
    </row>
    <row r="173" spans="2:155" s="65" customFormat="1" ht="20.05" customHeight="1" x14ac:dyDescent="0.25">
      <c r="B173" s="67"/>
      <c r="AI173" s="189"/>
      <c r="AJ173" s="189"/>
      <c r="AK173" s="189"/>
      <c r="AL173" s="189"/>
      <c r="AM173" s="189"/>
      <c r="AR173" s="68"/>
      <c r="AT173" s="68"/>
      <c r="CE173" s="93"/>
      <c r="CP173" s="91"/>
      <c r="CQ173" s="93"/>
      <c r="CR173" s="93"/>
      <c r="DD173" s="93"/>
      <c r="DP173" s="93"/>
      <c r="EY173" s="162"/>
    </row>
    <row r="174" spans="2:155" s="65" customFormat="1" ht="20.05" customHeight="1" x14ac:dyDescent="0.25">
      <c r="B174" s="67"/>
      <c r="AI174" s="189"/>
      <c r="AJ174" s="189"/>
      <c r="AK174" s="189"/>
      <c r="AL174" s="189"/>
      <c r="AM174" s="189"/>
      <c r="AR174" s="68"/>
      <c r="AT174" s="68"/>
      <c r="CE174" s="93"/>
      <c r="CP174" s="91"/>
      <c r="CQ174" s="93"/>
      <c r="CR174" s="93"/>
      <c r="DD174" s="93"/>
      <c r="DP174" s="93"/>
      <c r="EY174" s="162"/>
    </row>
    <row r="175" spans="2:155" s="65" customFormat="1" ht="20.05" customHeight="1" x14ac:dyDescent="0.25">
      <c r="B175" s="67"/>
      <c r="AI175" s="189"/>
      <c r="AJ175" s="189"/>
      <c r="AK175" s="189"/>
      <c r="AL175" s="189"/>
      <c r="AM175" s="189"/>
      <c r="AR175" s="68"/>
      <c r="AT175" s="67"/>
      <c r="CE175" s="93"/>
      <c r="CP175" s="91"/>
      <c r="CQ175" s="93"/>
      <c r="CR175" s="93"/>
      <c r="DD175" s="93"/>
      <c r="DP175" s="93"/>
      <c r="EY175" s="162"/>
    </row>
    <row r="176" spans="2:155" s="65" customFormat="1" ht="35.35" customHeight="1" x14ac:dyDescent="0.25">
      <c r="B176" s="67"/>
      <c r="AI176" s="189"/>
      <c r="AJ176" s="189"/>
      <c r="AK176" s="189"/>
      <c r="AL176" s="189"/>
      <c r="AM176" s="189"/>
      <c r="AR176" s="68"/>
      <c r="AT176" s="66"/>
      <c r="CE176" s="93"/>
      <c r="CP176" s="91"/>
      <c r="CQ176" s="93"/>
      <c r="CR176" s="93"/>
      <c r="DD176" s="93"/>
      <c r="DP176" s="93"/>
      <c r="EY176" s="162"/>
    </row>
    <row r="177" spans="2:155" s="65" customFormat="1" ht="20.05" customHeight="1" x14ac:dyDescent="0.25">
      <c r="B177" s="67"/>
      <c r="AI177" s="189"/>
      <c r="AJ177" s="189"/>
      <c r="AK177" s="189"/>
      <c r="AL177" s="189"/>
      <c r="AM177" s="189"/>
      <c r="AR177" s="66"/>
      <c r="AT177" s="66"/>
      <c r="CE177" s="93"/>
      <c r="CP177" s="91"/>
      <c r="CQ177" s="93"/>
      <c r="CR177" s="93"/>
      <c r="DD177" s="93"/>
      <c r="DP177" s="93"/>
      <c r="EY177" s="162"/>
    </row>
    <row r="178" spans="2:155" s="65" customFormat="1" ht="20.05" customHeight="1" x14ac:dyDescent="0.25">
      <c r="B178" s="67"/>
      <c r="AI178" s="189"/>
      <c r="AJ178" s="189"/>
      <c r="AK178" s="189"/>
      <c r="AL178" s="189"/>
      <c r="AM178" s="189"/>
      <c r="AR178" s="66"/>
      <c r="AT178" s="66"/>
      <c r="CE178" s="93"/>
      <c r="CP178" s="91"/>
      <c r="CQ178" s="93"/>
      <c r="CR178" s="93"/>
      <c r="DD178" s="93"/>
      <c r="DP178" s="93"/>
      <c r="EY178" s="162"/>
    </row>
    <row r="179" spans="2:155" s="65" customFormat="1" x14ac:dyDescent="0.25">
      <c r="B179" s="67"/>
      <c r="D179" s="190"/>
      <c r="E179" s="190"/>
      <c r="F179" s="190"/>
      <c r="G179" s="190"/>
      <c r="H179" s="190"/>
      <c r="I179" s="190"/>
      <c r="J179" s="190"/>
      <c r="K179" s="190"/>
      <c r="L179" s="190"/>
      <c r="M179" s="190"/>
      <c r="N179" s="190"/>
      <c r="O179" s="190"/>
      <c r="P179" s="190"/>
      <c r="Q179" s="190"/>
      <c r="R179" s="190"/>
      <c r="S179" s="190"/>
      <c r="T179" s="190"/>
      <c r="U179" s="190"/>
      <c r="V179" s="190"/>
      <c r="W179" s="190"/>
      <c r="X179" s="190"/>
      <c r="Y179" s="190"/>
      <c r="Z179" s="190"/>
      <c r="AA179" s="185"/>
      <c r="AB179" s="185"/>
      <c r="AC179" s="185"/>
      <c r="AD179" s="185"/>
      <c r="AE179" s="185"/>
      <c r="AF179" s="185"/>
      <c r="AG179" s="185"/>
      <c r="AH179" s="185"/>
      <c r="AI179" s="185"/>
      <c r="AJ179" s="185"/>
      <c r="AK179" s="185"/>
      <c r="AL179" s="185"/>
      <c r="AM179" s="185"/>
      <c r="CE179" s="93"/>
      <c r="CP179" s="91"/>
      <c r="CQ179" s="93"/>
      <c r="CR179" s="93"/>
      <c r="DD179" s="93"/>
      <c r="DP179" s="93"/>
      <c r="EY179" s="162"/>
    </row>
    <row r="180" spans="2:155" s="65" customFormat="1" x14ac:dyDescent="0.25">
      <c r="B180" s="67"/>
      <c r="D180" s="190"/>
      <c r="E180" s="190"/>
      <c r="F180" s="190"/>
      <c r="G180" s="190"/>
      <c r="H180" s="190"/>
      <c r="I180" s="190"/>
      <c r="J180" s="190"/>
      <c r="K180" s="190"/>
      <c r="L180" s="190"/>
      <c r="M180" s="190"/>
      <c r="N180" s="190"/>
      <c r="O180" s="190"/>
      <c r="P180" s="190"/>
      <c r="Q180" s="190"/>
      <c r="R180" s="190"/>
      <c r="S180" s="190"/>
      <c r="T180" s="190"/>
      <c r="U180" s="190"/>
      <c r="V180" s="190"/>
      <c r="W180" s="190"/>
      <c r="X180" s="190"/>
      <c r="Y180" s="190"/>
      <c r="Z180" s="190"/>
      <c r="AA180" s="185"/>
      <c r="AB180" s="185"/>
      <c r="AC180" s="185"/>
      <c r="AD180" s="185"/>
      <c r="AE180" s="185"/>
      <c r="AF180" s="185"/>
      <c r="AG180" s="185"/>
      <c r="AH180" s="185"/>
      <c r="AI180" s="185"/>
      <c r="AJ180" s="185"/>
      <c r="AK180" s="185"/>
      <c r="AL180" s="185"/>
      <c r="AM180" s="185"/>
      <c r="CE180" s="93"/>
      <c r="CP180" s="91"/>
      <c r="CQ180" s="93"/>
      <c r="CR180" s="93"/>
      <c r="DD180" s="93"/>
      <c r="DP180" s="93"/>
      <c r="EY180" s="162"/>
    </row>
    <row r="181" spans="2:155" s="65" customFormat="1" x14ac:dyDescent="0.25">
      <c r="B181" s="67"/>
      <c r="D181" s="190"/>
      <c r="E181" s="190"/>
      <c r="F181" s="190"/>
      <c r="G181" s="190"/>
      <c r="H181" s="190"/>
      <c r="I181" s="190"/>
      <c r="J181" s="190"/>
      <c r="K181" s="190"/>
      <c r="L181" s="190"/>
      <c r="M181" s="190"/>
      <c r="N181" s="190"/>
      <c r="O181" s="190"/>
      <c r="P181" s="190"/>
      <c r="Q181" s="190"/>
      <c r="R181" s="190"/>
      <c r="S181" s="190"/>
      <c r="T181" s="190"/>
      <c r="U181" s="190"/>
      <c r="V181" s="190"/>
      <c r="W181" s="190"/>
      <c r="X181" s="190"/>
      <c r="Y181" s="190"/>
      <c r="Z181" s="190"/>
      <c r="AA181" s="185"/>
      <c r="AB181" s="185"/>
      <c r="AC181" s="185"/>
      <c r="AD181" s="185"/>
      <c r="AE181" s="185"/>
      <c r="AF181" s="185"/>
      <c r="AG181" s="185"/>
      <c r="AH181" s="185"/>
      <c r="AI181" s="185"/>
      <c r="AJ181" s="185"/>
      <c r="AK181" s="185"/>
      <c r="AL181" s="185"/>
      <c r="AM181" s="185"/>
      <c r="CE181" s="93"/>
      <c r="CP181" s="91"/>
      <c r="CQ181" s="93"/>
      <c r="CR181" s="93"/>
      <c r="DD181" s="93"/>
      <c r="DP181" s="93"/>
      <c r="EY181" s="162"/>
    </row>
    <row r="182" spans="2:155" s="65" customFormat="1" x14ac:dyDescent="0.25">
      <c r="B182" s="67"/>
      <c r="D182" s="185"/>
      <c r="E182" s="185"/>
      <c r="F182" s="185"/>
      <c r="G182" s="185"/>
      <c r="H182" s="185"/>
      <c r="I182" s="185"/>
      <c r="J182" s="185"/>
      <c r="K182" s="185"/>
      <c r="L182" s="185"/>
      <c r="M182" s="185"/>
      <c r="N182" s="185"/>
      <c r="O182" s="185"/>
      <c r="P182" s="185"/>
      <c r="Q182" s="185"/>
      <c r="R182" s="185"/>
      <c r="S182" s="185"/>
      <c r="T182" s="185"/>
      <c r="U182" s="185"/>
      <c r="V182" s="185"/>
      <c r="W182" s="185"/>
      <c r="X182" s="185"/>
      <c r="Y182" s="185"/>
      <c r="Z182" s="185"/>
      <c r="AA182" s="185"/>
      <c r="AB182" s="185"/>
      <c r="AC182" s="185"/>
      <c r="AD182" s="185"/>
      <c r="AE182" s="185"/>
      <c r="AF182" s="185"/>
      <c r="AG182" s="185"/>
      <c r="AH182" s="185"/>
      <c r="AI182" s="185"/>
      <c r="AJ182" s="185"/>
      <c r="AK182" s="185"/>
      <c r="AL182" s="185"/>
      <c r="AM182" s="185"/>
      <c r="CE182" s="93"/>
      <c r="CP182" s="91"/>
      <c r="CQ182" s="93"/>
      <c r="CR182" s="93"/>
      <c r="DD182" s="93"/>
      <c r="DP182" s="93"/>
      <c r="EY182" s="162"/>
    </row>
    <row r="183" spans="2:155" s="65" customFormat="1" x14ac:dyDescent="0.25">
      <c r="B183" s="67"/>
      <c r="D183" s="185"/>
      <c r="E183" s="185"/>
      <c r="F183" s="185"/>
      <c r="G183" s="185"/>
      <c r="H183" s="185"/>
      <c r="I183" s="185"/>
      <c r="J183" s="185"/>
      <c r="K183" s="185"/>
      <c r="L183" s="185"/>
      <c r="M183" s="185"/>
      <c r="N183" s="185"/>
      <c r="O183" s="185"/>
      <c r="P183" s="185"/>
      <c r="Q183" s="185"/>
      <c r="R183" s="185"/>
      <c r="S183" s="185"/>
      <c r="T183" s="185"/>
      <c r="U183" s="185"/>
      <c r="V183" s="185"/>
      <c r="W183" s="185"/>
      <c r="X183" s="185"/>
      <c r="Y183" s="185"/>
      <c r="Z183" s="185"/>
      <c r="AA183" s="185"/>
      <c r="AB183" s="185"/>
      <c r="AC183" s="185"/>
      <c r="AD183" s="185"/>
      <c r="AE183" s="185"/>
      <c r="AF183" s="185"/>
      <c r="AG183" s="185"/>
      <c r="AH183" s="185"/>
      <c r="AI183" s="185"/>
      <c r="AJ183" s="185"/>
      <c r="AK183" s="185"/>
      <c r="AL183" s="185"/>
      <c r="AM183" s="185"/>
      <c r="CE183" s="93"/>
      <c r="CP183" s="91"/>
      <c r="CQ183" s="93"/>
      <c r="CR183" s="93"/>
      <c r="DD183" s="93"/>
      <c r="DP183" s="93"/>
      <c r="EY183" s="162"/>
    </row>
    <row r="184" spans="2:155" s="65" customFormat="1" x14ac:dyDescent="0.25">
      <c r="B184" s="67"/>
      <c r="D184" s="185"/>
      <c r="E184" s="185"/>
      <c r="F184" s="185"/>
      <c r="G184" s="185"/>
      <c r="H184" s="185"/>
      <c r="I184" s="185"/>
      <c r="J184" s="185"/>
      <c r="K184" s="185"/>
      <c r="L184" s="185"/>
      <c r="M184" s="185"/>
      <c r="N184" s="185"/>
      <c r="O184" s="185"/>
      <c r="P184" s="185"/>
      <c r="Q184" s="185"/>
      <c r="R184" s="185"/>
      <c r="S184" s="185"/>
      <c r="T184" s="185"/>
      <c r="U184" s="185"/>
      <c r="V184" s="185"/>
      <c r="W184" s="185"/>
      <c r="X184" s="185"/>
      <c r="Y184" s="185"/>
      <c r="Z184" s="185"/>
      <c r="AA184" s="185"/>
      <c r="AB184" s="185"/>
      <c r="AC184" s="185"/>
      <c r="AD184" s="185"/>
      <c r="AE184" s="185"/>
      <c r="AF184" s="185"/>
      <c r="AG184" s="185"/>
      <c r="AH184" s="185"/>
      <c r="AI184" s="185"/>
      <c r="AJ184" s="185"/>
      <c r="AK184" s="185"/>
      <c r="AL184" s="185"/>
      <c r="AM184" s="185"/>
      <c r="CE184" s="93"/>
      <c r="CP184" s="91"/>
      <c r="CQ184" s="93"/>
      <c r="CR184" s="93"/>
      <c r="DD184" s="93"/>
      <c r="DP184" s="93"/>
      <c r="EY184" s="162"/>
    </row>
    <row r="185" spans="2:155" s="65" customFormat="1" x14ac:dyDescent="0.25">
      <c r="B185" s="67"/>
      <c r="D185" s="185"/>
      <c r="E185" s="185"/>
      <c r="F185" s="185"/>
      <c r="G185" s="185"/>
      <c r="H185" s="185"/>
      <c r="I185" s="185"/>
      <c r="J185" s="185"/>
      <c r="K185" s="185"/>
      <c r="L185" s="185"/>
      <c r="M185" s="185"/>
      <c r="N185" s="185"/>
      <c r="O185" s="185"/>
      <c r="P185" s="185"/>
      <c r="Q185" s="185"/>
      <c r="R185" s="185"/>
      <c r="S185" s="185"/>
      <c r="T185" s="185"/>
      <c r="U185" s="185"/>
      <c r="V185" s="185"/>
      <c r="W185" s="185"/>
      <c r="X185" s="185"/>
      <c r="Y185" s="185"/>
      <c r="Z185" s="185"/>
      <c r="AA185" s="185"/>
      <c r="AB185" s="185"/>
      <c r="AC185" s="185"/>
      <c r="AD185" s="185"/>
      <c r="AE185" s="185"/>
      <c r="AF185" s="185"/>
      <c r="AG185" s="185"/>
      <c r="AH185" s="185"/>
      <c r="AI185" s="185"/>
      <c r="AJ185" s="185"/>
      <c r="AK185" s="185"/>
      <c r="AL185" s="185"/>
      <c r="AM185" s="185"/>
      <c r="CE185" s="93"/>
      <c r="CP185" s="91"/>
      <c r="CQ185" s="93"/>
      <c r="CR185" s="93"/>
      <c r="DD185" s="93"/>
      <c r="DP185" s="93"/>
      <c r="EY185" s="162"/>
    </row>
    <row r="186" spans="2:155" s="65" customFormat="1" x14ac:dyDescent="0.25">
      <c r="B186" s="67"/>
      <c r="D186" s="185"/>
      <c r="E186" s="185"/>
      <c r="F186" s="185"/>
      <c r="G186" s="185"/>
      <c r="H186" s="185"/>
      <c r="I186" s="185"/>
      <c r="J186" s="185"/>
      <c r="K186" s="185"/>
      <c r="L186" s="185"/>
      <c r="M186" s="185"/>
      <c r="N186" s="185"/>
      <c r="O186" s="185"/>
      <c r="P186" s="185"/>
      <c r="Q186" s="185"/>
      <c r="R186" s="185"/>
      <c r="S186" s="185"/>
      <c r="T186" s="185"/>
      <c r="U186" s="185"/>
      <c r="V186" s="185"/>
      <c r="W186" s="185"/>
      <c r="X186" s="185"/>
      <c r="Y186" s="185"/>
      <c r="Z186" s="185"/>
      <c r="AA186" s="185"/>
      <c r="AB186" s="185"/>
      <c r="AC186" s="185"/>
      <c r="AD186" s="185"/>
      <c r="AE186" s="185"/>
      <c r="AF186" s="185"/>
      <c r="AG186" s="185"/>
      <c r="AH186" s="185"/>
      <c r="AI186" s="185"/>
      <c r="AJ186" s="185"/>
      <c r="AK186" s="185"/>
      <c r="AL186" s="185"/>
      <c r="AM186" s="185"/>
      <c r="CE186" s="93"/>
      <c r="CP186" s="91"/>
      <c r="CQ186" s="93"/>
      <c r="CR186" s="93"/>
      <c r="DD186" s="93"/>
      <c r="DP186" s="93"/>
      <c r="EY186" s="162"/>
    </row>
    <row r="187" spans="2:155" s="65" customFormat="1" x14ac:dyDescent="0.25">
      <c r="B187" s="67"/>
      <c r="D187" s="185"/>
      <c r="E187" s="185"/>
      <c r="F187" s="185"/>
      <c r="G187" s="185"/>
      <c r="H187" s="185"/>
      <c r="I187" s="185"/>
      <c r="J187" s="185"/>
      <c r="K187" s="185"/>
      <c r="L187" s="185"/>
      <c r="M187" s="185"/>
      <c r="N187" s="185"/>
      <c r="O187" s="185"/>
      <c r="P187" s="185"/>
      <c r="Q187" s="185"/>
      <c r="R187" s="185"/>
      <c r="S187" s="185"/>
      <c r="T187" s="185"/>
      <c r="U187" s="185"/>
      <c r="V187" s="185"/>
      <c r="W187" s="185"/>
      <c r="X187" s="185"/>
      <c r="Y187" s="185"/>
      <c r="Z187" s="185"/>
      <c r="AA187" s="185"/>
      <c r="AB187" s="185"/>
      <c r="AC187" s="185"/>
      <c r="AD187" s="185"/>
      <c r="AE187" s="185"/>
      <c r="AF187" s="185"/>
      <c r="AG187" s="185"/>
      <c r="AH187" s="185"/>
      <c r="AI187" s="185"/>
      <c r="AJ187" s="185"/>
      <c r="AK187" s="185"/>
      <c r="AL187" s="185"/>
      <c r="AM187" s="185"/>
      <c r="CE187" s="93"/>
      <c r="CP187" s="91"/>
      <c r="CQ187" s="93"/>
      <c r="CR187" s="93"/>
      <c r="DD187" s="93"/>
      <c r="DP187" s="93"/>
      <c r="EY187" s="162"/>
    </row>
    <row r="188" spans="2:155" s="65" customFormat="1" x14ac:dyDescent="0.25">
      <c r="B188" s="67"/>
      <c r="D188" s="185"/>
      <c r="E188" s="185"/>
      <c r="F188" s="185"/>
      <c r="G188" s="185"/>
      <c r="H188" s="185"/>
      <c r="I188" s="185"/>
      <c r="J188" s="185"/>
      <c r="K188" s="185"/>
      <c r="L188" s="185"/>
      <c r="M188" s="185"/>
      <c r="N188" s="185"/>
      <c r="O188" s="185"/>
      <c r="P188" s="185"/>
      <c r="Q188" s="185"/>
      <c r="R188" s="185"/>
      <c r="S188" s="185"/>
      <c r="T188" s="185"/>
      <c r="U188" s="185"/>
      <c r="V188" s="185"/>
      <c r="W188" s="185"/>
      <c r="X188" s="185"/>
      <c r="Y188" s="185"/>
      <c r="Z188" s="185"/>
      <c r="AA188" s="185"/>
      <c r="AB188" s="185"/>
      <c r="AC188" s="185"/>
      <c r="AD188" s="185"/>
      <c r="AE188" s="185"/>
      <c r="AF188" s="185"/>
      <c r="AG188" s="185"/>
      <c r="AH188" s="185"/>
      <c r="AI188" s="185"/>
      <c r="AJ188" s="185"/>
      <c r="AK188" s="185"/>
      <c r="AL188" s="185"/>
      <c r="AM188" s="185"/>
      <c r="CE188" s="93"/>
      <c r="CP188" s="91"/>
      <c r="CQ188" s="93"/>
      <c r="CR188" s="93"/>
      <c r="DD188" s="93"/>
      <c r="DP188" s="93"/>
      <c r="EY188" s="162"/>
    </row>
    <row r="189" spans="2:155" s="65" customFormat="1" x14ac:dyDescent="0.25">
      <c r="B189" s="67"/>
      <c r="D189" s="185"/>
      <c r="E189" s="185"/>
      <c r="F189" s="185"/>
      <c r="G189" s="185"/>
      <c r="H189" s="185"/>
      <c r="I189" s="185"/>
      <c r="J189" s="185"/>
      <c r="K189" s="185"/>
      <c r="L189" s="185"/>
      <c r="M189" s="185"/>
      <c r="N189" s="185"/>
      <c r="O189" s="185"/>
      <c r="P189" s="185"/>
      <c r="Q189" s="185"/>
      <c r="R189" s="185"/>
      <c r="S189" s="185"/>
      <c r="T189" s="185"/>
      <c r="U189" s="185"/>
      <c r="V189" s="185"/>
      <c r="W189" s="185"/>
      <c r="X189" s="185"/>
      <c r="Y189" s="185"/>
      <c r="Z189" s="185"/>
      <c r="AA189" s="185"/>
      <c r="AB189" s="185"/>
      <c r="AC189" s="185"/>
      <c r="AD189" s="185"/>
      <c r="AE189" s="185"/>
      <c r="AF189" s="185"/>
      <c r="AG189" s="185"/>
      <c r="AH189" s="185"/>
      <c r="AI189" s="185"/>
      <c r="AJ189" s="185"/>
      <c r="AK189" s="185"/>
      <c r="AL189" s="185"/>
      <c r="AM189" s="185"/>
      <c r="CE189" s="93"/>
      <c r="CP189" s="91"/>
      <c r="CQ189" s="93"/>
      <c r="CR189" s="93"/>
      <c r="DD189" s="93"/>
      <c r="DP189" s="93"/>
      <c r="EY189" s="162"/>
    </row>
    <row r="190" spans="2:155" s="65" customFormat="1" x14ac:dyDescent="0.25">
      <c r="B190" s="67"/>
      <c r="D190" s="185"/>
      <c r="E190" s="185"/>
      <c r="F190" s="185"/>
      <c r="G190" s="185"/>
      <c r="H190" s="185"/>
      <c r="I190" s="185"/>
      <c r="J190" s="185"/>
      <c r="K190" s="185"/>
      <c r="L190" s="185"/>
      <c r="M190" s="185"/>
      <c r="N190" s="185"/>
      <c r="O190" s="185"/>
      <c r="P190" s="185"/>
      <c r="Q190" s="185"/>
      <c r="R190" s="185"/>
      <c r="S190" s="185"/>
      <c r="T190" s="185"/>
      <c r="U190" s="185"/>
      <c r="V190" s="185"/>
      <c r="W190" s="185"/>
      <c r="X190" s="185"/>
      <c r="Y190" s="185"/>
      <c r="Z190" s="185"/>
      <c r="AA190" s="185"/>
      <c r="AB190" s="185"/>
      <c r="AC190" s="185"/>
      <c r="AD190" s="185"/>
      <c r="AE190" s="185"/>
      <c r="AF190" s="185"/>
      <c r="AG190" s="185"/>
      <c r="AH190" s="185"/>
      <c r="AI190" s="185"/>
      <c r="AJ190" s="185"/>
      <c r="AK190" s="185"/>
      <c r="AL190" s="185"/>
      <c r="AM190" s="185"/>
      <c r="CE190" s="93"/>
      <c r="CP190" s="91"/>
      <c r="CQ190" s="93"/>
      <c r="CR190" s="93"/>
      <c r="DD190" s="93"/>
      <c r="DP190" s="93"/>
      <c r="EY190" s="162"/>
    </row>
    <row r="191" spans="2:155" s="65" customFormat="1" x14ac:dyDescent="0.25">
      <c r="B191" s="67"/>
      <c r="D191" s="185"/>
      <c r="E191" s="185"/>
      <c r="F191" s="185"/>
      <c r="G191" s="185"/>
      <c r="H191" s="185"/>
      <c r="I191" s="185"/>
      <c r="J191" s="185"/>
      <c r="K191" s="185"/>
      <c r="L191" s="185"/>
      <c r="M191" s="185"/>
      <c r="N191" s="185"/>
      <c r="O191" s="185"/>
      <c r="P191" s="185"/>
      <c r="Q191" s="185"/>
      <c r="R191" s="185"/>
      <c r="S191" s="185"/>
      <c r="T191" s="185"/>
      <c r="U191" s="185"/>
      <c r="V191" s="185"/>
      <c r="W191" s="185"/>
      <c r="X191" s="185"/>
      <c r="Y191" s="185"/>
      <c r="Z191" s="185"/>
      <c r="AA191" s="185"/>
      <c r="AB191" s="185"/>
      <c r="AC191" s="185"/>
      <c r="AD191" s="185"/>
      <c r="AE191" s="185"/>
      <c r="AF191" s="185"/>
      <c r="AG191" s="185"/>
      <c r="AH191" s="185"/>
      <c r="AI191" s="185"/>
      <c r="AJ191" s="185"/>
      <c r="AK191" s="185"/>
      <c r="AL191" s="185"/>
      <c r="AM191" s="185"/>
      <c r="CE191" s="93"/>
      <c r="CP191" s="91"/>
      <c r="CQ191" s="93"/>
      <c r="CR191" s="93"/>
      <c r="DD191" s="93"/>
      <c r="DP191" s="93"/>
      <c r="EY191" s="162"/>
    </row>
    <row r="192" spans="2:155" s="65" customFormat="1" x14ac:dyDescent="0.25">
      <c r="B192" s="67"/>
      <c r="D192" s="185"/>
      <c r="E192" s="185"/>
      <c r="F192" s="185"/>
      <c r="G192" s="185"/>
      <c r="H192" s="185"/>
      <c r="I192" s="185"/>
      <c r="J192" s="185"/>
      <c r="K192" s="185"/>
      <c r="L192" s="185"/>
      <c r="M192" s="185"/>
      <c r="N192" s="185"/>
      <c r="O192" s="185"/>
      <c r="P192" s="185"/>
      <c r="Q192" s="185"/>
      <c r="R192" s="185"/>
      <c r="S192" s="185"/>
      <c r="T192" s="185"/>
      <c r="U192" s="185"/>
      <c r="V192" s="185"/>
      <c r="W192" s="185"/>
      <c r="X192" s="185"/>
      <c r="Y192" s="185"/>
      <c r="Z192" s="185"/>
      <c r="AA192" s="185"/>
      <c r="AB192" s="185"/>
      <c r="AC192" s="185"/>
      <c r="AD192" s="185"/>
      <c r="AE192" s="185"/>
      <c r="AF192" s="185"/>
      <c r="AG192" s="185"/>
      <c r="AH192" s="185"/>
      <c r="AI192" s="185"/>
      <c r="AJ192" s="185"/>
      <c r="AK192" s="185"/>
      <c r="AL192" s="185"/>
      <c r="AM192" s="185"/>
      <c r="CE192" s="93"/>
      <c r="CP192" s="91"/>
      <c r="CQ192" s="93"/>
      <c r="CR192" s="93"/>
      <c r="DD192" s="93"/>
      <c r="DP192" s="93"/>
      <c r="EY192" s="162"/>
    </row>
    <row r="193" spans="2:155" s="65" customFormat="1" x14ac:dyDescent="0.25">
      <c r="B193" s="67"/>
      <c r="D193" s="185"/>
      <c r="E193" s="185"/>
      <c r="F193" s="185"/>
      <c r="G193" s="185"/>
      <c r="H193" s="185"/>
      <c r="I193" s="185"/>
      <c r="J193" s="185"/>
      <c r="K193" s="185"/>
      <c r="L193" s="185"/>
      <c r="M193" s="185"/>
      <c r="N193" s="185"/>
      <c r="O193" s="185"/>
      <c r="P193" s="185"/>
      <c r="Q193" s="185"/>
      <c r="R193" s="185"/>
      <c r="S193" s="185"/>
      <c r="T193" s="185"/>
      <c r="U193" s="185"/>
      <c r="V193" s="185"/>
      <c r="W193" s="185"/>
      <c r="X193" s="185"/>
      <c r="Y193" s="185"/>
      <c r="Z193" s="185"/>
      <c r="AA193" s="185"/>
      <c r="AB193" s="185"/>
      <c r="AC193" s="185"/>
      <c r="AD193" s="185"/>
      <c r="AE193" s="185"/>
      <c r="AF193" s="185"/>
      <c r="AG193" s="185"/>
      <c r="AH193" s="185"/>
      <c r="AI193" s="185"/>
      <c r="AJ193" s="185"/>
      <c r="AK193" s="185"/>
      <c r="AL193" s="185"/>
      <c r="AM193" s="185"/>
      <c r="CE193" s="93"/>
      <c r="CP193" s="91"/>
      <c r="CQ193" s="93"/>
      <c r="CR193" s="93"/>
      <c r="DD193" s="93"/>
      <c r="DP193" s="93"/>
      <c r="EY193" s="162"/>
    </row>
    <row r="194" spans="2:155" s="65" customFormat="1" x14ac:dyDescent="0.25">
      <c r="B194" s="67"/>
      <c r="D194" s="185"/>
      <c r="E194" s="185"/>
      <c r="F194" s="185"/>
      <c r="G194" s="185"/>
      <c r="H194" s="185"/>
      <c r="I194" s="185"/>
      <c r="J194" s="185"/>
      <c r="K194" s="185"/>
      <c r="L194" s="185"/>
      <c r="M194" s="185"/>
      <c r="N194" s="185"/>
      <c r="O194" s="185"/>
      <c r="P194" s="185"/>
      <c r="Q194" s="185"/>
      <c r="R194" s="185"/>
      <c r="S194" s="185"/>
      <c r="T194" s="185"/>
      <c r="U194" s="185"/>
      <c r="V194" s="185"/>
      <c r="W194" s="185"/>
      <c r="X194" s="185"/>
      <c r="Y194" s="185"/>
      <c r="Z194" s="185"/>
      <c r="AA194" s="185"/>
      <c r="AB194" s="185"/>
      <c r="AC194" s="185"/>
      <c r="AD194" s="185"/>
      <c r="AE194" s="185"/>
      <c r="AF194" s="185"/>
      <c r="AG194" s="185"/>
      <c r="AH194" s="185"/>
      <c r="AI194" s="185"/>
      <c r="AJ194" s="185"/>
      <c r="AK194" s="185"/>
      <c r="AL194" s="185"/>
      <c r="AM194" s="185"/>
      <c r="CE194" s="93"/>
      <c r="CP194" s="91"/>
      <c r="CQ194" s="93"/>
      <c r="CR194" s="93"/>
      <c r="DD194" s="93"/>
      <c r="DP194" s="93"/>
      <c r="EY194" s="162"/>
    </row>
    <row r="195" spans="2:155" s="65" customFormat="1" x14ac:dyDescent="0.25">
      <c r="B195" s="67"/>
      <c r="D195" s="185"/>
      <c r="E195" s="185"/>
      <c r="F195" s="185"/>
      <c r="G195" s="185"/>
      <c r="H195" s="185"/>
      <c r="I195" s="185"/>
      <c r="J195" s="185"/>
      <c r="K195" s="185"/>
      <c r="L195" s="185"/>
      <c r="M195" s="185"/>
      <c r="N195" s="185"/>
      <c r="O195" s="185"/>
      <c r="P195" s="185"/>
      <c r="Q195" s="185"/>
      <c r="R195" s="185"/>
      <c r="S195" s="185"/>
      <c r="T195" s="185"/>
      <c r="U195" s="185"/>
      <c r="V195" s="185"/>
      <c r="W195" s="185"/>
      <c r="X195" s="185"/>
      <c r="Y195" s="185"/>
      <c r="Z195" s="185"/>
      <c r="AA195" s="185"/>
      <c r="AB195" s="185"/>
      <c r="AC195" s="185"/>
      <c r="AD195" s="185"/>
      <c r="AE195" s="185"/>
      <c r="AF195" s="185"/>
      <c r="AG195" s="185"/>
      <c r="AH195" s="185"/>
      <c r="AI195" s="185"/>
      <c r="AJ195" s="185"/>
      <c r="AK195" s="185"/>
      <c r="AL195" s="185"/>
      <c r="AM195" s="185"/>
      <c r="CE195" s="93"/>
      <c r="CP195" s="91"/>
      <c r="CQ195" s="93"/>
      <c r="CR195" s="93"/>
      <c r="DD195" s="93"/>
      <c r="DP195" s="93"/>
      <c r="EY195" s="162"/>
    </row>
    <row r="196" spans="2:155" s="65" customFormat="1" x14ac:dyDescent="0.25">
      <c r="B196" s="67"/>
      <c r="D196" s="185"/>
      <c r="E196" s="185"/>
      <c r="F196" s="185"/>
      <c r="G196" s="185"/>
      <c r="H196" s="185"/>
      <c r="I196" s="185"/>
      <c r="J196" s="185"/>
      <c r="K196" s="185"/>
      <c r="L196" s="185"/>
      <c r="M196" s="185"/>
      <c r="N196" s="185"/>
      <c r="O196" s="185"/>
      <c r="P196" s="185"/>
      <c r="Q196" s="185"/>
      <c r="R196" s="185"/>
      <c r="S196" s="185"/>
      <c r="T196" s="185"/>
      <c r="U196" s="185"/>
      <c r="V196" s="185"/>
      <c r="W196" s="185"/>
      <c r="X196" s="185"/>
      <c r="Y196" s="185"/>
      <c r="Z196" s="185"/>
      <c r="AA196" s="185"/>
      <c r="AB196" s="185"/>
      <c r="AC196" s="185"/>
      <c r="AD196" s="185"/>
      <c r="AE196" s="185"/>
      <c r="AF196" s="185"/>
      <c r="AG196" s="185"/>
      <c r="AH196" s="185"/>
      <c r="AI196" s="185"/>
      <c r="AJ196" s="185"/>
      <c r="AK196" s="185"/>
      <c r="AL196" s="185"/>
      <c r="AM196" s="185"/>
      <c r="CE196" s="93"/>
      <c r="CP196" s="91"/>
      <c r="CQ196" s="93"/>
      <c r="CR196" s="93"/>
      <c r="DD196" s="93"/>
      <c r="DP196" s="93"/>
      <c r="EY196" s="162"/>
    </row>
    <row r="197" spans="2:155" s="65" customFormat="1" x14ac:dyDescent="0.25">
      <c r="B197" s="67"/>
      <c r="D197" s="185"/>
      <c r="E197" s="185"/>
      <c r="F197" s="185"/>
      <c r="G197" s="185"/>
      <c r="H197" s="185"/>
      <c r="I197" s="185"/>
      <c r="J197" s="185"/>
      <c r="K197" s="185"/>
      <c r="L197" s="185"/>
      <c r="M197" s="185"/>
      <c r="N197" s="185"/>
      <c r="O197" s="185"/>
      <c r="P197" s="185"/>
      <c r="Q197" s="185"/>
      <c r="R197" s="185"/>
      <c r="S197" s="185"/>
      <c r="T197" s="185"/>
      <c r="U197" s="185"/>
      <c r="V197" s="185"/>
      <c r="W197" s="185"/>
      <c r="X197" s="185"/>
      <c r="Y197" s="185"/>
      <c r="Z197" s="185"/>
      <c r="AA197" s="185"/>
      <c r="AB197" s="185"/>
      <c r="AC197" s="185"/>
      <c r="AD197" s="185"/>
      <c r="AE197" s="185"/>
      <c r="AF197" s="185"/>
      <c r="AG197" s="185"/>
      <c r="AH197" s="185"/>
      <c r="AI197" s="185"/>
      <c r="AJ197" s="185"/>
      <c r="AK197" s="185"/>
      <c r="AL197" s="185"/>
      <c r="AM197" s="185"/>
      <c r="CE197" s="93"/>
      <c r="CP197" s="91"/>
      <c r="CQ197" s="93"/>
      <c r="CR197" s="93"/>
      <c r="DD197" s="93"/>
      <c r="DP197" s="93"/>
      <c r="EY197" s="162"/>
    </row>
    <row r="198" spans="2:155" s="65" customFormat="1" x14ac:dyDescent="0.25">
      <c r="B198" s="67"/>
      <c r="D198" s="185"/>
      <c r="E198" s="185"/>
      <c r="F198" s="185"/>
      <c r="G198" s="185"/>
      <c r="H198" s="185"/>
      <c r="I198" s="185"/>
      <c r="J198" s="185"/>
      <c r="K198" s="185"/>
      <c r="L198" s="185"/>
      <c r="M198" s="185"/>
      <c r="N198" s="185"/>
      <c r="O198" s="185"/>
      <c r="P198" s="185"/>
      <c r="Q198" s="185"/>
      <c r="R198" s="185"/>
      <c r="S198" s="185"/>
      <c r="T198" s="185"/>
      <c r="U198" s="185"/>
      <c r="V198" s="185"/>
      <c r="W198" s="185"/>
      <c r="X198" s="185"/>
      <c r="Y198" s="185"/>
      <c r="Z198" s="185"/>
      <c r="AA198" s="185"/>
      <c r="AB198" s="185"/>
      <c r="AC198" s="185"/>
      <c r="AD198" s="185"/>
      <c r="AE198" s="185"/>
      <c r="AF198" s="185"/>
      <c r="AG198" s="185"/>
      <c r="AH198" s="185"/>
      <c r="AI198" s="185"/>
      <c r="AJ198" s="185"/>
      <c r="AK198" s="185"/>
      <c r="AL198" s="185"/>
      <c r="AM198" s="185"/>
      <c r="CE198" s="93"/>
      <c r="CP198" s="91"/>
      <c r="CQ198" s="93"/>
      <c r="CR198" s="93"/>
      <c r="DD198" s="93"/>
      <c r="DP198" s="93"/>
      <c r="EY198" s="162"/>
    </row>
    <row r="199" spans="2:155" s="65" customFormat="1" x14ac:dyDescent="0.25">
      <c r="B199" s="67"/>
      <c r="D199" s="185"/>
      <c r="E199" s="185"/>
      <c r="F199" s="185"/>
      <c r="G199" s="185"/>
      <c r="H199" s="185"/>
      <c r="I199" s="185"/>
      <c r="J199" s="185"/>
      <c r="K199" s="185"/>
      <c r="L199" s="185"/>
      <c r="M199" s="185"/>
      <c r="N199" s="185"/>
      <c r="O199" s="185"/>
      <c r="P199" s="185"/>
      <c r="Q199" s="185"/>
      <c r="R199" s="185"/>
      <c r="S199" s="185"/>
      <c r="T199" s="185"/>
      <c r="U199" s="185"/>
      <c r="V199" s="185"/>
      <c r="W199" s="185"/>
      <c r="X199" s="185"/>
      <c r="Y199" s="185"/>
      <c r="Z199" s="185"/>
      <c r="AA199" s="185"/>
      <c r="AB199" s="185"/>
      <c r="AC199" s="185"/>
      <c r="AD199" s="185"/>
      <c r="AE199" s="185"/>
      <c r="AF199" s="185"/>
      <c r="AG199" s="185"/>
      <c r="AH199" s="185"/>
      <c r="AI199" s="185"/>
      <c r="AJ199" s="185"/>
      <c r="AK199" s="185"/>
      <c r="AL199" s="185"/>
      <c r="AM199" s="185"/>
      <c r="CE199" s="93"/>
      <c r="CP199" s="91"/>
      <c r="CQ199" s="93"/>
      <c r="CR199" s="93"/>
      <c r="DD199" s="93"/>
      <c r="DP199" s="93"/>
      <c r="EY199" s="162"/>
    </row>
    <row r="200" spans="2:155" s="65" customFormat="1" x14ac:dyDescent="0.25">
      <c r="B200" s="67"/>
      <c r="D200" s="185"/>
      <c r="E200" s="185"/>
      <c r="F200" s="185"/>
      <c r="G200" s="185"/>
      <c r="H200" s="185"/>
      <c r="I200" s="185"/>
      <c r="J200" s="185"/>
      <c r="K200" s="185"/>
      <c r="L200" s="185"/>
      <c r="M200" s="185"/>
      <c r="N200" s="185"/>
      <c r="O200" s="185"/>
      <c r="P200" s="185"/>
      <c r="Q200" s="185"/>
      <c r="R200" s="185"/>
      <c r="S200" s="185"/>
      <c r="T200" s="185"/>
      <c r="U200" s="185"/>
      <c r="V200" s="185"/>
      <c r="W200" s="185"/>
      <c r="X200" s="185"/>
      <c r="Y200" s="185"/>
      <c r="Z200" s="185"/>
      <c r="AA200" s="185"/>
      <c r="AB200" s="185"/>
      <c r="AC200" s="185"/>
      <c r="AD200" s="185"/>
      <c r="AE200" s="185"/>
      <c r="AF200" s="185"/>
      <c r="AG200" s="185"/>
      <c r="AH200" s="185"/>
      <c r="AI200" s="185"/>
      <c r="AJ200" s="185"/>
      <c r="AK200" s="185"/>
      <c r="AL200" s="185"/>
      <c r="AM200" s="185"/>
      <c r="CE200" s="93"/>
      <c r="CP200" s="91"/>
      <c r="CQ200" s="93"/>
      <c r="CR200" s="93"/>
      <c r="DD200" s="93"/>
      <c r="DP200" s="93"/>
      <c r="EY200" s="162"/>
    </row>
    <row r="201" spans="2:155" s="65" customFormat="1" x14ac:dyDescent="0.25">
      <c r="B201" s="67"/>
      <c r="D201" s="185"/>
      <c r="E201" s="185"/>
      <c r="F201" s="185"/>
      <c r="G201" s="185"/>
      <c r="H201" s="185"/>
      <c r="I201" s="185"/>
      <c r="J201" s="185"/>
      <c r="K201" s="185"/>
      <c r="L201" s="185"/>
      <c r="M201" s="185"/>
      <c r="N201" s="185"/>
      <c r="O201" s="185"/>
      <c r="P201" s="185"/>
      <c r="Q201" s="185"/>
      <c r="R201" s="185"/>
      <c r="S201" s="185"/>
      <c r="T201" s="185"/>
      <c r="U201" s="185"/>
      <c r="V201" s="185"/>
      <c r="W201" s="185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  <c r="AI201" s="185"/>
      <c r="AJ201" s="185"/>
      <c r="AK201" s="185"/>
      <c r="AL201" s="185"/>
      <c r="AM201" s="185"/>
      <c r="CE201" s="93"/>
      <c r="CP201" s="91"/>
      <c r="CQ201" s="93"/>
      <c r="CR201" s="93"/>
      <c r="DD201" s="93"/>
      <c r="DP201" s="93"/>
      <c r="EY201" s="162"/>
    </row>
    <row r="202" spans="2:155" s="65" customFormat="1" x14ac:dyDescent="0.25">
      <c r="B202" s="67"/>
      <c r="D202" s="185"/>
      <c r="E202" s="185"/>
      <c r="F202" s="185"/>
      <c r="G202" s="185"/>
      <c r="H202" s="185"/>
      <c r="I202" s="185"/>
      <c r="J202" s="185"/>
      <c r="K202" s="185"/>
      <c r="L202" s="185"/>
      <c r="M202" s="185"/>
      <c r="N202" s="185"/>
      <c r="O202" s="185"/>
      <c r="P202" s="185"/>
      <c r="Q202" s="185"/>
      <c r="R202" s="185"/>
      <c r="S202" s="185"/>
      <c r="T202" s="185"/>
      <c r="U202" s="185"/>
      <c r="V202" s="185"/>
      <c r="W202" s="185"/>
      <c r="X202" s="185"/>
      <c r="Y202" s="185"/>
      <c r="Z202" s="185"/>
      <c r="AA202" s="185"/>
      <c r="AB202" s="185"/>
      <c r="AC202" s="185"/>
      <c r="AD202" s="185"/>
      <c r="AE202" s="185"/>
      <c r="AF202" s="185"/>
      <c r="AG202" s="185"/>
      <c r="AH202" s="185"/>
      <c r="AI202" s="185"/>
      <c r="AJ202" s="185"/>
      <c r="AK202" s="185"/>
      <c r="AL202" s="185"/>
      <c r="AM202" s="185"/>
      <c r="CE202" s="93"/>
      <c r="CP202" s="91"/>
      <c r="CQ202" s="93"/>
      <c r="CR202" s="93"/>
      <c r="DD202" s="93"/>
      <c r="DP202" s="93"/>
      <c r="EY202" s="162"/>
    </row>
    <row r="203" spans="2:155" s="65" customFormat="1" x14ac:dyDescent="0.25">
      <c r="B203" s="67"/>
      <c r="D203" s="185"/>
      <c r="E203" s="185"/>
      <c r="F203" s="185"/>
      <c r="G203" s="185"/>
      <c r="H203" s="185"/>
      <c r="I203" s="185"/>
      <c r="J203" s="185"/>
      <c r="K203" s="185"/>
      <c r="L203" s="185"/>
      <c r="M203" s="185"/>
      <c r="N203" s="185"/>
      <c r="O203" s="185"/>
      <c r="P203" s="185"/>
      <c r="Q203" s="185"/>
      <c r="R203" s="185"/>
      <c r="S203" s="185"/>
      <c r="T203" s="185"/>
      <c r="U203" s="185"/>
      <c r="V203" s="185"/>
      <c r="W203" s="185"/>
      <c r="X203" s="185"/>
      <c r="Y203" s="185"/>
      <c r="Z203" s="185"/>
      <c r="AA203" s="185"/>
      <c r="AB203" s="185"/>
      <c r="AC203" s="185"/>
      <c r="AD203" s="185"/>
      <c r="AE203" s="185"/>
      <c r="AF203" s="185"/>
      <c r="AG203" s="185"/>
      <c r="AH203" s="185"/>
      <c r="AI203" s="185"/>
      <c r="AJ203" s="185"/>
      <c r="AK203" s="185"/>
      <c r="AL203" s="185"/>
      <c r="AM203" s="185"/>
      <c r="CE203" s="93"/>
      <c r="CP203" s="91"/>
      <c r="CQ203" s="93"/>
      <c r="CR203" s="93"/>
      <c r="DD203" s="93"/>
      <c r="DP203" s="93"/>
      <c r="EY203" s="162"/>
    </row>
    <row r="204" spans="2:155" s="65" customFormat="1" x14ac:dyDescent="0.25">
      <c r="B204" s="67"/>
      <c r="D204" s="185"/>
      <c r="E204" s="185"/>
      <c r="F204" s="185"/>
      <c r="G204" s="185"/>
      <c r="H204" s="185"/>
      <c r="I204" s="185"/>
      <c r="J204" s="185"/>
      <c r="K204" s="185"/>
      <c r="L204" s="185"/>
      <c r="M204" s="185"/>
      <c r="N204" s="185"/>
      <c r="O204" s="185"/>
      <c r="P204" s="185"/>
      <c r="Q204" s="185"/>
      <c r="R204" s="185"/>
      <c r="S204" s="185"/>
      <c r="T204" s="185"/>
      <c r="U204" s="185"/>
      <c r="V204" s="185"/>
      <c r="W204" s="185"/>
      <c r="X204" s="185"/>
      <c r="Y204" s="185"/>
      <c r="Z204" s="185"/>
      <c r="AA204" s="185"/>
      <c r="AB204" s="185"/>
      <c r="AC204" s="185"/>
      <c r="AD204" s="185"/>
      <c r="AE204" s="185"/>
      <c r="AF204" s="185"/>
      <c r="AG204" s="185"/>
      <c r="AH204" s="185"/>
      <c r="AI204" s="185"/>
      <c r="AJ204" s="185"/>
      <c r="AK204" s="185"/>
      <c r="AL204" s="185"/>
      <c r="AM204" s="185"/>
      <c r="CE204" s="93"/>
      <c r="CP204" s="91"/>
      <c r="CQ204" s="93"/>
      <c r="CR204" s="93"/>
      <c r="DD204" s="93"/>
      <c r="DP204" s="93"/>
      <c r="EY204" s="162"/>
    </row>
    <row r="205" spans="2:155" s="65" customFormat="1" x14ac:dyDescent="0.25">
      <c r="B205" s="67"/>
      <c r="D205" s="185"/>
      <c r="E205" s="185"/>
      <c r="F205" s="185"/>
      <c r="G205" s="185"/>
      <c r="H205" s="185"/>
      <c r="I205" s="185"/>
      <c r="J205" s="185"/>
      <c r="K205" s="185"/>
      <c r="L205" s="185"/>
      <c r="M205" s="185"/>
      <c r="N205" s="185"/>
      <c r="O205" s="185"/>
      <c r="P205" s="185"/>
      <c r="Q205" s="185"/>
      <c r="R205" s="185"/>
      <c r="S205" s="185"/>
      <c r="T205" s="185"/>
      <c r="U205" s="185"/>
      <c r="V205" s="185"/>
      <c r="W205" s="185"/>
      <c r="X205" s="185"/>
      <c r="Y205" s="185"/>
      <c r="Z205" s="185"/>
      <c r="AA205" s="185"/>
      <c r="AB205" s="185"/>
      <c r="AC205" s="185"/>
      <c r="AD205" s="185"/>
      <c r="AE205" s="185"/>
      <c r="AF205" s="185"/>
      <c r="AG205" s="185"/>
      <c r="AH205" s="185"/>
      <c r="AI205" s="185"/>
      <c r="AJ205" s="185"/>
      <c r="AK205" s="185"/>
      <c r="AL205" s="185"/>
      <c r="AM205" s="185"/>
      <c r="CE205" s="93"/>
      <c r="CP205" s="91"/>
      <c r="CQ205" s="93"/>
      <c r="CR205" s="93"/>
      <c r="DD205" s="93"/>
      <c r="DP205" s="93"/>
      <c r="EY205" s="162"/>
    </row>
    <row r="206" spans="2:155" s="65" customFormat="1" x14ac:dyDescent="0.25">
      <c r="B206" s="67"/>
      <c r="D206" s="185"/>
      <c r="E206" s="185"/>
      <c r="F206" s="185"/>
      <c r="G206" s="185"/>
      <c r="H206" s="185"/>
      <c r="I206" s="185"/>
      <c r="J206" s="185"/>
      <c r="K206" s="185"/>
      <c r="L206" s="185"/>
      <c r="M206" s="185"/>
      <c r="N206" s="185"/>
      <c r="O206" s="185"/>
      <c r="P206" s="185"/>
      <c r="Q206" s="185"/>
      <c r="R206" s="185"/>
      <c r="S206" s="185"/>
      <c r="T206" s="185"/>
      <c r="U206" s="185"/>
      <c r="V206" s="185"/>
      <c r="W206" s="185"/>
      <c r="X206" s="185"/>
      <c r="Y206" s="185"/>
      <c r="Z206" s="185"/>
      <c r="AA206" s="185"/>
      <c r="AB206" s="185"/>
      <c r="AC206" s="185"/>
      <c r="AD206" s="185"/>
      <c r="AE206" s="185"/>
      <c r="AF206" s="185"/>
      <c r="AG206" s="185"/>
      <c r="AH206" s="185"/>
      <c r="AI206" s="185"/>
      <c r="AJ206" s="185"/>
      <c r="AK206" s="185"/>
      <c r="AL206" s="185"/>
      <c r="AM206" s="185"/>
      <c r="CE206" s="93"/>
      <c r="CP206" s="91"/>
      <c r="CQ206" s="93"/>
      <c r="CR206" s="93"/>
      <c r="DD206" s="93"/>
      <c r="DP206" s="93"/>
      <c r="EY206" s="162"/>
    </row>
    <row r="207" spans="2:155" s="65" customFormat="1" x14ac:dyDescent="0.25">
      <c r="B207" s="67"/>
      <c r="D207" s="185"/>
      <c r="E207" s="185"/>
      <c r="F207" s="185"/>
      <c r="G207" s="185"/>
      <c r="H207" s="185"/>
      <c r="I207" s="185"/>
      <c r="J207" s="185"/>
      <c r="K207" s="185"/>
      <c r="L207" s="185"/>
      <c r="M207" s="185"/>
      <c r="N207" s="185"/>
      <c r="O207" s="185"/>
      <c r="P207" s="185"/>
      <c r="Q207" s="185"/>
      <c r="R207" s="185"/>
      <c r="S207" s="185"/>
      <c r="T207" s="185"/>
      <c r="U207" s="185"/>
      <c r="V207" s="185"/>
      <c r="W207" s="185"/>
      <c r="X207" s="185"/>
      <c r="Y207" s="185"/>
      <c r="Z207" s="185"/>
      <c r="AA207" s="185"/>
      <c r="AB207" s="185"/>
      <c r="AC207" s="185"/>
      <c r="AD207" s="185"/>
      <c r="AE207" s="185"/>
      <c r="AF207" s="185"/>
      <c r="AG207" s="185"/>
      <c r="AH207" s="185"/>
      <c r="AI207" s="185"/>
      <c r="AJ207" s="185"/>
      <c r="AK207" s="185"/>
      <c r="AL207" s="185"/>
      <c r="AM207" s="185"/>
      <c r="CE207" s="93"/>
      <c r="CP207" s="91"/>
      <c r="CQ207" s="93"/>
      <c r="CR207" s="93"/>
      <c r="DD207" s="93"/>
      <c r="DP207" s="93"/>
      <c r="EY207" s="162"/>
    </row>
    <row r="208" spans="2:155" s="65" customFormat="1" x14ac:dyDescent="0.25">
      <c r="B208" s="67"/>
      <c r="D208" s="185"/>
      <c r="E208" s="185"/>
      <c r="F208" s="185"/>
      <c r="G208" s="185"/>
      <c r="H208" s="185"/>
      <c r="I208" s="185"/>
      <c r="J208" s="185"/>
      <c r="K208" s="185"/>
      <c r="L208" s="185"/>
      <c r="M208" s="185"/>
      <c r="N208" s="185"/>
      <c r="O208" s="185"/>
      <c r="P208" s="185"/>
      <c r="Q208" s="185"/>
      <c r="R208" s="185"/>
      <c r="S208" s="185"/>
      <c r="T208" s="185"/>
      <c r="U208" s="185"/>
      <c r="V208" s="185"/>
      <c r="W208" s="185"/>
      <c r="X208" s="185"/>
      <c r="Y208" s="185"/>
      <c r="Z208" s="185"/>
      <c r="AA208" s="185"/>
      <c r="AB208" s="185"/>
      <c r="AC208" s="185"/>
      <c r="AD208" s="185"/>
      <c r="AE208" s="185"/>
      <c r="AF208" s="185"/>
      <c r="AG208" s="185"/>
      <c r="AH208" s="185"/>
      <c r="AI208" s="185"/>
      <c r="AJ208" s="185"/>
      <c r="AK208" s="185"/>
      <c r="AL208" s="185"/>
      <c r="AM208" s="185"/>
      <c r="CE208" s="93"/>
      <c r="CP208" s="91"/>
      <c r="CQ208" s="93"/>
      <c r="CR208" s="93"/>
      <c r="DD208" s="93"/>
      <c r="DP208" s="93"/>
      <c r="EY208" s="162"/>
    </row>
    <row r="209" spans="2:155" s="65" customFormat="1" x14ac:dyDescent="0.25">
      <c r="B209" s="67"/>
      <c r="D209" s="185"/>
      <c r="E209" s="185"/>
      <c r="F209" s="185"/>
      <c r="G209" s="185"/>
      <c r="H209" s="185"/>
      <c r="I209" s="185"/>
      <c r="J209" s="185"/>
      <c r="K209" s="185"/>
      <c r="L209" s="185"/>
      <c r="M209" s="185"/>
      <c r="N209" s="185"/>
      <c r="O209" s="185"/>
      <c r="P209" s="185"/>
      <c r="Q209" s="185"/>
      <c r="R209" s="185"/>
      <c r="S209" s="185"/>
      <c r="T209" s="185"/>
      <c r="U209" s="185"/>
      <c r="V209" s="185"/>
      <c r="W209" s="185"/>
      <c r="X209" s="185"/>
      <c r="Y209" s="185"/>
      <c r="Z209" s="185"/>
      <c r="AA209" s="185"/>
      <c r="AB209" s="185"/>
      <c r="AC209" s="185"/>
      <c r="AD209" s="185"/>
      <c r="AE209" s="185"/>
      <c r="AF209" s="185"/>
      <c r="AG209" s="185"/>
      <c r="AH209" s="185"/>
      <c r="AI209" s="185"/>
      <c r="AJ209" s="185"/>
      <c r="AK209" s="185"/>
      <c r="AL209" s="185"/>
      <c r="AM209" s="185"/>
      <c r="CE209" s="93"/>
      <c r="CP209" s="91"/>
      <c r="CQ209" s="93"/>
      <c r="CR209" s="93"/>
      <c r="DD209" s="93"/>
      <c r="DP209" s="93"/>
      <c r="EY209" s="162"/>
    </row>
    <row r="210" spans="2:155" s="65" customFormat="1" x14ac:dyDescent="0.25">
      <c r="B210" s="67"/>
      <c r="D210" s="185"/>
      <c r="E210" s="185"/>
      <c r="F210" s="185"/>
      <c r="G210" s="185"/>
      <c r="H210" s="185"/>
      <c r="I210" s="185"/>
      <c r="J210" s="185"/>
      <c r="K210" s="185"/>
      <c r="L210" s="185"/>
      <c r="M210" s="185"/>
      <c r="N210" s="185"/>
      <c r="O210" s="185"/>
      <c r="P210" s="185"/>
      <c r="Q210" s="185"/>
      <c r="R210" s="185"/>
      <c r="S210" s="185"/>
      <c r="T210" s="185"/>
      <c r="U210" s="185"/>
      <c r="V210" s="185"/>
      <c r="W210" s="185"/>
      <c r="X210" s="185"/>
      <c r="Y210" s="185"/>
      <c r="Z210" s="185"/>
      <c r="AA210" s="185"/>
      <c r="AB210" s="185"/>
      <c r="AC210" s="185"/>
      <c r="AD210" s="185"/>
      <c r="AE210" s="185"/>
      <c r="AF210" s="185"/>
      <c r="AG210" s="185"/>
      <c r="AH210" s="185"/>
      <c r="AI210" s="185"/>
      <c r="AJ210" s="185"/>
      <c r="AK210" s="185"/>
      <c r="AL210" s="185"/>
      <c r="AM210" s="185"/>
      <c r="CE210" s="93"/>
      <c r="CP210" s="91"/>
      <c r="CQ210" s="93"/>
      <c r="CR210" s="93"/>
      <c r="DD210" s="93"/>
      <c r="DP210" s="93"/>
      <c r="EY210" s="162"/>
    </row>
    <row r="211" spans="2:155" s="65" customFormat="1" x14ac:dyDescent="0.25">
      <c r="B211" s="67"/>
      <c r="D211" s="185"/>
      <c r="E211" s="185"/>
      <c r="F211" s="185"/>
      <c r="G211" s="185"/>
      <c r="H211" s="185"/>
      <c r="I211" s="185"/>
      <c r="J211" s="185"/>
      <c r="K211" s="185"/>
      <c r="L211" s="185"/>
      <c r="M211" s="185"/>
      <c r="N211" s="185"/>
      <c r="O211" s="185"/>
      <c r="P211" s="185"/>
      <c r="Q211" s="185"/>
      <c r="R211" s="185"/>
      <c r="S211" s="185"/>
      <c r="T211" s="185"/>
      <c r="U211" s="185"/>
      <c r="V211" s="185"/>
      <c r="W211" s="185"/>
      <c r="X211" s="185"/>
      <c r="Y211" s="185"/>
      <c r="Z211" s="185"/>
      <c r="AA211" s="185"/>
      <c r="AB211" s="185"/>
      <c r="AC211" s="185"/>
      <c r="AD211" s="185"/>
      <c r="AE211" s="185"/>
      <c r="AF211" s="185"/>
      <c r="AG211" s="185"/>
      <c r="AH211" s="185"/>
      <c r="AI211" s="185"/>
      <c r="AJ211" s="185"/>
      <c r="AK211" s="185"/>
      <c r="AL211" s="185"/>
      <c r="AM211" s="185"/>
      <c r="CE211" s="93"/>
      <c r="CP211" s="91"/>
      <c r="CQ211" s="93"/>
      <c r="CR211" s="93"/>
      <c r="DD211" s="93"/>
      <c r="DP211" s="93"/>
      <c r="EY211" s="162"/>
    </row>
    <row r="212" spans="2:155" s="65" customFormat="1" x14ac:dyDescent="0.25">
      <c r="B212" s="67"/>
      <c r="D212" s="185"/>
      <c r="E212" s="185"/>
      <c r="F212" s="185"/>
      <c r="G212" s="185"/>
      <c r="H212" s="185"/>
      <c r="I212" s="185"/>
      <c r="J212" s="185"/>
      <c r="K212" s="185"/>
      <c r="L212" s="185"/>
      <c r="M212" s="185"/>
      <c r="N212" s="185"/>
      <c r="O212" s="185"/>
      <c r="P212" s="185"/>
      <c r="Q212" s="185"/>
      <c r="R212" s="185"/>
      <c r="S212" s="185"/>
      <c r="T212" s="185"/>
      <c r="U212" s="185"/>
      <c r="V212" s="185"/>
      <c r="W212" s="185"/>
      <c r="X212" s="185"/>
      <c r="Y212" s="185"/>
      <c r="Z212" s="185"/>
      <c r="AA212" s="185"/>
      <c r="AB212" s="185"/>
      <c r="AC212" s="185"/>
      <c r="AD212" s="185"/>
      <c r="AE212" s="185"/>
      <c r="AF212" s="185"/>
      <c r="AG212" s="185"/>
      <c r="AH212" s="185"/>
      <c r="AI212" s="185"/>
      <c r="AJ212" s="185"/>
      <c r="AK212" s="185"/>
      <c r="AL212" s="185"/>
      <c r="AM212" s="185"/>
      <c r="CE212" s="93"/>
      <c r="CP212" s="91"/>
      <c r="CQ212" s="93"/>
      <c r="CR212" s="93"/>
      <c r="DD212" s="93"/>
      <c r="DP212" s="93"/>
      <c r="EY212" s="162"/>
    </row>
    <row r="213" spans="2:155" s="65" customFormat="1" x14ac:dyDescent="0.25">
      <c r="B213" s="67"/>
      <c r="D213" s="185"/>
      <c r="E213" s="185"/>
      <c r="F213" s="185"/>
      <c r="G213" s="185"/>
      <c r="H213" s="185"/>
      <c r="I213" s="185"/>
      <c r="J213" s="185"/>
      <c r="K213" s="185"/>
      <c r="L213" s="185"/>
      <c r="M213" s="185"/>
      <c r="N213" s="185"/>
      <c r="O213" s="185"/>
      <c r="P213" s="185"/>
      <c r="Q213" s="185"/>
      <c r="R213" s="185"/>
      <c r="S213" s="185"/>
      <c r="T213" s="185"/>
      <c r="U213" s="185"/>
      <c r="V213" s="185"/>
      <c r="W213" s="185"/>
      <c r="X213" s="185"/>
      <c r="Y213" s="185"/>
      <c r="Z213" s="185"/>
      <c r="AA213" s="185"/>
      <c r="AB213" s="185"/>
      <c r="AC213" s="185"/>
      <c r="AD213" s="185"/>
      <c r="AE213" s="185"/>
      <c r="AF213" s="185"/>
      <c r="AG213" s="185"/>
      <c r="AH213" s="185"/>
      <c r="AI213" s="185"/>
      <c r="AJ213" s="185"/>
      <c r="AK213" s="185"/>
      <c r="AL213" s="185"/>
      <c r="AM213" s="185"/>
      <c r="CE213" s="93"/>
      <c r="CP213" s="91"/>
      <c r="CQ213" s="93"/>
      <c r="CR213" s="93"/>
      <c r="DD213" s="93"/>
      <c r="DP213" s="93"/>
      <c r="EY213" s="162"/>
    </row>
    <row r="214" spans="2:155" s="65" customFormat="1" x14ac:dyDescent="0.25">
      <c r="B214" s="67"/>
      <c r="D214" s="185"/>
      <c r="E214" s="185"/>
      <c r="F214" s="185"/>
      <c r="G214" s="185"/>
      <c r="H214" s="185"/>
      <c r="I214" s="185"/>
      <c r="J214" s="185"/>
      <c r="K214" s="185"/>
      <c r="L214" s="185"/>
      <c r="M214" s="185"/>
      <c r="N214" s="185"/>
      <c r="O214" s="185"/>
      <c r="P214" s="185"/>
      <c r="Q214" s="185"/>
      <c r="R214" s="185"/>
      <c r="S214" s="185"/>
      <c r="T214" s="185"/>
      <c r="U214" s="185"/>
      <c r="V214" s="185"/>
      <c r="W214" s="185"/>
      <c r="X214" s="185"/>
      <c r="Y214" s="185"/>
      <c r="Z214" s="185"/>
      <c r="AA214" s="185"/>
      <c r="AB214" s="185"/>
      <c r="AC214" s="185"/>
      <c r="AD214" s="185"/>
      <c r="AE214" s="185"/>
      <c r="AF214" s="185"/>
      <c r="AG214" s="185"/>
      <c r="AH214" s="185"/>
      <c r="AI214" s="185"/>
      <c r="AJ214" s="185"/>
      <c r="AK214" s="185"/>
      <c r="AL214" s="185"/>
      <c r="AM214" s="185"/>
      <c r="CE214" s="93"/>
      <c r="CP214" s="91"/>
      <c r="CQ214" s="93"/>
      <c r="CR214" s="93"/>
      <c r="DD214" s="93"/>
      <c r="DP214" s="93"/>
      <c r="EY214" s="162"/>
    </row>
    <row r="215" spans="2:155" s="65" customFormat="1" x14ac:dyDescent="0.25">
      <c r="B215" s="67"/>
      <c r="D215" s="185"/>
      <c r="E215" s="185"/>
      <c r="F215" s="185"/>
      <c r="G215" s="185"/>
      <c r="H215" s="185"/>
      <c r="I215" s="185"/>
      <c r="J215" s="185"/>
      <c r="K215" s="185"/>
      <c r="L215" s="185"/>
      <c r="M215" s="185"/>
      <c r="N215" s="185"/>
      <c r="O215" s="185"/>
      <c r="P215" s="185"/>
      <c r="Q215" s="185"/>
      <c r="R215" s="185"/>
      <c r="S215" s="185"/>
      <c r="T215" s="185"/>
      <c r="U215" s="185"/>
      <c r="V215" s="185"/>
      <c r="W215" s="185"/>
      <c r="X215" s="185"/>
      <c r="Y215" s="185"/>
      <c r="Z215" s="185"/>
      <c r="AA215" s="185"/>
      <c r="AB215" s="185"/>
      <c r="AC215" s="185"/>
      <c r="AD215" s="185"/>
      <c r="AE215" s="185"/>
      <c r="AF215" s="185"/>
      <c r="AG215" s="185"/>
      <c r="AH215" s="185"/>
      <c r="AI215" s="185"/>
      <c r="AJ215" s="185"/>
      <c r="AK215" s="185"/>
      <c r="AL215" s="185"/>
      <c r="AM215" s="185"/>
      <c r="CE215" s="93"/>
      <c r="CP215" s="91"/>
      <c r="CQ215" s="93"/>
      <c r="CR215" s="93"/>
      <c r="DD215" s="93"/>
      <c r="DP215" s="93"/>
      <c r="EY215" s="162"/>
    </row>
    <row r="216" spans="2:155" s="65" customFormat="1" x14ac:dyDescent="0.25">
      <c r="B216" s="67"/>
      <c r="D216" s="185"/>
      <c r="E216" s="185"/>
      <c r="F216" s="185"/>
      <c r="G216" s="185"/>
      <c r="H216" s="185"/>
      <c r="I216" s="185"/>
      <c r="J216" s="185"/>
      <c r="K216" s="185"/>
      <c r="L216" s="185"/>
      <c r="M216" s="185"/>
      <c r="N216" s="185"/>
      <c r="O216" s="185"/>
      <c r="P216" s="185"/>
      <c r="Q216" s="185"/>
      <c r="R216" s="185"/>
      <c r="S216" s="185"/>
      <c r="T216" s="185"/>
      <c r="U216" s="185"/>
      <c r="V216" s="185"/>
      <c r="W216" s="185"/>
      <c r="X216" s="185"/>
      <c r="Y216" s="185"/>
      <c r="Z216" s="185"/>
      <c r="AA216" s="185"/>
      <c r="AB216" s="185"/>
      <c r="AC216" s="185"/>
      <c r="AD216" s="185"/>
      <c r="AE216" s="185"/>
      <c r="AF216" s="185"/>
      <c r="AG216" s="185"/>
      <c r="AH216" s="185"/>
      <c r="AI216" s="185"/>
      <c r="AJ216" s="185"/>
      <c r="AK216" s="185"/>
      <c r="AL216" s="185"/>
      <c r="AM216" s="185"/>
      <c r="CE216" s="93"/>
      <c r="CP216" s="91"/>
      <c r="CQ216" s="93"/>
      <c r="CR216" s="93"/>
      <c r="DD216" s="93"/>
      <c r="DP216" s="93"/>
      <c r="EY216" s="162"/>
    </row>
    <row r="217" spans="2:155" s="65" customFormat="1" x14ac:dyDescent="0.25">
      <c r="B217" s="67"/>
      <c r="D217" s="185"/>
      <c r="E217" s="185"/>
      <c r="F217" s="185"/>
      <c r="G217" s="185"/>
      <c r="H217" s="185"/>
      <c r="I217" s="185"/>
      <c r="J217" s="185"/>
      <c r="K217" s="185"/>
      <c r="L217" s="185"/>
      <c r="M217" s="185"/>
      <c r="N217" s="185"/>
      <c r="O217" s="185"/>
      <c r="P217" s="185"/>
      <c r="Q217" s="185"/>
      <c r="R217" s="185"/>
      <c r="S217" s="185"/>
      <c r="T217" s="185"/>
      <c r="U217" s="185"/>
      <c r="V217" s="185"/>
      <c r="W217" s="185"/>
      <c r="X217" s="185"/>
      <c r="Y217" s="185"/>
      <c r="Z217" s="185"/>
      <c r="AA217" s="185"/>
      <c r="AB217" s="185"/>
      <c r="AC217" s="185"/>
      <c r="AD217" s="185"/>
      <c r="AE217" s="185"/>
      <c r="AF217" s="185"/>
      <c r="AG217" s="185"/>
      <c r="AH217" s="185"/>
      <c r="AI217" s="185"/>
      <c r="AJ217" s="185"/>
      <c r="AK217" s="185"/>
      <c r="AL217" s="185"/>
      <c r="AM217" s="185"/>
      <c r="CE217" s="93"/>
      <c r="CP217" s="91"/>
      <c r="CQ217" s="93"/>
      <c r="CR217" s="93"/>
      <c r="DD217" s="93"/>
      <c r="DP217" s="93"/>
      <c r="EY217" s="162"/>
    </row>
    <row r="218" spans="2:155" s="65" customFormat="1" x14ac:dyDescent="0.25">
      <c r="B218" s="67"/>
      <c r="D218" s="185"/>
      <c r="E218" s="185"/>
      <c r="F218" s="185"/>
      <c r="G218" s="185"/>
      <c r="H218" s="185"/>
      <c r="I218" s="185"/>
      <c r="J218" s="185"/>
      <c r="K218" s="185"/>
      <c r="L218" s="185"/>
      <c r="M218" s="185"/>
      <c r="N218" s="185"/>
      <c r="O218" s="185"/>
      <c r="P218" s="185"/>
      <c r="Q218" s="185"/>
      <c r="R218" s="185"/>
      <c r="S218" s="185"/>
      <c r="T218" s="185"/>
      <c r="U218" s="185"/>
      <c r="V218" s="185"/>
      <c r="W218" s="185"/>
      <c r="X218" s="185"/>
      <c r="Y218" s="185"/>
      <c r="Z218" s="185"/>
      <c r="CE218" s="93"/>
      <c r="CP218" s="91"/>
      <c r="CQ218" s="93"/>
      <c r="CR218" s="93"/>
      <c r="DD218" s="93"/>
      <c r="DP218" s="93"/>
      <c r="EY218" s="162"/>
    </row>
    <row r="219" spans="2:155" s="65" customFormat="1" x14ac:dyDescent="0.25">
      <c r="B219" s="67"/>
      <c r="D219" s="185"/>
      <c r="E219" s="185"/>
      <c r="F219" s="185"/>
      <c r="G219" s="185"/>
      <c r="H219" s="185"/>
      <c r="I219" s="185"/>
      <c r="J219" s="185"/>
      <c r="K219" s="185"/>
      <c r="L219" s="185"/>
      <c r="M219" s="185"/>
      <c r="N219" s="185"/>
      <c r="O219" s="185"/>
      <c r="P219" s="185"/>
      <c r="Q219" s="185"/>
      <c r="R219" s="185"/>
      <c r="S219" s="185"/>
      <c r="T219" s="185"/>
      <c r="U219" s="185"/>
      <c r="V219" s="185"/>
      <c r="W219" s="185"/>
      <c r="X219" s="185"/>
      <c r="Y219" s="185"/>
      <c r="Z219" s="185"/>
      <c r="CE219" s="93"/>
      <c r="CP219" s="91"/>
      <c r="CQ219" s="93"/>
      <c r="CR219" s="93"/>
      <c r="DD219" s="93"/>
      <c r="DP219" s="93"/>
      <c r="EY219" s="162"/>
    </row>
    <row r="220" spans="2:155" s="65" customFormat="1" x14ac:dyDescent="0.25">
      <c r="B220" s="67"/>
      <c r="D220" s="185"/>
      <c r="E220" s="185"/>
      <c r="F220" s="185"/>
      <c r="G220" s="185"/>
      <c r="H220" s="185"/>
      <c r="I220" s="185"/>
      <c r="J220" s="185"/>
      <c r="K220" s="185"/>
      <c r="L220" s="185"/>
      <c r="M220" s="185"/>
      <c r="N220" s="185"/>
      <c r="O220" s="185"/>
      <c r="P220" s="185"/>
      <c r="Q220" s="185"/>
      <c r="R220" s="185"/>
      <c r="S220" s="185"/>
      <c r="T220" s="185"/>
      <c r="U220" s="185"/>
      <c r="V220" s="185"/>
      <c r="W220" s="185"/>
      <c r="X220" s="185"/>
      <c r="Y220" s="185"/>
      <c r="Z220" s="185"/>
      <c r="CE220" s="93"/>
      <c r="CP220" s="91"/>
      <c r="CQ220" s="93"/>
      <c r="CR220" s="93"/>
      <c r="DD220" s="93"/>
      <c r="DP220" s="93"/>
      <c r="EY220" s="162"/>
    </row>
    <row r="221" spans="2:155" s="65" customFormat="1" x14ac:dyDescent="0.25">
      <c r="B221" s="67"/>
      <c r="D221" s="185"/>
      <c r="E221" s="185"/>
      <c r="F221" s="185"/>
      <c r="G221" s="185"/>
      <c r="H221" s="185"/>
      <c r="I221" s="185"/>
      <c r="J221" s="185"/>
      <c r="K221" s="185"/>
      <c r="L221" s="185"/>
      <c r="M221" s="185"/>
      <c r="N221" s="185"/>
      <c r="O221" s="185"/>
      <c r="P221" s="185"/>
      <c r="Q221" s="185"/>
      <c r="R221" s="185"/>
      <c r="S221" s="185"/>
      <c r="T221" s="185"/>
      <c r="U221" s="185"/>
      <c r="V221" s="185"/>
      <c r="W221" s="185"/>
      <c r="X221" s="185"/>
      <c r="Y221" s="185"/>
      <c r="Z221" s="185"/>
      <c r="CE221" s="93"/>
      <c r="CP221" s="91"/>
      <c r="CQ221" s="93"/>
      <c r="CR221" s="93"/>
      <c r="DD221" s="93"/>
      <c r="DP221" s="93"/>
      <c r="EY221" s="162"/>
    </row>
    <row r="222" spans="2:155" s="65" customFormat="1" x14ac:dyDescent="0.25">
      <c r="B222" s="67"/>
      <c r="D222" s="185"/>
      <c r="E222" s="185"/>
      <c r="F222" s="185"/>
      <c r="G222" s="185"/>
      <c r="H222" s="185"/>
      <c r="I222" s="185"/>
      <c r="J222" s="185"/>
      <c r="K222" s="185"/>
      <c r="L222" s="185"/>
      <c r="M222" s="185"/>
      <c r="N222" s="185"/>
      <c r="O222" s="185"/>
      <c r="P222" s="185"/>
      <c r="Q222" s="185"/>
      <c r="R222" s="185"/>
      <c r="S222" s="185"/>
      <c r="T222" s="185"/>
      <c r="U222" s="185"/>
      <c r="V222" s="185"/>
      <c r="W222" s="185"/>
      <c r="X222" s="185"/>
      <c r="Y222" s="185"/>
      <c r="Z222" s="185"/>
      <c r="CE222" s="93"/>
      <c r="CP222" s="91"/>
      <c r="CQ222" s="93"/>
      <c r="CR222" s="93"/>
      <c r="DD222" s="93"/>
      <c r="DP222" s="93"/>
      <c r="EY222" s="162"/>
    </row>
    <row r="223" spans="2:155" s="65" customFormat="1" x14ac:dyDescent="0.25">
      <c r="B223" s="67"/>
      <c r="D223" s="185"/>
      <c r="E223" s="185"/>
      <c r="F223" s="185"/>
      <c r="G223" s="185"/>
      <c r="H223" s="185"/>
      <c r="I223" s="185"/>
      <c r="J223" s="185"/>
      <c r="K223" s="185"/>
      <c r="L223" s="185"/>
      <c r="M223" s="185"/>
      <c r="N223" s="185"/>
      <c r="O223" s="185"/>
      <c r="P223" s="185"/>
      <c r="Q223" s="185"/>
      <c r="R223" s="185"/>
      <c r="S223" s="185"/>
      <c r="T223" s="185"/>
      <c r="U223" s="185"/>
      <c r="V223" s="185"/>
      <c r="W223" s="185"/>
      <c r="X223" s="185"/>
      <c r="Y223" s="185"/>
      <c r="Z223" s="185"/>
      <c r="CE223" s="93"/>
      <c r="CP223" s="91"/>
      <c r="CQ223" s="93"/>
      <c r="CR223" s="93"/>
      <c r="DD223" s="93"/>
      <c r="DP223" s="93"/>
      <c r="EY223" s="162"/>
    </row>
    <row r="224" spans="2:155" s="65" customFormat="1" x14ac:dyDescent="0.25">
      <c r="B224" s="67"/>
      <c r="D224" s="185"/>
      <c r="E224" s="185"/>
      <c r="F224" s="185"/>
      <c r="G224" s="185"/>
      <c r="H224" s="185"/>
      <c r="I224" s="185"/>
      <c r="J224" s="185"/>
      <c r="K224" s="185"/>
      <c r="L224" s="185"/>
      <c r="M224" s="185"/>
      <c r="N224" s="185"/>
      <c r="O224" s="185"/>
      <c r="P224" s="185"/>
      <c r="Q224" s="185"/>
      <c r="R224" s="185"/>
      <c r="S224" s="185"/>
      <c r="T224" s="185"/>
      <c r="U224" s="185"/>
      <c r="V224" s="185"/>
      <c r="W224" s="185"/>
      <c r="X224" s="185"/>
      <c r="Y224" s="185"/>
      <c r="Z224" s="185"/>
      <c r="CE224" s="93"/>
      <c r="CP224" s="91"/>
      <c r="CQ224" s="93"/>
      <c r="CR224" s="93"/>
      <c r="DD224" s="93"/>
      <c r="DP224" s="93"/>
      <c r="EY224" s="162"/>
    </row>
    <row r="225" spans="2:155" s="65" customFormat="1" x14ac:dyDescent="0.25">
      <c r="B225" s="67"/>
      <c r="D225" s="185"/>
      <c r="E225" s="185"/>
      <c r="F225" s="185"/>
      <c r="G225" s="185"/>
      <c r="H225" s="185"/>
      <c r="I225" s="185"/>
      <c r="J225" s="185"/>
      <c r="K225" s="185"/>
      <c r="L225" s="185"/>
      <c r="M225" s="185"/>
      <c r="N225" s="185"/>
      <c r="O225" s="185"/>
      <c r="P225" s="185"/>
      <c r="Q225" s="185"/>
      <c r="R225" s="185"/>
      <c r="S225" s="185"/>
      <c r="T225" s="185"/>
      <c r="U225" s="185"/>
      <c r="V225" s="185"/>
      <c r="W225" s="185"/>
      <c r="X225" s="185"/>
      <c r="Y225" s="185"/>
      <c r="Z225" s="185"/>
      <c r="CE225" s="93"/>
      <c r="CP225" s="91"/>
      <c r="CQ225" s="93"/>
      <c r="CR225" s="93"/>
      <c r="DD225" s="93"/>
      <c r="DP225" s="93"/>
      <c r="EY225" s="162"/>
    </row>
    <row r="226" spans="2:155" s="65" customFormat="1" x14ac:dyDescent="0.25">
      <c r="B226" s="67"/>
      <c r="D226" s="185"/>
      <c r="E226" s="185"/>
      <c r="F226" s="185"/>
      <c r="G226" s="185"/>
      <c r="H226" s="185"/>
      <c r="I226" s="185"/>
      <c r="J226" s="185"/>
      <c r="K226" s="185"/>
      <c r="L226" s="185"/>
      <c r="M226" s="185"/>
      <c r="N226" s="185"/>
      <c r="O226" s="185"/>
      <c r="P226" s="185"/>
      <c r="Q226" s="185"/>
      <c r="R226" s="185"/>
      <c r="S226" s="185"/>
      <c r="T226" s="185"/>
      <c r="U226" s="185"/>
      <c r="V226" s="185"/>
      <c r="W226" s="185"/>
      <c r="X226" s="185"/>
      <c r="Y226" s="185"/>
      <c r="Z226" s="185"/>
      <c r="CE226" s="93"/>
      <c r="CP226" s="91"/>
      <c r="CQ226" s="93"/>
      <c r="CR226" s="93"/>
      <c r="DD226" s="93"/>
      <c r="DP226" s="93"/>
      <c r="EY226" s="162"/>
    </row>
    <row r="227" spans="2:155" s="65" customFormat="1" x14ac:dyDescent="0.25">
      <c r="B227" s="67"/>
      <c r="D227" s="185"/>
      <c r="E227" s="185"/>
      <c r="F227" s="185"/>
      <c r="G227" s="185"/>
      <c r="H227" s="185"/>
      <c r="I227" s="185"/>
      <c r="J227" s="185"/>
      <c r="K227" s="185"/>
      <c r="L227" s="185"/>
      <c r="M227" s="185"/>
      <c r="N227" s="185"/>
      <c r="O227" s="185"/>
      <c r="P227" s="185"/>
      <c r="Q227" s="185"/>
      <c r="R227" s="185"/>
      <c r="S227" s="185"/>
      <c r="T227" s="185"/>
      <c r="U227" s="185"/>
      <c r="V227" s="185"/>
      <c r="W227" s="185"/>
      <c r="X227" s="185"/>
      <c r="Y227" s="185"/>
      <c r="Z227" s="185"/>
      <c r="CE227" s="93"/>
      <c r="CP227" s="91"/>
      <c r="CQ227" s="93"/>
      <c r="CR227" s="93"/>
      <c r="DD227" s="93"/>
      <c r="DP227" s="93"/>
      <c r="EY227" s="162"/>
    </row>
    <row r="228" spans="2:155" s="65" customFormat="1" x14ac:dyDescent="0.25">
      <c r="B228" s="67"/>
      <c r="D228" s="185"/>
      <c r="E228" s="185"/>
      <c r="F228" s="185"/>
      <c r="G228" s="185"/>
      <c r="H228" s="185"/>
      <c r="I228" s="185"/>
      <c r="J228" s="185"/>
      <c r="K228" s="185"/>
      <c r="L228" s="185"/>
      <c r="M228" s="185"/>
      <c r="N228" s="185"/>
      <c r="O228" s="185"/>
      <c r="P228" s="185"/>
      <c r="Q228" s="185"/>
      <c r="R228" s="185"/>
      <c r="S228" s="185"/>
      <c r="T228" s="185"/>
      <c r="U228" s="185"/>
      <c r="V228" s="185"/>
      <c r="W228" s="185"/>
      <c r="X228" s="185"/>
      <c r="Y228" s="185"/>
      <c r="Z228" s="185"/>
      <c r="CE228" s="93"/>
      <c r="CP228" s="91"/>
      <c r="CQ228" s="93"/>
      <c r="CR228" s="93"/>
      <c r="DD228" s="93"/>
      <c r="DP228" s="93"/>
      <c r="EY228" s="162"/>
    </row>
    <row r="229" spans="2:155" s="65" customFormat="1" x14ac:dyDescent="0.25">
      <c r="B229" s="67"/>
      <c r="D229" s="185"/>
      <c r="E229" s="185"/>
      <c r="F229" s="185"/>
      <c r="G229" s="185"/>
      <c r="H229" s="185"/>
      <c r="I229" s="185"/>
      <c r="J229" s="185"/>
      <c r="K229" s="185"/>
      <c r="L229" s="185"/>
      <c r="M229" s="185"/>
      <c r="N229" s="185"/>
      <c r="O229" s="185"/>
      <c r="P229" s="185"/>
      <c r="Q229" s="185"/>
      <c r="R229" s="185"/>
      <c r="S229" s="185"/>
      <c r="T229" s="185"/>
      <c r="U229" s="185"/>
      <c r="V229" s="185"/>
      <c r="W229" s="185"/>
      <c r="X229" s="185"/>
      <c r="Y229" s="185"/>
      <c r="Z229" s="185"/>
      <c r="CE229" s="93"/>
      <c r="CP229" s="91"/>
      <c r="CQ229" s="93"/>
      <c r="CR229" s="93"/>
      <c r="DD229" s="93"/>
      <c r="DP229" s="93"/>
      <c r="EY229" s="162"/>
    </row>
    <row r="230" spans="2:155" s="65" customFormat="1" x14ac:dyDescent="0.25">
      <c r="B230" s="67"/>
      <c r="D230" s="185"/>
      <c r="E230" s="185"/>
      <c r="F230" s="185"/>
      <c r="G230" s="185"/>
      <c r="H230" s="185"/>
      <c r="I230" s="185"/>
      <c r="J230" s="185"/>
      <c r="K230" s="185"/>
      <c r="L230" s="185"/>
      <c r="M230" s="185"/>
      <c r="N230" s="185"/>
      <c r="O230" s="185"/>
      <c r="P230" s="185"/>
      <c r="Q230" s="185"/>
      <c r="R230" s="185"/>
      <c r="S230" s="185"/>
      <c r="T230" s="185"/>
      <c r="U230" s="185"/>
      <c r="V230" s="185"/>
      <c r="W230" s="185"/>
      <c r="X230" s="185"/>
      <c r="Y230" s="185"/>
      <c r="Z230" s="185"/>
      <c r="CE230" s="93"/>
      <c r="CP230" s="91"/>
      <c r="CQ230" s="93"/>
      <c r="CR230" s="93"/>
      <c r="DD230" s="93"/>
      <c r="DP230" s="93"/>
      <c r="EY230" s="162"/>
    </row>
    <row r="231" spans="2:155" s="65" customFormat="1" x14ac:dyDescent="0.25">
      <c r="B231" s="67"/>
      <c r="D231" s="185"/>
      <c r="E231" s="185"/>
      <c r="F231" s="185"/>
      <c r="G231" s="185"/>
      <c r="H231" s="185"/>
      <c r="I231" s="185"/>
      <c r="J231" s="185"/>
      <c r="K231" s="185"/>
      <c r="L231" s="185"/>
      <c r="M231" s="185"/>
      <c r="N231" s="185"/>
      <c r="O231" s="185"/>
      <c r="P231" s="185"/>
      <c r="Q231" s="185"/>
      <c r="R231" s="185"/>
      <c r="S231" s="185"/>
      <c r="T231" s="185"/>
      <c r="U231" s="185"/>
      <c r="V231" s="185"/>
      <c r="W231" s="185"/>
      <c r="X231" s="185"/>
      <c r="Y231" s="185"/>
      <c r="Z231" s="185"/>
      <c r="CE231" s="93"/>
      <c r="CP231" s="91"/>
      <c r="CQ231" s="93"/>
      <c r="CR231" s="93"/>
      <c r="DD231" s="93"/>
      <c r="DP231" s="93"/>
      <c r="EY231" s="162"/>
    </row>
    <row r="232" spans="2:155" s="65" customFormat="1" x14ac:dyDescent="0.25">
      <c r="B232" s="67"/>
      <c r="D232" s="185"/>
      <c r="E232" s="185"/>
      <c r="F232" s="185"/>
      <c r="G232" s="185"/>
      <c r="H232" s="185"/>
      <c r="I232" s="185"/>
      <c r="J232" s="185"/>
      <c r="K232" s="185"/>
      <c r="L232" s="185"/>
      <c r="M232" s="185"/>
      <c r="N232" s="185"/>
      <c r="O232" s="185"/>
      <c r="P232" s="185"/>
      <c r="Q232" s="185"/>
      <c r="R232" s="185"/>
      <c r="S232" s="185"/>
      <c r="T232" s="185"/>
      <c r="U232" s="185"/>
      <c r="V232" s="185"/>
      <c r="W232" s="185"/>
      <c r="X232" s="185"/>
      <c r="Y232" s="185"/>
      <c r="Z232" s="185"/>
      <c r="CE232" s="93"/>
      <c r="CP232" s="91"/>
      <c r="CQ232" s="93"/>
      <c r="CR232" s="93"/>
      <c r="DD232" s="93"/>
      <c r="DP232" s="93"/>
      <c r="EY232" s="162"/>
    </row>
    <row r="233" spans="2:155" s="65" customFormat="1" x14ac:dyDescent="0.25">
      <c r="B233" s="67"/>
      <c r="D233" s="185"/>
      <c r="E233" s="185"/>
      <c r="F233" s="185"/>
      <c r="G233" s="185"/>
      <c r="H233" s="185"/>
      <c r="I233" s="185"/>
      <c r="J233" s="185"/>
      <c r="K233" s="185"/>
      <c r="L233" s="185"/>
      <c r="M233" s="185"/>
      <c r="N233" s="185"/>
      <c r="O233" s="185"/>
      <c r="P233" s="185"/>
      <c r="Q233" s="185"/>
      <c r="R233" s="185"/>
      <c r="S233" s="185"/>
      <c r="T233" s="185"/>
      <c r="U233" s="185"/>
      <c r="V233" s="185"/>
      <c r="W233" s="185"/>
      <c r="X233" s="185"/>
      <c r="Y233" s="185"/>
      <c r="Z233" s="185"/>
      <c r="CE233" s="93"/>
      <c r="CP233" s="91"/>
      <c r="CQ233" s="93"/>
      <c r="CR233" s="93"/>
      <c r="DD233" s="93"/>
      <c r="DP233" s="93"/>
      <c r="EY233" s="162"/>
    </row>
    <row r="234" spans="2:155" s="65" customFormat="1" x14ac:dyDescent="0.25">
      <c r="B234" s="67"/>
      <c r="D234" s="185"/>
      <c r="E234" s="185"/>
      <c r="F234" s="185"/>
      <c r="G234" s="185"/>
      <c r="H234" s="185"/>
      <c r="I234" s="185"/>
      <c r="J234" s="185"/>
      <c r="K234" s="185"/>
      <c r="L234" s="185"/>
      <c r="M234" s="185"/>
      <c r="N234" s="185"/>
      <c r="O234" s="185"/>
      <c r="P234" s="185"/>
      <c r="Q234" s="185"/>
      <c r="R234" s="185"/>
      <c r="S234" s="185"/>
      <c r="T234" s="185"/>
      <c r="U234" s="185"/>
      <c r="V234" s="185"/>
      <c r="W234" s="185"/>
      <c r="X234" s="185"/>
      <c r="Y234" s="185"/>
      <c r="Z234" s="185"/>
      <c r="CE234" s="93"/>
      <c r="CP234" s="91"/>
      <c r="CQ234" s="93"/>
      <c r="CR234" s="93"/>
      <c r="DD234" s="93"/>
      <c r="DP234" s="93"/>
      <c r="EY234" s="162"/>
    </row>
    <row r="235" spans="2:155" s="65" customFormat="1" x14ac:dyDescent="0.25">
      <c r="B235" s="67"/>
      <c r="D235" s="185"/>
      <c r="E235" s="185"/>
      <c r="F235" s="185"/>
      <c r="G235" s="185"/>
      <c r="H235" s="185"/>
      <c r="I235" s="185"/>
      <c r="J235" s="185"/>
      <c r="K235" s="185"/>
      <c r="L235" s="185"/>
      <c r="M235" s="185"/>
      <c r="N235" s="185"/>
      <c r="O235" s="185"/>
      <c r="P235" s="185"/>
      <c r="Q235" s="185"/>
      <c r="R235" s="185"/>
      <c r="S235" s="185"/>
      <c r="T235" s="185"/>
      <c r="U235" s="185"/>
      <c r="V235" s="185"/>
      <c r="W235" s="185"/>
      <c r="X235" s="185"/>
      <c r="Y235" s="185"/>
      <c r="Z235" s="185"/>
      <c r="CE235" s="93"/>
      <c r="CP235" s="91"/>
      <c r="CQ235" s="93"/>
      <c r="CR235" s="93"/>
      <c r="DD235" s="93"/>
      <c r="DP235" s="93"/>
      <c r="EY235" s="162"/>
    </row>
    <row r="236" spans="2:155" s="65" customFormat="1" x14ac:dyDescent="0.25">
      <c r="B236" s="67"/>
      <c r="D236" s="185"/>
      <c r="E236" s="185"/>
      <c r="F236" s="185"/>
      <c r="G236" s="185"/>
      <c r="H236" s="185"/>
      <c r="I236" s="185"/>
      <c r="J236" s="185"/>
      <c r="K236" s="185"/>
      <c r="L236" s="185"/>
      <c r="M236" s="185"/>
      <c r="N236" s="185"/>
      <c r="O236" s="185"/>
      <c r="P236" s="185"/>
      <c r="Q236" s="185"/>
      <c r="R236" s="185"/>
      <c r="S236" s="185"/>
      <c r="T236" s="185"/>
      <c r="U236" s="185"/>
      <c r="V236" s="185"/>
      <c r="W236" s="185"/>
      <c r="X236" s="185"/>
      <c r="Y236" s="185"/>
      <c r="Z236" s="185"/>
      <c r="CE236" s="93"/>
      <c r="CP236" s="91"/>
      <c r="CQ236" s="93"/>
      <c r="CR236" s="93"/>
      <c r="DD236" s="93"/>
      <c r="DP236" s="93"/>
      <c r="EY236" s="162"/>
    </row>
    <row r="237" spans="2:155" s="65" customFormat="1" x14ac:dyDescent="0.25">
      <c r="B237" s="67"/>
      <c r="D237" s="185"/>
      <c r="E237" s="185"/>
      <c r="F237" s="185"/>
      <c r="G237" s="185"/>
      <c r="H237" s="185"/>
      <c r="I237" s="185"/>
      <c r="J237" s="185"/>
      <c r="K237" s="185"/>
      <c r="L237" s="185"/>
      <c r="M237" s="185"/>
      <c r="N237" s="185"/>
      <c r="O237" s="185"/>
      <c r="P237" s="185"/>
      <c r="Q237" s="185"/>
      <c r="R237" s="185"/>
      <c r="S237" s="185"/>
      <c r="T237" s="185"/>
      <c r="U237" s="185"/>
      <c r="V237" s="185"/>
      <c r="W237" s="185"/>
      <c r="X237" s="185"/>
      <c r="Y237" s="185"/>
      <c r="Z237" s="185"/>
      <c r="CE237" s="93"/>
      <c r="CP237" s="91"/>
      <c r="CQ237" s="93"/>
      <c r="CR237" s="93"/>
      <c r="DD237" s="93"/>
      <c r="DP237" s="93"/>
      <c r="EY237" s="162"/>
    </row>
    <row r="238" spans="2:155" s="65" customFormat="1" x14ac:dyDescent="0.25">
      <c r="B238" s="67"/>
      <c r="D238" s="185"/>
      <c r="E238" s="185"/>
      <c r="F238" s="185"/>
      <c r="G238" s="185"/>
      <c r="H238" s="185"/>
      <c r="I238" s="185"/>
      <c r="J238" s="185"/>
      <c r="K238" s="185"/>
      <c r="L238" s="185"/>
      <c r="M238" s="185"/>
      <c r="N238" s="185"/>
      <c r="O238" s="185"/>
      <c r="P238" s="185"/>
      <c r="Q238" s="185"/>
      <c r="R238" s="185"/>
      <c r="S238" s="185"/>
      <c r="T238" s="185"/>
      <c r="U238" s="185"/>
      <c r="V238" s="185"/>
      <c r="W238" s="185"/>
      <c r="X238" s="185"/>
      <c r="Y238" s="185"/>
      <c r="Z238" s="185"/>
      <c r="CE238" s="93"/>
      <c r="CP238" s="91"/>
      <c r="CQ238" s="93"/>
      <c r="CR238" s="93"/>
      <c r="DD238" s="93"/>
      <c r="DP238" s="93"/>
      <c r="EY238" s="162"/>
    </row>
    <row r="239" spans="2:155" s="65" customFormat="1" x14ac:dyDescent="0.25">
      <c r="B239" s="67"/>
      <c r="CE239" s="93"/>
      <c r="CP239" s="91"/>
      <c r="CQ239" s="93"/>
      <c r="CR239" s="93"/>
      <c r="DD239" s="93"/>
      <c r="DP239" s="93"/>
      <c r="EY239" s="162"/>
    </row>
    <row r="240" spans="2:155" s="65" customFormat="1" x14ac:dyDescent="0.25">
      <c r="B240" s="67"/>
      <c r="CE240" s="93"/>
      <c r="CP240" s="91"/>
      <c r="CQ240" s="93"/>
      <c r="CR240" s="93"/>
      <c r="DD240" s="93"/>
      <c r="DP240" s="93"/>
      <c r="EY240" s="162"/>
    </row>
    <row r="241" spans="2:155" s="65" customFormat="1" x14ac:dyDescent="0.25">
      <c r="B241" s="67"/>
      <c r="CE241" s="93"/>
      <c r="CP241" s="91"/>
      <c r="CQ241" s="93"/>
      <c r="CR241" s="93"/>
      <c r="DD241" s="93"/>
      <c r="DP241" s="93"/>
      <c r="EY241" s="162"/>
    </row>
    <row r="242" spans="2:155" s="65" customFormat="1" x14ac:dyDescent="0.25">
      <c r="B242" s="67"/>
      <c r="CE242" s="93"/>
      <c r="CP242" s="91"/>
      <c r="CQ242" s="93"/>
      <c r="CR242" s="93"/>
      <c r="DD242" s="93"/>
      <c r="DP242" s="93"/>
      <c r="EY242" s="162"/>
    </row>
    <row r="243" spans="2:155" s="65" customFormat="1" x14ac:dyDescent="0.25">
      <c r="B243" s="67"/>
      <c r="CE243" s="93"/>
      <c r="CP243" s="91"/>
      <c r="CQ243" s="93"/>
      <c r="CR243" s="93"/>
      <c r="DD243" s="93"/>
      <c r="DP243" s="93"/>
      <c r="EY243" s="162"/>
    </row>
    <row r="244" spans="2:155" s="65" customFormat="1" x14ac:dyDescent="0.25">
      <c r="B244" s="67"/>
      <c r="CE244" s="93"/>
      <c r="CP244" s="91"/>
      <c r="CQ244" s="93"/>
      <c r="CR244" s="93"/>
      <c r="DD244" s="93"/>
      <c r="DP244" s="93"/>
      <c r="EY244" s="162"/>
    </row>
    <row r="245" spans="2:155" s="65" customFormat="1" x14ac:dyDescent="0.25">
      <c r="B245" s="67"/>
      <c r="CE245" s="93"/>
      <c r="CP245" s="91"/>
      <c r="CQ245" s="93"/>
      <c r="CR245" s="93"/>
      <c r="DD245" s="93"/>
      <c r="DP245" s="93"/>
      <c r="EY245" s="162"/>
    </row>
    <row r="246" spans="2:155" s="65" customFormat="1" x14ac:dyDescent="0.25">
      <c r="B246" s="67"/>
      <c r="CE246" s="93"/>
      <c r="CP246" s="91"/>
      <c r="CQ246" s="93"/>
      <c r="CR246" s="93"/>
      <c r="DD246" s="93"/>
      <c r="DP246" s="93"/>
      <c r="EY246" s="162"/>
    </row>
    <row r="247" spans="2:155" s="65" customFormat="1" x14ac:dyDescent="0.25">
      <c r="B247" s="67"/>
      <c r="CE247" s="93"/>
      <c r="CP247" s="91"/>
      <c r="CQ247" s="93"/>
      <c r="CR247" s="93"/>
      <c r="DD247" s="93"/>
      <c r="DP247" s="93"/>
      <c r="EY247" s="162"/>
    </row>
    <row r="248" spans="2:155" s="65" customFormat="1" x14ac:dyDescent="0.25">
      <c r="B248" s="67"/>
      <c r="CE248" s="93"/>
      <c r="CP248" s="91"/>
      <c r="CQ248" s="93"/>
      <c r="CR248" s="93"/>
      <c r="DD248" s="93"/>
      <c r="DP248" s="93"/>
      <c r="EY248" s="162"/>
    </row>
  </sheetData>
  <mergeCells count="212">
    <mergeCell ref="A1:EY1"/>
    <mergeCell ref="A15:A16"/>
    <mergeCell ref="B13:B14"/>
    <mergeCell ref="A13:A14"/>
    <mergeCell ref="A66:A67"/>
    <mergeCell ref="A68:A75"/>
    <mergeCell ref="B68:B75"/>
    <mergeCell ref="B76:B87"/>
    <mergeCell ref="CE2:DB2"/>
    <mergeCell ref="A2:CD2"/>
    <mergeCell ref="A31:A33"/>
    <mergeCell ref="B31:B33"/>
    <mergeCell ref="A34:A38"/>
    <mergeCell ref="B34:B38"/>
    <mergeCell ref="A53:A62"/>
    <mergeCell ref="B53:B62"/>
    <mergeCell ref="A5:A8"/>
    <mergeCell ref="B5:B8"/>
    <mergeCell ref="A24:A30"/>
    <mergeCell ref="B24:B30"/>
    <mergeCell ref="DD2:ED2"/>
    <mergeCell ref="EN2:EV2"/>
    <mergeCell ref="EE2:EM2"/>
    <mergeCell ref="B17:B20"/>
    <mergeCell ref="A17:A20"/>
    <mergeCell ref="AI150:AM150"/>
    <mergeCell ref="AI151:AM151"/>
    <mergeCell ref="AI152:AM152"/>
    <mergeCell ref="A88:A92"/>
    <mergeCell ref="B88:B92"/>
    <mergeCell ref="A93:A96"/>
    <mergeCell ref="B93:B96"/>
    <mergeCell ref="A97:A99"/>
    <mergeCell ref="B97:B99"/>
    <mergeCell ref="A76:A87"/>
    <mergeCell ref="A39:A52"/>
    <mergeCell ref="B63:B67"/>
    <mergeCell ref="A100:A139"/>
    <mergeCell ref="B100:B120"/>
    <mergeCell ref="B121:B139"/>
    <mergeCell ref="B39:B52"/>
    <mergeCell ref="A9:A10"/>
    <mergeCell ref="A11:A12"/>
    <mergeCell ref="A21:A23"/>
    <mergeCell ref="B15:B16"/>
    <mergeCell ref="AI159:AM159"/>
    <mergeCell ref="AI160:AM160"/>
    <mergeCell ref="AI161:AM161"/>
    <mergeCell ref="AI162:AM162"/>
    <mergeCell ref="AI163:AM163"/>
    <mergeCell ref="AI164:AM164"/>
    <mergeCell ref="AI153:AM153"/>
    <mergeCell ref="AI154:AM154"/>
    <mergeCell ref="AI155:AM155"/>
    <mergeCell ref="AI156:AM156"/>
    <mergeCell ref="AI157:AM157"/>
    <mergeCell ref="AI158:AM158"/>
    <mergeCell ref="AI171:AM171"/>
    <mergeCell ref="AI172:AM172"/>
    <mergeCell ref="AI173:AM173"/>
    <mergeCell ref="AI174:AM174"/>
    <mergeCell ref="AI175:AM175"/>
    <mergeCell ref="AI176:AM176"/>
    <mergeCell ref="AI165:AM165"/>
    <mergeCell ref="AI166:AM166"/>
    <mergeCell ref="AI167:AM167"/>
    <mergeCell ref="AI168:AM168"/>
    <mergeCell ref="AI169:AM169"/>
    <mergeCell ref="AI170:AM170"/>
    <mergeCell ref="AA181:AH181"/>
    <mergeCell ref="AI181:AM181"/>
    <mergeCell ref="D182:Z182"/>
    <mergeCell ref="AA182:AH182"/>
    <mergeCell ref="AI182:AM182"/>
    <mergeCell ref="AI177:AM177"/>
    <mergeCell ref="AI178:AM178"/>
    <mergeCell ref="D179:Z179"/>
    <mergeCell ref="AA179:AH179"/>
    <mergeCell ref="AI179:AM179"/>
    <mergeCell ref="D180:Z180"/>
    <mergeCell ref="AA180:AH180"/>
    <mergeCell ref="AI180:AM180"/>
    <mergeCell ref="D181:Z181"/>
    <mergeCell ref="AA185:AH185"/>
    <mergeCell ref="AI185:AM185"/>
    <mergeCell ref="D186:Z186"/>
    <mergeCell ref="AA186:AH186"/>
    <mergeCell ref="AI186:AM186"/>
    <mergeCell ref="D183:Z183"/>
    <mergeCell ref="AA183:AH183"/>
    <mergeCell ref="AI183:AM183"/>
    <mergeCell ref="D184:Z184"/>
    <mergeCell ref="AA184:AH184"/>
    <mergeCell ref="AI184:AM184"/>
    <mergeCell ref="D185:Z185"/>
    <mergeCell ref="AA189:AH189"/>
    <mergeCell ref="AI189:AM189"/>
    <mergeCell ref="D190:Z190"/>
    <mergeCell ref="AA190:AH190"/>
    <mergeCell ref="AI190:AM190"/>
    <mergeCell ref="D187:Z187"/>
    <mergeCell ref="AA187:AH187"/>
    <mergeCell ref="AI187:AM187"/>
    <mergeCell ref="D188:Z188"/>
    <mergeCell ref="AA188:AH188"/>
    <mergeCell ref="AI188:AM188"/>
    <mergeCell ref="D189:Z189"/>
    <mergeCell ref="AA193:AH193"/>
    <mergeCell ref="AI193:AM193"/>
    <mergeCell ref="D194:Z194"/>
    <mergeCell ref="AA194:AH194"/>
    <mergeCell ref="AI194:AM194"/>
    <mergeCell ref="D191:Z191"/>
    <mergeCell ref="AA191:AH191"/>
    <mergeCell ref="AI191:AM191"/>
    <mergeCell ref="D192:Z192"/>
    <mergeCell ref="AA192:AH192"/>
    <mergeCell ref="AI192:AM192"/>
    <mergeCell ref="D193:Z193"/>
    <mergeCell ref="AA197:AH197"/>
    <mergeCell ref="AI197:AM197"/>
    <mergeCell ref="D198:Z198"/>
    <mergeCell ref="AA198:AH198"/>
    <mergeCell ref="AI198:AM198"/>
    <mergeCell ref="D195:Z195"/>
    <mergeCell ref="AA195:AH195"/>
    <mergeCell ref="AI195:AM195"/>
    <mergeCell ref="D196:Z196"/>
    <mergeCell ref="AA196:AH196"/>
    <mergeCell ref="AI196:AM196"/>
    <mergeCell ref="D197:Z197"/>
    <mergeCell ref="AA201:AH201"/>
    <mergeCell ref="AI201:AM201"/>
    <mergeCell ref="D202:Z202"/>
    <mergeCell ref="AA202:AH202"/>
    <mergeCell ref="AI202:AM202"/>
    <mergeCell ref="D199:Z199"/>
    <mergeCell ref="AA199:AH199"/>
    <mergeCell ref="AI199:AM199"/>
    <mergeCell ref="D200:Z200"/>
    <mergeCell ref="AA200:AH200"/>
    <mergeCell ref="AI200:AM200"/>
    <mergeCell ref="D201:Z201"/>
    <mergeCell ref="AA205:AH205"/>
    <mergeCell ref="AI205:AM205"/>
    <mergeCell ref="D206:Z206"/>
    <mergeCell ref="AA206:AH206"/>
    <mergeCell ref="AI206:AM206"/>
    <mergeCell ref="D203:Z203"/>
    <mergeCell ref="AA203:AH203"/>
    <mergeCell ref="AI203:AM203"/>
    <mergeCell ref="D204:Z204"/>
    <mergeCell ref="AA204:AH204"/>
    <mergeCell ref="AI204:AM204"/>
    <mergeCell ref="D205:Z205"/>
    <mergeCell ref="AA210:AH210"/>
    <mergeCell ref="AI210:AM210"/>
    <mergeCell ref="D207:Z207"/>
    <mergeCell ref="AA207:AH207"/>
    <mergeCell ref="AI207:AM207"/>
    <mergeCell ref="D208:Z208"/>
    <mergeCell ref="AA208:AH208"/>
    <mergeCell ref="AI208:AM208"/>
    <mergeCell ref="D209:Z209"/>
    <mergeCell ref="D236:Z236"/>
    <mergeCell ref="D237:Z237"/>
    <mergeCell ref="D238:Z238"/>
    <mergeCell ref="D227:Z227"/>
    <mergeCell ref="D228:Z228"/>
    <mergeCell ref="D229:Z229"/>
    <mergeCell ref="D230:Z230"/>
    <mergeCell ref="D231:Z231"/>
    <mergeCell ref="D232:Z232"/>
    <mergeCell ref="D233:Z233"/>
    <mergeCell ref="D234:Z234"/>
    <mergeCell ref="D235:Z235"/>
    <mergeCell ref="D221:Z221"/>
    <mergeCell ref="D222:Z222"/>
    <mergeCell ref="D223:Z223"/>
    <mergeCell ref="D224:Z224"/>
    <mergeCell ref="D225:Z225"/>
    <mergeCell ref="D226:Z226"/>
    <mergeCell ref="D217:Z217"/>
    <mergeCell ref="AA217:AH217"/>
    <mergeCell ref="AI217:AM217"/>
    <mergeCell ref="D218:Z218"/>
    <mergeCell ref="D219:Z219"/>
    <mergeCell ref="D220:Z220"/>
    <mergeCell ref="D215:Z215"/>
    <mergeCell ref="AA215:AH215"/>
    <mergeCell ref="AI215:AM215"/>
    <mergeCell ref="D216:Z216"/>
    <mergeCell ref="AA216:AH216"/>
    <mergeCell ref="AI216:AM216"/>
    <mergeCell ref="B9:B10"/>
    <mergeCell ref="B11:B12"/>
    <mergeCell ref="B21:B23"/>
    <mergeCell ref="AA213:AH213"/>
    <mergeCell ref="AI213:AM213"/>
    <mergeCell ref="D214:Z214"/>
    <mergeCell ref="AA214:AH214"/>
    <mergeCell ref="AI214:AM214"/>
    <mergeCell ref="D211:Z211"/>
    <mergeCell ref="AA211:AH211"/>
    <mergeCell ref="AI211:AM211"/>
    <mergeCell ref="D212:Z212"/>
    <mergeCell ref="AA212:AH212"/>
    <mergeCell ref="AI212:AM212"/>
    <mergeCell ref="D213:Z213"/>
    <mergeCell ref="AA209:AH209"/>
    <mergeCell ref="AI209:AM209"/>
    <mergeCell ref="D210:Z210"/>
  </mergeCells>
  <conditionalFormatting sqref="B77:C77 B84:B87 A76:B76 B78:EX83 D76:XFD77 D84:EX87 B50:EX52 A64:A67 C64:EX67 C47:C50 A91:XFD1048576 A88:EX90 EY78:XFD90 A17:EX17 A15:EX15 C14:EX14 B13:EX13 A11 C10:EX12 EY6:XFD75 A1:XFD1 A2:EV2 EZ2:XFD2 A3:XFD5 B21 C18:EX23 A6:EX9 C16:EC16 EE16:EX16 A24:EX49 A53:EX63 A68:EX75">
    <cfRule type="expression" dxfId="11" priority="2">
      <formula>OR(CELL("row")=ROW(), CELL("col")=COLUMN())</formula>
    </cfRule>
  </conditionalFormatting>
  <conditionalFormatting sqref="A13">
    <cfRule type="expression" dxfId="10" priority="1">
      <formula>OR(CELL("row")=ROW(), CELL("col")=COLUMN())</formula>
    </cfRule>
  </conditionalFormatting>
  <dataValidations count="15">
    <dataValidation allowBlank="1" showInputMessage="1" showErrorMessage="1" prompt="Rain Interruption" sqref="DK100:DT104 DK24:DQ25"/>
    <dataValidation allowBlank="1" showInputMessage="1" showErrorMessage="1" prompt="Layouts Revised" sqref="CJ100:CS104"/>
    <dataValidation allowBlank="1" showInputMessage="1" showErrorMessage="1" prompt="Cabling Done" sqref="CW38:DC38 CW34:DC35"/>
    <dataValidation allowBlank="1" showInputMessage="1" showErrorMessage="1" prompt="Fixing of Fire Detectors &amp; Extinguishers" sqref="EO38:ES38"/>
    <dataValidation allowBlank="1" showInputMessage="1" showErrorMessage="1" prompt="Fixing of Modular Boxes" sqref="DT34:DY35"/>
    <dataValidation allowBlank="1" showInputMessage="1" showErrorMessage="1" prompt="11 Tr, 2 Nos 8.5 Tr, 2 Nos 5.5 Tr Procured" sqref="CN29:CQ29"/>
    <dataValidation allowBlank="1" showInputMessage="1" showErrorMessage="1" prompt="Procurment of Remaining DSU &amp; Splits" sqref="DZ29:EJ29 EI30:EJ30"/>
    <dataValidation allowBlank="1" showInputMessage="1" showErrorMessage="1" prompt="Remaining Ducting" sqref="DT27:DV27"/>
    <dataValidation allowBlank="1" showInputMessage="1" showErrorMessage="1" prompt="Work Done as per Earlier Drawing" sqref="CK24:CP25"/>
    <dataValidation allowBlank="1" showInputMessage="1" showErrorMessage="1" prompt="Work Done as per Revised Drawing" sqref="DF24:DJ25"/>
    <dataValidation allowBlank="1" showInputMessage="1" showErrorMessage="1" prompt="In Toilets &amp; ICUs" sqref="DH6:DK6"/>
    <dataValidation allowBlank="1" showInputMessage="1" showErrorMessage="1" prompt="Entrance Aesthetic Dado" sqref="DZ6:ED6"/>
    <dataValidation allowBlank="1" showInputMessage="1" showErrorMessage="1" prompt="Revised Layout Approval Pending" sqref="CR29:DY29"/>
    <dataValidation allowBlank="1" showInputMessage="1" showErrorMessage="1" prompt="Layout Revised &amp; Rain Interruption" sqref="CM27:DS27"/>
    <dataValidation allowBlank="1" showInputMessage="1" showErrorMessage="1" prompt="Pending Approval" sqref="CQ24:DE25"/>
  </dataValidations>
  <pageMargins left="0.23622047244094491" right="3.937007874015748E-2" top="0.46" bottom="0.4" header="0.31496062992125984" footer="0.31496062992125984"/>
  <pageSetup paperSize="9" scale="13" fitToHeight="0" orientation="portrait" r:id="rId1"/>
  <rowBreaks count="1" manualBreakCount="1">
    <brk id="104" min="1" max="154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5:X32"/>
  <sheetViews>
    <sheetView workbookViewId="0">
      <selection activeCell="N3" sqref="N3"/>
    </sheetView>
  </sheetViews>
  <sheetFormatPr defaultRowHeight="14.3" x14ac:dyDescent="0.25"/>
  <sheetData>
    <row r="5" spans="3:24" x14ac:dyDescent="0.25">
      <c r="C5" s="205" t="s">
        <v>128</v>
      </c>
      <c r="D5" s="205"/>
      <c r="E5" s="205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5"/>
      <c r="R5" s="205"/>
      <c r="S5" s="205"/>
      <c r="T5" s="205"/>
      <c r="U5" s="205"/>
      <c r="V5" s="205"/>
      <c r="W5" s="205"/>
      <c r="X5" s="205"/>
    </row>
    <row r="6" spans="3:24" x14ac:dyDescent="0.25">
      <c r="C6" s="205"/>
      <c r="D6" s="205"/>
      <c r="E6" s="205"/>
      <c r="F6" s="205"/>
      <c r="G6" s="205"/>
      <c r="H6" s="205"/>
      <c r="I6" s="205"/>
      <c r="J6" s="205"/>
      <c r="K6" s="205"/>
      <c r="L6" s="205"/>
      <c r="M6" s="205"/>
      <c r="N6" s="205"/>
      <c r="O6" s="205"/>
      <c r="P6" s="205"/>
      <c r="Q6" s="205"/>
      <c r="R6" s="205"/>
      <c r="S6" s="205"/>
      <c r="T6" s="205"/>
      <c r="U6" s="205"/>
      <c r="V6" s="205"/>
      <c r="W6" s="205"/>
      <c r="X6" s="205"/>
    </row>
    <row r="7" spans="3:24" x14ac:dyDescent="0.25">
      <c r="C7" s="205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</row>
    <row r="8" spans="3:24" x14ac:dyDescent="0.25">
      <c r="C8" s="205"/>
      <c r="D8" s="205"/>
      <c r="E8" s="205"/>
      <c r="F8" s="205"/>
      <c r="G8" s="205"/>
      <c r="H8" s="205"/>
      <c r="I8" s="205"/>
      <c r="J8" s="205"/>
      <c r="K8" s="205"/>
      <c r="L8" s="205"/>
      <c r="M8" s="205"/>
      <c r="N8" s="205"/>
      <c r="O8" s="205"/>
      <c r="P8" s="205"/>
      <c r="Q8" s="205"/>
      <c r="R8" s="205"/>
      <c r="S8" s="205"/>
      <c r="T8" s="205"/>
      <c r="U8" s="205"/>
      <c r="V8" s="205"/>
      <c r="W8" s="205"/>
      <c r="X8" s="205"/>
    </row>
    <row r="9" spans="3:24" x14ac:dyDescent="0.25">
      <c r="C9" s="205"/>
      <c r="D9" s="205"/>
      <c r="E9" s="205"/>
      <c r="F9" s="205"/>
      <c r="G9" s="205"/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</row>
    <row r="10" spans="3:24" x14ac:dyDescent="0.25">
      <c r="C10" s="205"/>
      <c r="D10" s="205"/>
      <c r="E10" s="205"/>
      <c r="F10" s="205"/>
      <c r="G10" s="205"/>
      <c r="H10" s="205"/>
      <c r="I10" s="205"/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</row>
    <row r="11" spans="3:24" x14ac:dyDescent="0.25">
      <c r="C11" s="205"/>
      <c r="D11" s="205"/>
      <c r="E11" s="205"/>
      <c r="F11" s="205"/>
      <c r="G11" s="205"/>
      <c r="H11" s="205"/>
      <c r="I11" s="205"/>
      <c r="J11" s="205"/>
      <c r="K11" s="205"/>
      <c r="L11" s="205"/>
      <c r="M11" s="205"/>
      <c r="N11" s="205"/>
      <c r="O11" s="205"/>
      <c r="P11" s="205"/>
      <c r="Q11" s="205"/>
      <c r="R11" s="205"/>
      <c r="S11" s="205"/>
      <c r="T11" s="205"/>
      <c r="U11" s="205"/>
      <c r="V11" s="205"/>
      <c r="W11" s="205"/>
      <c r="X11" s="205"/>
    </row>
    <row r="12" spans="3:24" x14ac:dyDescent="0.25">
      <c r="C12" s="205"/>
      <c r="D12" s="205"/>
      <c r="E12" s="205"/>
      <c r="F12" s="205"/>
      <c r="G12" s="205"/>
      <c r="H12" s="205"/>
      <c r="I12" s="205"/>
      <c r="J12" s="205"/>
      <c r="K12" s="205"/>
      <c r="L12" s="205"/>
      <c r="M12" s="205"/>
      <c r="N12" s="205"/>
      <c r="O12" s="205"/>
      <c r="P12" s="205"/>
      <c r="Q12" s="205"/>
      <c r="R12" s="205"/>
      <c r="S12" s="205"/>
      <c r="T12" s="205"/>
      <c r="U12" s="205"/>
      <c r="V12" s="205"/>
      <c r="W12" s="205"/>
      <c r="X12" s="205"/>
    </row>
    <row r="13" spans="3:24" x14ac:dyDescent="0.25">
      <c r="C13" s="205"/>
      <c r="D13" s="205"/>
      <c r="E13" s="205"/>
      <c r="F13" s="205"/>
      <c r="G13" s="205"/>
      <c r="H13" s="205"/>
      <c r="I13" s="205"/>
      <c r="J13" s="205"/>
      <c r="K13" s="205"/>
      <c r="L13" s="205"/>
      <c r="M13" s="205"/>
      <c r="N13" s="205"/>
      <c r="O13" s="205"/>
      <c r="P13" s="205"/>
      <c r="Q13" s="205"/>
      <c r="R13" s="205"/>
      <c r="S13" s="205"/>
      <c r="T13" s="205"/>
      <c r="U13" s="205"/>
      <c r="V13" s="205"/>
      <c r="W13" s="205"/>
      <c r="X13" s="205"/>
    </row>
    <row r="14" spans="3:24" x14ac:dyDescent="0.25">
      <c r="C14" s="205"/>
      <c r="D14" s="205"/>
      <c r="E14" s="205"/>
      <c r="F14" s="205"/>
      <c r="G14" s="205"/>
      <c r="H14" s="205"/>
      <c r="I14" s="205"/>
      <c r="J14" s="205"/>
      <c r="K14" s="205"/>
      <c r="L14" s="205"/>
      <c r="M14" s="205"/>
      <c r="N14" s="205"/>
      <c r="O14" s="205"/>
      <c r="P14" s="205"/>
      <c r="Q14" s="205"/>
      <c r="R14" s="205"/>
      <c r="S14" s="205"/>
      <c r="T14" s="205"/>
      <c r="U14" s="205"/>
      <c r="V14" s="205"/>
      <c r="W14" s="205"/>
      <c r="X14" s="205"/>
    </row>
    <row r="15" spans="3:24" x14ac:dyDescent="0.25">
      <c r="C15" s="205"/>
      <c r="D15" s="205"/>
      <c r="E15" s="205"/>
      <c r="F15" s="205"/>
      <c r="G15" s="205"/>
      <c r="H15" s="205"/>
      <c r="I15" s="205"/>
      <c r="J15" s="205"/>
      <c r="K15" s="205"/>
      <c r="L15" s="205"/>
      <c r="M15" s="205"/>
      <c r="N15" s="205"/>
      <c r="O15" s="205"/>
      <c r="P15" s="205"/>
      <c r="Q15" s="205"/>
      <c r="R15" s="205"/>
      <c r="S15" s="205"/>
      <c r="T15" s="205"/>
      <c r="U15" s="205"/>
      <c r="V15" s="205"/>
      <c r="W15" s="205"/>
      <c r="X15" s="205"/>
    </row>
    <row r="16" spans="3:24" x14ac:dyDescent="0.25">
      <c r="C16" s="205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205"/>
      <c r="P16" s="205"/>
      <c r="Q16" s="205"/>
      <c r="R16" s="205"/>
      <c r="S16" s="205"/>
      <c r="T16" s="205"/>
      <c r="U16" s="205"/>
      <c r="V16" s="205"/>
      <c r="W16" s="205"/>
      <c r="X16" s="205"/>
    </row>
    <row r="17" spans="3:24" x14ac:dyDescent="0.25">
      <c r="C17" s="205"/>
      <c r="D17" s="205"/>
      <c r="E17" s="205"/>
      <c r="F17" s="205"/>
      <c r="G17" s="205"/>
      <c r="H17" s="205"/>
      <c r="I17" s="205"/>
      <c r="J17" s="205"/>
      <c r="K17" s="205"/>
      <c r="L17" s="205"/>
      <c r="M17" s="205"/>
      <c r="N17" s="205"/>
      <c r="O17" s="205"/>
      <c r="P17" s="205"/>
      <c r="Q17" s="205"/>
      <c r="R17" s="205"/>
      <c r="S17" s="205"/>
      <c r="T17" s="205"/>
      <c r="U17" s="205"/>
      <c r="V17" s="205"/>
      <c r="W17" s="205"/>
      <c r="X17" s="205"/>
    </row>
    <row r="18" spans="3:24" x14ac:dyDescent="0.25">
      <c r="C18" s="205"/>
      <c r="D18" s="205"/>
      <c r="E18" s="205"/>
      <c r="F18" s="205"/>
      <c r="G18" s="205"/>
      <c r="H18" s="205"/>
      <c r="I18" s="205"/>
      <c r="J18" s="205"/>
      <c r="K18" s="205"/>
      <c r="L18" s="205"/>
      <c r="M18" s="205"/>
      <c r="N18" s="205"/>
      <c r="O18" s="205"/>
      <c r="P18" s="205"/>
      <c r="Q18" s="205"/>
      <c r="R18" s="205"/>
      <c r="S18" s="205"/>
      <c r="T18" s="205"/>
      <c r="U18" s="205"/>
      <c r="V18" s="205"/>
      <c r="W18" s="205"/>
      <c r="X18" s="205"/>
    </row>
    <row r="19" spans="3:24" x14ac:dyDescent="0.25">
      <c r="C19" s="205"/>
      <c r="D19" s="205"/>
      <c r="E19" s="205"/>
      <c r="F19" s="205"/>
      <c r="G19" s="205"/>
      <c r="H19" s="205"/>
      <c r="I19" s="205"/>
      <c r="J19" s="205"/>
      <c r="K19" s="205"/>
      <c r="L19" s="205"/>
      <c r="M19" s="205"/>
      <c r="N19" s="205"/>
      <c r="O19" s="205"/>
      <c r="P19" s="205"/>
      <c r="Q19" s="205"/>
      <c r="R19" s="205"/>
      <c r="S19" s="205"/>
      <c r="T19" s="205"/>
      <c r="U19" s="205"/>
      <c r="V19" s="205"/>
      <c r="W19" s="205"/>
      <c r="X19" s="205"/>
    </row>
    <row r="20" spans="3:24" x14ac:dyDescent="0.25">
      <c r="C20" s="205"/>
      <c r="D20" s="205"/>
      <c r="E20" s="205"/>
      <c r="F20" s="205"/>
      <c r="G20" s="205"/>
      <c r="H20" s="205"/>
      <c r="I20" s="205"/>
      <c r="J20" s="205"/>
      <c r="K20" s="205"/>
      <c r="L20" s="205"/>
      <c r="M20" s="205"/>
      <c r="N20" s="205"/>
      <c r="O20" s="205"/>
      <c r="P20" s="205"/>
      <c r="Q20" s="205"/>
      <c r="R20" s="205"/>
      <c r="S20" s="205"/>
      <c r="T20" s="205"/>
      <c r="U20" s="205"/>
      <c r="V20" s="205"/>
      <c r="W20" s="205"/>
      <c r="X20" s="205"/>
    </row>
    <row r="21" spans="3:24" x14ac:dyDescent="0.25">
      <c r="C21" s="205"/>
      <c r="D21" s="205"/>
      <c r="E21" s="205"/>
      <c r="F21" s="205"/>
      <c r="G21" s="205"/>
      <c r="H21" s="205"/>
      <c r="I21" s="205"/>
      <c r="J21" s="205"/>
      <c r="K21" s="205"/>
      <c r="L21" s="205"/>
      <c r="M21" s="205"/>
      <c r="N21" s="205"/>
      <c r="O21" s="205"/>
      <c r="P21" s="205"/>
      <c r="Q21" s="205"/>
      <c r="R21" s="205"/>
      <c r="S21" s="205"/>
      <c r="T21" s="205"/>
      <c r="U21" s="205"/>
      <c r="V21" s="205"/>
      <c r="W21" s="205"/>
      <c r="X21" s="205"/>
    </row>
    <row r="22" spans="3:24" x14ac:dyDescent="0.25">
      <c r="C22" s="205"/>
      <c r="D22" s="205"/>
      <c r="E22" s="205"/>
      <c r="F22" s="205"/>
      <c r="G22" s="205"/>
      <c r="H22" s="205"/>
      <c r="I22" s="205"/>
      <c r="J22" s="205"/>
      <c r="K22" s="205"/>
      <c r="L22" s="205"/>
      <c r="M22" s="205"/>
      <c r="N22" s="205"/>
      <c r="O22" s="205"/>
      <c r="P22" s="205"/>
      <c r="Q22" s="205"/>
      <c r="R22" s="205"/>
      <c r="S22" s="205"/>
      <c r="T22" s="205"/>
      <c r="U22" s="205"/>
      <c r="V22" s="205"/>
      <c r="W22" s="205"/>
      <c r="X22" s="205"/>
    </row>
    <row r="23" spans="3:24" x14ac:dyDescent="0.25">
      <c r="C23" s="205"/>
      <c r="D23" s="205"/>
      <c r="E23" s="205"/>
      <c r="F23" s="205"/>
      <c r="G23" s="205"/>
      <c r="H23" s="205"/>
      <c r="I23" s="205"/>
      <c r="J23" s="205"/>
      <c r="K23" s="205"/>
      <c r="L23" s="205"/>
      <c r="M23" s="205"/>
      <c r="N23" s="205"/>
      <c r="O23" s="205"/>
      <c r="P23" s="205"/>
      <c r="Q23" s="205"/>
      <c r="R23" s="205"/>
      <c r="S23" s="205"/>
      <c r="T23" s="205"/>
      <c r="U23" s="205"/>
      <c r="V23" s="205"/>
      <c r="W23" s="205"/>
      <c r="X23" s="205"/>
    </row>
    <row r="24" spans="3:24" x14ac:dyDescent="0.25">
      <c r="C24" s="205"/>
      <c r="D24" s="205"/>
      <c r="E24" s="205"/>
      <c r="F24" s="205"/>
      <c r="G24" s="205"/>
      <c r="H24" s="205"/>
      <c r="I24" s="205"/>
      <c r="J24" s="205"/>
      <c r="K24" s="205"/>
      <c r="L24" s="205"/>
      <c r="M24" s="205"/>
      <c r="N24" s="205"/>
      <c r="O24" s="205"/>
      <c r="P24" s="205"/>
      <c r="Q24" s="205"/>
      <c r="R24" s="205"/>
      <c r="S24" s="205"/>
      <c r="T24" s="205"/>
      <c r="U24" s="205"/>
      <c r="V24" s="205"/>
      <c r="W24" s="205"/>
      <c r="X24" s="205"/>
    </row>
    <row r="25" spans="3:24" x14ac:dyDescent="0.25">
      <c r="C25" s="205"/>
      <c r="D25" s="205"/>
      <c r="E25" s="205"/>
      <c r="F25" s="205"/>
      <c r="G25" s="205"/>
      <c r="H25" s="205"/>
      <c r="I25" s="205"/>
      <c r="J25" s="205"/>
      <c r="K25" s="205"/>
      <c r="L25" s="205"/>
      <c r="M25" s="205"/>
      <c r="N25" s="205"/>
      <c r="O25" s="205"/>
      <c r="P25" s="205"/>
      <c r="Q25" s="205"/>
      <c r="R25" s="205"/>
      <c r="S25" s="205"/>
      <c r="T25" s="205"/>
      <c r="U25" s="205"/>
      <c r="V25" s="205"/>
      <c r="W25" s="205"/>
      <c r="X25" s="205"/>
    </row>
    <row r="26" spans="3:24" x14ac:dyDescent="0.25">
      <c r="C26" s="205"/>
      <c r="D26" s="205"/>
      <c r="E26" s="205"/>
      <c r="F26" s="205"/>
      <c r="G26" s="205"/>
      <c r="H26" s="205"/>
      <c r="I26" s="205"/>
      <c r="J26" s="205"/>
      <c r="K26" s="205"/>
      <c r="L26" s="205"/>
      <c r="M26" s="205"/>
      <c r="N26" s="205"/>
      <c r="O26" s="205"/>
      <c r="P26" s="205"/>
      <c r="Q26" s="205"/>
      <c r="R26" s="205"/>
      <c r="S26" s="205"/>
      <c r="T26" s="205"/>
      <c r="U26" s="205"/>
      <c r="V26" s="205"/>
      <c r="W26" s="205"/>
      <c r="X26" s="205"/>
    </row>
    <row r="27" spans="3:24" x14ac:dyDescent="0.25">
      <c r="C27" s="205"/>
      <c r="D27" s="205"/>
      <c r="E27" s="205"/>
      <c r="F27" s="205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  <c r="S27" s="205"/>
      <c r="T27" s="205"/>
      <c r="U27" s="205"/>
      <c r="V27" s="205"/>
      <c r="W27" s="205"/>
      <c r="X27" s="205"/>
    </row>
    <row r="28" spans="3:24" x14ac:dyDescent="0.25">
      <c r="C28" s="205"/>
      <c r="D28" s="205"/>
      <c r="E28" s="205"/>
      <c r="F28" s="205"/>
      <c r="G28" s="205"/>
      <c r="H28" s="205"/>
      <c r="I28" s="205"/>
      <c r="J28" s="205"/>
      <c r="K28" s="205"/>
      <c r="L28" s="205"/>
      <c r="M28" s="205"/>
      <c r="N28" s="205"/>
      <c r="O28" s="205"/>
      <c r="P28" s="205"/>
      <c r="Q28" s="205"/>
      <c r="R28" s="205"/>
      <c r="S28" s="205"/>
      <c r="T28" s="205"/>
      <c r="U28" s="205"/>
      <c r="V28" s="205"/>
      <c r="W28" s="205"/>
      <c r="X28" s="205"/>
    </row>
    <row r="29" spans="3:24" x14ac:dyDescent="0.25">
      <c r="C29" s="205"/>
      <c r="D29" s="205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</row>
    <row r="30" spans="3:24" x14ac:dyDescent="0.25">
      <c r="C30" s="205"/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205"/>
      <c r="U30" s="205"/>
      <c r="V30" s="205"/>
      <c r="W30" s="205"/>
      <c r="X30" s="205"/>
    </row>
    <row r="31" spans="3:24" x14ac:dyDescent="0.25">
      <c r="C31" s="205"/>
      <c r="D31" s="205"/>
      <c r="E31" s="205"/>
      <c r="F31" s="205"/>
      <c r="G31" s="205"/>
      <c r="H31" s="205"/>
      <c r="I31" s="205"/>
      <c r="J31" s="205"/>
      <c r="K31" s="205"/>
      <c r="L31" s="205"/>
      <c r="M31" s="205"/>
      <c r="N31" s="205"/>
      <c r="O31" s="205"/>
      <c r="P31" s="205"/>
      <c r="Q31" s="205"/>
      <c r="R31" s="205"/>
      <c r="S31" s="205"/>
      <c r="T31" s="205"/>
      <c r="U31" s="205"/>
      <c r="V31" s="205"/>
      <c r="W31" s="205"/>
      <c r="X31" s="205"/>
    </row>
    <row r="32" spans="3:24" x14ac:dyDescent="0.25">
      <c r="C32" s="205"/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05"/>
      <c r="X32" s="205"/>
    </row>
  </sheetData>
  <mergeCells count="1">
    <mergeCell ref="C5:X3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3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V249"/>
  <sheetViews>
    <sheetView tabSelected="1" view="pageBreakPreview" zoomScale="85" zoomScaleNormal="85" zoomScaleSheetLayoutView="85" workbookViewId="0">
      <pane xSplit="3" ySplit="3" topLeftCell="D4" activePane="bottomRight" state="frozen"/>
      <selection pane="topRight" activeCell="D1" sqref="D1"/>
      <selection pane="bottomLeft" activeCell="A3" sqref="A3"/>
      <selection pane="bottomRight" activeCell="C4" sqref="C4"/>
    </sheetView>
  </sheetViews>
  <sheetFormatPr defaultColWidth="3.875" defaultRowHeight="14.3" x14ac:dyDescent="0.25"/>
  <cols>
    <col min="1" max="1" width="4.875" bestFit="1" customWidth="1"/>
    <col min="2" max="2" width="40.625" style="165" bestFit="1" customWidth="1"/>
    <col min="3" max="3" width="46.75" bestFit="1" customWidth="1"/>
    <col min="4" max="29" width="3.875" customWidth="1"/>
    <col min="30" max="30" width="5" customWidth="1"/>
    <col min="31" max="32" width="14.625" customWidth="1"/>
    <col min="33" max="33" width="12" style="163" bestFit="1" customWidth="1"/>
  </cols>
  <sheetData>
    <row r="1" spans="1:33" ht="22.45" thickTop="1" thickBot="1" x14ac:dyDescent="0.4">
      <c r="A1" s="197" t="s">
        <v>188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9"/>
    </row>
    <row r="2" spans="1:33" s="65" customFormat="1" ht="6.15" customHeight="1" thickTop="1" thickBot="1" x14ac:dyDescent="0.3">
      <c r="A2" s="206"/>
      <c r="B2" s="200"/>
      <c r="C2" s="204"/>
      <c r="D2" s="200"/>
      <c r="E2" s="200"/>
      <c r="F2" s="200"/>
      <c r="G2" s="200"/>
      <c r="H2" s="200"/>
      <c r="I2" s="200"/>
      <c r="J2" s="200"/>
      <c r="K2" s="200"/>
      <c r="L2" s="204"/>
      <c r="M2" s="191" t="s">
        <v>109</v>
      </c>
      <c r="N2" s="191"/>
      <c r="O2" s="191"/>
      <c r="P2" s="191"/>
      <c r="Q2" s="191"/>
      <c r="R2" s="191"/>
      <c r="S2" s="191"/>
      <c r="T2" s="191"/>
      <c r="U2" s="191"/>
      <c r="V2" s="191" t="s">
        <v>110</v>
      </c>
      <c r="W2" s="191"/>
      <c r="X2" s="191"/>
      <c r="Y2" s="191"/>
      <c r="Z2" s="191"/>
      <c r="AA2" s="191"/>
      <c r="AB2" s="191"/>
      <c r="AC2" s="191"/>
      <c r="AD2" s="192"/>
      <c r="AE2" s="166"/>
      <c r="AF2" s="167"/>
      <c r="AG2" s="167"/>
    </row>
    <row r="3" spans="1:33" s="65" customFormat="1" ht="55.7" thickTop="1" thickBot="1" x14ac:dyDescent="0.3">
      <c r="A3" s="72" t="s">
        <v>18</v>
      </c>
      <c r="B3" s="73" t="s">
        <v>19</v>
      </c>
      <c r="C3" s="73" t="s">
        <v>20</v>
      </c>
      <c r="D3" s="82">
        <v>45580</v>
      </c>
      <c r="E3" s="83" t="s">
        <v>21</v>
      </c>
      <c r="F3" s="82">
        <f t="shared" ref="F3" si="0">D3+15</f>
        <v>45595</v>
      </c>
      <c r="G3" s="82">
        <f>F3+2</f>
        <v>45597</v>
      </c>
      <c r="H3" s="83" t="s">
        <v>21</v>
      </c>
      <c r="I3" s="82">
        <f>G3+14</f>
        <v>45611</v>
      </c>
      <c r="J3" s="82">
        <f t="shared" ref="J3" si="1">I3+1</f>
        <v>45612</v>
      </c>
      <c r="K3" s="83" t="s">
        <v>21</v>
      </c>
      <c r="L3" s="84">
        <f t="shared" ref="L3" si="2">J3+15</f>
        <v>45627</v>
      </c>
      <c r="M3" s="81">
        <f t="shared" ref="M3" si="3">L3+1</f>
        <v>45628</v>
      </c>
      <c r="N3" s="83" t="s">
        <v>21</v>
      </c>
      <c r="O3" s="82">
        <f t="shared" ref="O3" si="4">M3+15</f>
        <v>45643</v>
      </c>
      <c r="P3" s="82">
        <f t="shared" ref="P3" si="5">O3+1</f>
        <v>45644</v>
      </c>
      <c r="Q3" s="83" t="s">
        <v>21</v>
      </c>
      <c r="R3" s="82">
        <f>P3+14</f>
        <v>45658</v>
      </c>
      <c r="S3" s="82">
        <f t="shared" ref="S3" si="6">R3+1</f>
        <v>45659</v>
      </c>
      <c r="T3" s="83" t="s">
        <v>21</v>
      </c>
      <c r="U3" s="84">
        <f t="shared" ref="U3" si="7">S3+15</f>
        <v>45674</v>
      </c>
      <c r="V3" s="81">
        <f t="shared" ref="V3" si="8">U3+1</f>
        <v>45675</v>
      </c>
      <c r="W3" s="83" t="s">
        <v>21</v>
      </c>
      <c r="X3" s="82">
        <f>V3+13</f>
        <v>45688</v>
      </c>
      <c r="Y3" s="82">
        <f t="shared" ref="Y3" si="9">X3+1</f>
        <v>45689</v>
      </c>
      <c r="Z3" s="83" t="s">
        <v>21</v>
      </c>
      <c r="AA3" s="82">
        <f t="shared" ref="AA3" si="10">Y3+15</f>
        <v>45704</v>
      </c>
      <c r="AB3" s="82">
        <f t="shared" ref="AB3" si="11">AA3+1</f>
        <v>45705</v>
      </c>
      <c r="AC3" s="83" t="s">
        <v>21</v>
      </c>
      <c r="AD3" s="231">
        <f>AB3+8</f>
        <v>45713</v>
      </c>
      <c r="AE3" s="168" t="s">
        <v>136</v>
      </c>
      <c r="AF3" s="169" t="s">
        <v>137</v>
      </c>
      <c r="AG3" s="159" t="s">
        <v>138</v>
      </c>
    </row>
    <row r="4" spans="1:33" s="65" customFormat="1" ht="14.95" customHeight="1" x14ac:dyDescent="0.25">
      <c r="A4" s="194">
        <v>1</v>
      </c>
      <c r="B4" s="188" t="s">
        <v>181</v>
      </c>
      <c r="C4" s="229" t="s">
        <v>190</v>
      </c>
      <c r="D4" s="100"/>
      <c r="E4" s="100"/>
      <c r="F4" s="100"/>
      <c r="G4" s="144"/>
      <c r="H4" s="144"/>
      <c r="I4" s="144"/>
      <c r="J4" s="100"/>
      <c r="K4" s="100"/>
      <c r="L4" s="100"/>
      <c r="M4" s="100"/>
      <c r="N4" s="100"/>
      <c r="O4" s="100"/>
      <c r="P4" s="100"/>
      <c r="Q4" s="100"/>
      <c r="R4" s="88"/>
      <c r="S4" s="88"/>
      <c r="T4" s="88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230">
        <v>45597</v>
      </c>
      <c r="AF4" s="156">
        <v>45611</v>
      </c>
      <c r="AG4" s="160">
        <f t="shared" ref="AG4:AG74" si="12">AF4-AE4</f>
        <v>14</v>
      </c>
    </row>
    <row r="5" spans="1:33" s="65" customFormat="1" ht="14.95" customHeight="1" x14ac:dyDescent="0.25">
      <c r="A5" s="194"/>
      <c r="B5" s="188"/>
      <c r="C5" s="229" t="s">
        <v>189</v>
      </c>
      <c r="D5" s="88"/>
      <c r="E5" s="88"/>
      <c r="F5" s="88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44"/>
      <c r="S5" s="144"/>
      <c r="T5" s="144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230">
        <v>45658</v>
      </c>
      <c r="AF5" s="156">
        <v>45672</v>
      </c>
      <c r="AG5" s="160">
        <f>AF5-AE5</f>
        <v>14</v>
      </c>
    </row>
    <row r="6" spans="1:33" s="65" customFormat="1" ht="14.95" customHeight="1" x14ac:dyDescent="0.25">
      <c r="A6" s="195"/>
      <c r="B6" s="187"/>
      <c r="C6" s="229" t="s">
        <v>29</v>
      </c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44"/>
      <c r="S6" s="144"/>
      <c r="T6" s="144"/>
      <c r="U6" s="144"/>
      <c r="V6" s="144"/>
      <c r="W6" s="144"/>
      <c r="X6" s="144"/>
      <c r="Y6" s="100"/>
      <c r="Z6" s="100"/>
      <c r="AA6" s="100"/>
      <c r="AB6" s="100"/>
      <c r="AC6" s="100"/>
      <c r="AD6" s="100"/>
      <c r="AE6" s="230">
        <v>45658</v>
      </c>
      <c r="AF6" s="156">
        <v>45688</v>
      </c>
      <c r="AG6" s="160">
        <f t="shared" si="12"/>
        <v>30</v>
      </c>
    </row>
    <row r="7" spans="1:33" s="65" customFormat="1" ht="14.95" customHeight="1" x14ac:dyDescent="0.25">
      <c r="A7" s="193">
        <v>2</v>
      </c>
      <c r="B7" s="186" t="s">
        <v>27</v>
      </c>
      <c r="C7" s="22" t="s">
        <v>51</v>
      </c>
      <c r="D7" s="157"/>
      <c r="E7" s="158"/>
      <c r="F7" s="144"/>
      <c r="G7" s="157"/>
      <c r="H7" s="158"/>
      <c r="I7" s="144"/>
      <c r="J7" s="157"/>
      <c r="K7" s="158"/>
      <c r="L7" s="100"/>
      <c r="M7" s="100"/>
      <c r="N7" s="100"/>
      <c r="O7" s="100"/>
      <c r="P7" s="100"/>
      <c r="Q7" s="100"/>
      <c r="R7" s="100"/>
      <c r="S7" s="100"/>
      <c r="T7" s="100"/>
      <c r="U7" s="107"/>
      <c r="V7" s="123"/>
      <c r="W7" s="100"/>
      <c r="X7" s="100"/>
      <c r="Y7" s="100"/>
      <c r="Z7" s="100"/>
      <c r="AA7" s="100"/>
      <c r="AB7" s="100"/>
      <c r="AC7" s="100"/>
      <c r="AD7" s="143"/>
      <c r="AE7" s="155">
        <v>45580</v>
      </c>
      <c r="AF7" s="156">
        <v>45626</v>
      </c>
      <c r="AG7" s="160">
        <f t="shared" si="12"/>
        <v>46</v>
      </c>
    </row>
    <row r="8" spans="1:33" s="65" customFormat="1" ht="14.95" customHeight="1" x14ac:dyDescent="0.25">
      <c r="A8" s="195"/>
      <c r="B8" s="187"/>
      <c r="C8" s="22" t="s">
        <v>43</v>
      </c>
      <c r="D8" s="100"/>
      <c r="E8" s="100"/>
      <c r="F8" s="100"/>
      <c r="G8" s="100"/>
      <c r="H8" s="100"/>
      <c r="I8" s="100"/>
      <c r="J8" s="100"/>
      <c r="K8" s="100"/>
      <c r="L8" s="107"/>
      <c r="M8" s="102"/>
      <c r="N8" s="100"/>
      <c r="O8" s="100"/>
      <c r="P8" s="100"/>
      <c r="Q8" s="100"/>
      <c r="R8" s="100"/>
      <c r="S8" s="100"/>
      <c r="T8" s="144"/>
      <c r="U8" s="157"/>
      <c r="V8" s="164"/>
      <c r="W8" s="144"/>
      <c r="X8" s="100"/>
      <c r="Y8" s="100"/>
      <c r="Z8" s="100"/>
      <c r="AA8" s="100"/>
      <c r="AB8" s="100"/>
      <c r="AC8" s="100"/>
      <c r="AD8" s="143"/>
      <c r="AE8" s="155">
        <v>45627</v>
      </c>
      <c r="AF8" s="156">
        <v>45657</v>
      </c>
      <c r="AG8" s="160">
        <f t="shared" si="12"/>
        <v>30</v>
      </c>
    </row>
    <row r="9" spans="1:33" s="65" customFormat="1" ht="14.95" customHeight="1" x14ac:dyDescent="0.25">
      <c r="A9" s="193">
        <v>3</v>
      </c>
      <c r="B9" s="186" t="s">
        <v>186</v>
      </c>
      <c r="C9" s="22" t="s">
        <v>51</v>
      </c>
      <c r="D9" s="144"/>
      <c r="E9" s="144"/>
      <c r="F9" s="144"/>
      <c r="G9" s="144"/>
      <c r="H9" s="144"/>
      <c r="I9" s="144"/>
      <c r="J9" s="144"/>
      <c r="K9" s="144"/>
      <c r="L9" s="107"/>
      <c r="M9" s="102"/>
      <c r="N9" s="100"/>
      <c r="O9" s="100"/>
      <c r="P9" s="100"/>
      <c r="Q9" s="100"/>
      <c r="R9" s="100"/>
      <c r="S9" s="100"/>
      <c r="T9" s="100"/>
      <c r="U9" s="107"/>
      <c r="V9" s="123"/>
      <c r="W9" s="100"/>
      <c r="X9" s="100"/>
      <c r="Y9" s="100"/>
      <c r="Z9" s="100"/>
      <c r="AA9" s="100"/>
      <c r="AB9" s="100"/>
      <c r="AC9" s="100"/>
      <c r="AD9" s="143"/>
      <c r="AE9" s="155">
        <v>45580</v>
      </c>
      <c r="AF9" s="156">
        <v>45626</v>
      </c>
      <c r="AG9" s="160">
        <f t="shared" si="12"/>
        <v>46</v>
      </c>
    </row>
    <row r="10" spans="1:33" s="65" customFormat="1" ht="14.95" customHeight="1" x14ac:dyDescent="0.25">
      <c r="A10" s="195"/>
      <c r="B10" s="187"/>
      <c r="C10" s="22" t="s">
        <v>43</v>
      </c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44"/>
      <c r="P10" s="144"/>
      <c r="Q10" s="144"/>
      <c r="R10" s="100"/>
      <c r="S10" s="100"/>
      <c r="T10" s="100"/>
      <c r="U10" s="107"/>
      <c r="V10" s="123"/>
      <c r="W10" s="100"/>
      <c r="X10" s="100"/>
      <c r="Y10" s="100"/>
      <c r="Z10" s="100"/>
      <c r="AA10" s="100"/>
      <c r="AB10" s="100"/>
      <c r="AC10" s="100"/>
      <c r="AD10" s="143"/>
      <c r="AE10" s="155">
        <v>45641</v>
      </c>
      <c r="AF10" s="156">
        <v>45657</v>
      </c>
      <c r="AG10" s="160">
        <f t="shared" si="12"/>
        <v>16</v>
      </c>
    </row>
    <row r="11" spans="1:33" s="65" customFormat="1" ht="14.95" customHeight="1" x14ac:dyDescent="0.25">
      <c r="A11" s="186">
        <v>4</v>
      </c>
      <c r="B11" s="186" t="s">
        <v>185</v>
      </c>
      <c r="C11" s="22" t="s">
        <v>51</v>
      </c>
      <c r="D11" s="144"/>
      <c r="E11" s="144"/>
      <c r="F11" s="144"/>
      <c r="G11" s="144"/>
      <c r="H11" s="144"/>
      <c r="I11" s="144"/>
      <c r="J11" s="144"/>
      <c r="K11" s="144"/>
      <c r="L11" s="107"/>
      <c r="M11" s="102"/>
      <c r="N11" s="100"/>
      <c r="O11" s="100"/>
      <c r="P11" s="100"/>
      <c r="Q11" s="100"/>
      <c r="R11" s="100"/>
      <c r="S11" s="100"/>
      <c r="T11" s="100"/>
      <c r="U11" s="107"/>
      <c r="V11" s="123"/>
      <c r="W11" s="100"/>
      <c r="X11" s="100"/>
      <c r="Y11" s="100"/>
      <c r="Z11" s="100"/>
      <c r="AA11" s="100"/>
      <c r="AB11" s="100"/>
      <c r="AC11" s="100"/>
      <c r="AD11" s="143"/>
      <c r="AE11" s="155">
        <v>45580</v>
      </c>
      <c r="AF11" s="156">
        <v>45626</v>
      </c>
      <c r="AG11" s="160">
        <f>AF11-AE11</f>
        <v>46</v>
      </c>
    </row>
    <row r="12" spans="1:33" s="65" customFormat="1" ht="14.95" customHeight="1" x14ac:dyDescent="0.25">
      <c r="A12" s="187"/>
      <c r="B12" s="187"/>
      <c r="C12" s="22" t="s">
        <v>43</v>
      </c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57"/>
      <c r="P12" s="158"/>
      <c r="Q12" s="144"/>
      <c r="R12" s="100"/>
      <c r="S12" s="100"/>
      <c r="T12" s="100"/>
      <c r="U12" s="107"/>
      <c r="V12" s="123"/>
      <c r="W12" s="100"/>
      <c r="X12" s="100"/>
      <c r="Y12" s="100"/>
      <c r="Z12" s="100"/>
      <c r="AA12" s="100"/>
      <c r="AB12" s="100"/>
      <c r="AC12" s="100"/>
      <c r="AD12" s="143"/>
      <c r="AE12" s="155">
        <v>45641</v>
      </c>
      <c r="AF12" s="156">
        <v>45657</v>
      </c>
      <c r="AG12" s="160">
        <f t="shared" si="12"/>
        <v>16</v>
      </c>
    </row>
    <row r="13" spans="1:33" s="65" customFormat="1" ht="14.95" customHeight="1" x14ac:dyDescent="0.25">
      <c r="A13" s="193">
        <v>5</v>
      </c>
      <c r="B13" s="186" t="s">
        <v>26</v>
      </c>
      <c r="C13" s="22" t="s">
        <v>183</v>
      </c>
      <c r="D13" s="100"/>
      <c r="E13" s="100"/>
      <c r="F13" s="100"/>
      <c r="G13" s="100"/>
      <c r="H13" s="100"/>
      <c r="I13" s="100"/>
      <c r="J13" s="100"/>
      <c r="K13" s="100"/>
      <c r="L13" s="157"/>
      <c r="M13" s="158"/>
      <c r="N13" s="144"/>
      <c r="O13" s="144"/>
      <c r="P13" s="144"/>
      <c r="Q13" s="144"/>
      <c r="R13" s="144"/>
      <c r="S13" s="144"/>
      <c r="T13" s="144"/>
      <c r="U13" s="144"/>
      <c r="V13" s="123"/>
      <c r="W13" s="100"/>
      <c r="X13" s="100"/>
      <c r="Y13" s="100"/>
      <c r="Z13" s="100"/>
      <c r="AA13" s="100"/>
      <c r="AB13" s="100"/>
      <c r="AC13" s="100"/>
      <c r="AD13" s="143"/>
      <c r="AE13" s="155">
        <v>45627</v>
      </c>
      <c r="AF13" s="156">
        <v>45672</v>
      </c>
      <c r="AG13" s="160">
        <f t="shared" si="12"/>
        <v>45</v>
      </c>
    </row>
    <row r="14" spans="1:33" s="65" customFormat="1" ht="14.95" customHeight="1" x14ac:dyDescent="0.25">
      <c r="A14" s="195"/>
      <c r="B14" s="187"/>
      <c r="C14" s="22" t="s">
        <v>184</v>
      </c>
      <c r="D14" s="100"/>
      <c r="E14" s="100"/>
      <c r="F14" s="100"/>
      <c r="G14" s="100"/>
      <c r="H14" s="100"/>
      <c r="I14" s="100"/>
      <c r="J14" s="100"/>
      <c r="K14" s="100"/>
      <c r="L14" s="107"/>
      <c r="M14" s="102"/>
      <c r="N14" s="100"/>
      <c r="O14" s="100"/>
      <c r="P14" s="100"/>
      <c r="Q14" s="100"/>
      <c r="R14" s="100"/>
      <c r="S14" s="100"/>
      <c r="T14" s="100"/>
      <c r="U14" s="144"/>
      <c r="V14" s="144"/>
      <c r="W14" s="144"/>
      <c r="X14" s="144"/>
      <c r="Y14" s="100"/>
      <c r="Z14" s="100"/>
      <c r="AA14" s="100"/>
      <c r="AB14" s="100"/>
      <c r="AC14" s="100"/>
      <c r="AD14" s="143"/>
      <c r="AE14" s="156">
        <v>45672</v>
      </c>
      <c r="AF14" s="156">
        <v>45688</v>
      </c>
      <c r="AG14" s="160">
        <f t="shared" si="12"/>
        <v>16</v>
      </c>
    </row>
    <row r="15" spans="1:33" s="65" customFormat="1" ht="14.95" customHeight="1" x14ac:dyDescent="0.25">
      <c r="A15" s="193">
        <v>6</v>
      </c>
      <c r="B15" s="186" t="s">
        <v>25</v>
      </c>
      <c r="C15" s="22" t="s">
        <v>177</v>
      </c>
      <c r="D15" s="144"/>
      <c r="E15" s="144"/>
      <c r="F15" s="144"/>
      <c r="G15" s="100"/>
      <c r="H15" s="100"/>
      <c r="I15" s="100"/>
      <c r="J15" s="100"/>
      <c r="K15" s="100"/>
      <c r="L15" s="107"/>
      <c r="M15" s="102"/>
      <c r="N15" s="100"/>
      <c r="O15" s="100"/>
      <c r="P15" s="100"/>
      <c r="Q15" s="100"/>
      <c r="R15" s="100"/>
      <c r="S15" s="100"/>
      <c r="T15" s="100"/>
      <c r="U15" s="107"/>
      <c r="V15" s="123"/>
      <c r="W15" s="100"/>
      <c r="X15" s="100"/>
      <c r="Y15" s="100"/>
      <c r="Z15" s="100"/>
      <c r="AA15" s="100"/>
      <c r="AB15" s="100"/>
      <c r="AC15" s="100"/>
      <c r="AD15" s="143"/>
      <c r="AE15" s="155">
        <v>45580</v>
      </c>
      <c r="AF15" s="156">
        <v>45595</v>
      </c>
      <c r="AG15" s="160">
        <f t="shared" si="12"/>
        <v>15</v>
      </c>
    </row>
    <row r="16" spans="1:33" s="65" customFormat="1" ht="14.95" customHeight="1" x14ac:dyDescent="0.25">
      <c r="A16" s="194"/>
      <c r="B16" s="188"/>
      <c r="C16" s="22" t="s">
        <v>178</v>
      </c>
      <c r="D16" s="100"/>
      <c r="E16" s="100"/>
      <c r="F16" s="100"/>
      <c r="G16" s="170"/>
      <c r="H16" s="157"/>
      <c r="I16" s="158"/>
      <c r="J16" s="144"/>
      <c r="K16" s="100"/>
      <c r="L16" s="100"/>
      <c r="M16" s="102"/>
      <c r="N16" s="100"/>
      <c r="O16" s="100"/>
      <c r="P16" s="100"/>
      <c r="Q16" s="100"/>
      <c r="R16" s="100"/>
      <c r="S16" s="100"/>
      <c r="T16" s="100"/>
      <c r="U16" s="107"/>
      <c r="V16" s="123"/>
      <c r="W16" s="100"/>
      <c r="X16" s="100"/>
      <c r="Y16" s="100"/>
      <c r="Z16" s="100"/>
      <c r="AA16" s="100"/>
      <c r="AB16" s="100"/>
      <c r="AC16" s="100"/>
      <c r="AD16" s="143"/>
      <c r="AE16" s="155">
        <v>45595</v>
      </c>
      <c r="AF16" s="156">
        <v>45611</v>
      </c>
      <c r="AG16" s="160">
        <f t="shared" si="12"/>
        <v>16</v>
      </c>
    </row>
    <row r="17" spans="1:33" s="65" customFormat="1" ht="14.95" customHeight="1" x14ac:dyDescent="0.25">
      <c r="A17" s="194"/>
      <c r="B17" s="188"/>
      <c r="C17" s="22" t="s">
        <v>179</v>
      </c>
      <c r="D17" s="100"/>
      <c r="E17" s="100"/>
      <c r="F17" s="100"/>
      <c r="G17" s="100"/>
      <c r="H17" s="100"/>
      <c r="I17" s="100"/>
      <c r="J17" s="144"/>
      <c r="K17" s="144"/>
      <c r="L17" s="144"/>
      <c r="M17" s="102"/>
      <c r="N17" s="100"/>
      <c r="O17" s="100"/>
      <c r="P17" s="100"/>
      <c r="Q17" s="100"/>
      <c r="R17" s="100"/>
      <c r="S17" s="100"/>
      <c r="T17" s="100"/>
      <c r="U17" s="107"/>
      <c r="V17" s="123"/>
      <c r="W17" s="100"/>
      <c r="X17" s="100"/>
      <c r="Y17" s="100"/>
      <c r="Z17" s="100"/>
      <c r="AA17" s="100"/>
      <c r="AB17" s="100"/>
      <c r="AC17" s="100"/>
      <c r="AD17" s="143"/>
      <c r="AE17" s="155">
        <v>45611</v>
      </c>
      <c r="AF17" s="156">
        <v>45627</v>
      </c>
      <c r="AG17" s="160">
        <f t="shared" si="12"/>
        <v>16</v>
      </c>
    </row>
    <row r="18" spans="1:33" s="65" customFormat="1" ht="14.95" customHeight="1" x14ac:dyDescent="0.25">
      <c r="A18" s="195"/>
      <c r="B18" s="187"/>
      <c r="C18" s="22" t="s">
        <v>180</v>
      </c>
      <c r="D18" s="100"/>
      <c r="E18" s="100"/>
      <c r="F18" s="100"/>
      <c r="G18" s="100"/>
      <c r="H18" s="100"/>
      <c r="I18" s="100"/>
      <c r="J18" s="100"/>
      <c r="K18" s="100"/>
      <c r="L18" s="107"/>
      <c r="M18" s="102"/>
      <c r="N18" s="100"/>
      <c r="O18" s="100"/>
      <c r="P18" s="100"/>
      <c r="Q18" s="100"/>
      <c r="R18" s="100"/>
      <c r="S18" s="100"/>
      <c r="T18" s="100"/>
      <c r="U18" s="107"/>
      <c r="V18" s="123"/>
      <c r="W18" s="100"/>
      <c r="X18" s="100"/>
      <c r="Y18" s="144"/>
      <c r="Z18" s="144"/>
      <c r="AA18" s="144"/>
      <c r="AB18" s="100"/>
      <c r="AC18" s="100"/>
      <c r="AD18" s="143"/>
      <c r="AE18" s="155">
        <v>45689</v>
      </c>
      <c r="AF18" s="156">
        <v>45703</v>
      </c>
      <c r="AG18" s="160">
        <f t="shared" si="12"/>
        <v>14</v>
      </c>
    </row>
    <row r="19" spans="1:33" s="65" customFormat="1" ht="14.95" customHeight="1" x14ac:dyDescent="0.25">
      <c r="A19" s="193">
        <v>7</v>
      </c>
      <c r="B19" s="186" t="s">
        <v>30</v>
      </c>
      <c r="C19" s="22" t="s">
        <v>51</v>
      </c>
      <c r="D19" s="100"/>
      <c r="E19" s="100"/>
      <c r="F19" s="100"/>
      <c r="G19" s="100"/>
      <c r="H19" s="100"/>
      <c r="I19" s="100"/>
      <c r="J19" s="100"/>
      <c r="K19" s="100"/>
      <c r="L19" s="107"/>
      <c r="M19" s="102"/>
      <c r="N19" s="100"/>
      <c r="O19" s="100"/>
      <c r="P19" s="100"/>
      <c r="Q19" s="100"/>
      <c r="R19" s="144"/>
      <c r="S19" s="144"/>
      <c r="T19" s="144"/>
      <c r="U19" s="157"/>
      <c r="V19" s="123"/>
      <c r="W19" s="100"/>
      <c r="X19" s="100"/>
      <c r="Y19" s="100"/>
      <c r="Z19" s="100"/>
      <c r="AA19" s="100"/>
      <c r="AB19" s="100"/>
      <c r="AC19" s="100"/>
      <c r="AD19" s="143"/>
      <c r="AE19" s="155">
        <v>45658</v>
      </c>
      <c r="AF19" s="156">
        <v>45672</v>
      </c>
      <c r="AG19" s="160">
        <f t="shared" si="12"/>
        <v>14</v>
      </c>
    </row>
    <row r="20" spans="1:33" s="65" customFormat="1" ht="14.95" customHeight="1" x14ac:dyDescent="0.25">
      <c r="A20" s="194"/>
      <c r="B20" s="188"/>
      <c r="C20" s="22" t="s">
        <v>31</v>
      </c>
      <c r="D20" s="100"/>
      <c r="E20" s="100"/>
      <c r="F20" s="100"/>
      <c r="G20" s="100"/>
      <c r="H20" s="100"/>
      <c r="I20" s="100"/>
      <c r="J20" s="100"/>
      <c r="K20" s="100"/>
      <c r="L20" s="107"/>
      <c r="M20" s="102"/>
      <c r="N20" s="100"/>
      <c r="O20" s="100"/>
      <c r="P20" s="100"/>
      <c r="Q20" s="100"/>
      <c r="R20" s="144"/>
      <c r="S20" s="144"/>
      <c r="T20" s="144"/>
      <c r="U20" s="144"/>
      <c r="V20" s="123"/>
      <c r="W20" s="100"/>
      <c r="X20" s="100"/>
      <c r="Y20" s="100"/>
      <c r="Z20" s="100"/>
      <c r="AA20" s="100"/>
      <c r="AB20" s="100"/>
      <c r="AC20" s="100"/>
      <c r="AD20" s="143"/>
      <c r="AE20" s="155">
        <v>45658</v>
      </c>
      <c r="AF20" s="156">
        <v>45672</v>
      </c>
      <c r="AG20" s="160">
        <f t="shared" si="12"/>
        <v>14</v>
      </c>
    </row>
    <row r="21" spans="1:33" s="65" customFormat="1" ht="14.95" customHeight="1" x14ac:dyDescent="0.25">
      <c r="A21" s="195"/>
      <c r="B21" s="187"/>
      <c r="C21" s="22" t="s">
        <v>32</v>
      </c>
      <c r="D21" s="100"/>
      <c r="E21" s="100"/>
      <c r="F21" s="100"/>
      <c r="G21" s="100"/>
      <c r="H21" s="100"/>
      <c r="I21" s="100"/>
      <c r="J21" s="100"/>
      <c r="K21" s="100"/>
      <c r="L21" s="107"/>
      <c r="M21" s="102"/>
      <c r="N21" s="100"/>
      <c r="O21" s="100"/>
      <c r="P21" s="100"/>
      <c r="Q21" s="100"/>
      <c r="R21" s="144"/>
      <c r="S21" s="144"/>
      <c r="T21" s="144"/>
      <c r="U21" s="144"/>
      <c r="V21" s="123"/>
      <c r="W21" s="100"/>
      <c r="X21" s="100"/>
      <c r="Y21" s="100"/>
      <c r="Z21" s="100"/>
      <c r="AA21" s="100"/>
      <c r="AB21" s="100"/>
      <c r="AC21" s="100"/>
      <c r="AD21" s="143"/>
      <c r="AE21" s="155">
        <v>45658</v>
      </c>
      <c r="AF21" s="156">
        <v>45672</v>
      </c>
      <c r="AG21" s="160">
        <f t="shared" si="12"/>
        <v>14</v>
      </c>
    </row>
    <row r="22" spans="1:33" s="65" customFormat="1" ht="14.95" customHeight="1" x14ac:dyDescent="0.25">
      <c r="A22" s="212">
        <v>8</v>
      </c>
      <c r="B22" s="213" t="s">
        <v>33</v>
      </c>
      <c r="C22" s="214" t="s">
        <v>34</v>
      </c>
      <c r="D22" s="100"/>
      <c r="E22" s="100"/>
      <c r="F22" s="100"/>
      <c r="G22" s="100"/>
      <c r="H22" s="100"/>
      <c r="I22" s="100"/>
      <c r="J22" s="100"/>
      <c r="K22" s="100"/>
      <c r="L22" s="107"/>
      <c r="M22" s="102"/>
      <c r="N22" s="100"/>
      <c r="O22" s="100"/>
      <c r="P22" s="100"/>
      <c r="Q22" s="100"/>
      <c r="R22" s="100"/>
      <c r="S22" s="100"/>
      <c r="T22" s="144"/>
      <c r="U22" s="157"/>
      <c r="V22" s="164"/>
      <c r="W22" s="144"/>
      <c r="X22" s="97"/>
      <c r="Y22" s="97"/>
      <c r="Z22" s="100"/>
      <c r="AA22" s="100"/>
      <c r="AB22" s="100"/>
      <c r="AC22" s="100"/>
      <c r="AD22" s="143"/>
      <c r="AE22" s="215">
        <v>45580</v>
      </c>
      <c r="AF22" s="216">
        <v>45611</v>
      </c>
      <c r="AG22" s="217">
        <f t="shared" si="12"/>
        <v>31</v>
      </c>
    </row>
    <row r="23" spans="1:33" s="65" customFormat="1" ht="14.95" customHeight="1" x14ac:dyDescent="0.25">
      <c r="A23" s="218"/>
      <c r="B23" s="219"/>
      <c r="C23" s="214" t="s">
        <v>35</v>
      </c>
      <c r="D23" s="100"/>
      <c r="E23" s="100"/>
      <c r="F23" s="100"/>
      <c r="G23" s="100"/>
      <c r="H23" s="100"/>
      <c r="I23" s="100"/>
      <c r="J23" s="100"/>
      <c r="K23" s="100"/>
      <c r="L23" s="107"/>
      <c r="M23" s="102"/>
      <c r="N23" s="100"/>
      <c r="O23" s="100"/>
      <c r="P23" s="100"/>
      <c r="Q23" s="100"/>
      <c r="R23" s="100"/>
      <c r="S23" s="100"/>
      <c r="T23" s="144"/>
      <c r="U23" s="157"/>
      <c r="V23" s="164"/>
      <c r="W23" s="144"/>
      <c r="X23" s="100"/>
      <c r="Y23" s="100"/>
      <c r="Z23" s="100"/>
      <c r="AA23" s="100"/>
      <c r="AB23" s="100"/>
      <c r="AC23" s="100"/>
      <c r="AD23" s="143"/>
      <c r="AE23" s="215">
        <v>45611</v>
      </c>
      <c r="AF23" s="216">
        <v>45626</v>
      </c>
      <c r="AG23" s="217">
        <f t="shared" si="12"/>
        <v>15</v>
      </c>
    </row>
    <row r="24" spans="1:33" s="65" customFormat="1" ht="14.95" customHeight="1" x14ac:dyDescent="0.25">
      <c r="A24" s="218"/>
      <c r="B24" s="219"/>
      <c r="C24" s="214" t="s">
        <v>36</v>
      </c>
      <c r="D24" s="144"/>
      <c r="E24" s="144"/>
      <c r="F24" s="144"/>
      <c r="G24" s="144"/>
      <c r="H24" s="144"/>
      <c r="I24" s="144"/>
      <c r="J24" s="100"/>
      <c r="K24" s="100"/>
      <c r="L24" s="107"/>
      <c r="M24" s="102"/>
      <c r="N24" s="100"/>
      <c r="O24" s="100"/>
      <c r="P24" s="100"/>
      <c r="Q24" s="100"/>
      <c r="R24" s="100"/>
      <c r="S24" s="100"/>
      <c r="T24" s="100"/>
      <c r="U24" s="107"/>
      <c r="V24" s="123"/>
      <c r="W24" s="100"/>
      <c r="X24" s="100"/>
      <c r="Y24" s="100"/>
      <c r="Z24" s="100"/>
      <c r="AA24" s="100"/>
      <c r="AB24" s="100"/>
      <c r="AC24" s="100"/>
      <c r="AD24" s="143"/>
      <c r="AE24" s="215">
        <v>45626</v>
      </c>
      <c r="AF24" s="216">
        <v>45641</v>
      </c>
      <c r="AG24" s="217">
        <f t="shared" si="12"/>
        <v>15</v>
      </c>
    </row>
    <row r="25" spans="1:33" s="65" customFormat="1" ht="14.95" customHeight="1" x14ac:dyDescent="0.25">
      <c r="A25" s="218"/>
      <c r="B25" s="219"/>
      <c r="C25" s="214" t="s">
        <v>37</v>
      </c>
      <c r="D25" s="100"/>
      <c r="E25" s="100"/>
      <c r="F25" s="100"/>
      <c r="G25" s="100"/>
      <c r="H25" s="100"/>
      <c r="I25" s="144"/>
      <c r="J25" s="144"/>
      <c r="K25" s="144"/>
      <c r="L25" s="107"/>
      <c r="M25" s="102"/>
      <c r="N25" s="100"/>
      <c r="O25" s="100"/>
      <c r="P25" s="100"/>
      <c r="Q25" s="100"/>
      <c r="R25" s="100"/>
      <c r="S25" s="100"/>
      <c r="T25" s="100"/>
      <c r="U25" s="107"/>
      <c r="V25" s="123"/>
      <c r="W25" s="100"/>
      <c r="X25" s="100"/>
      <c r="Y25" s="100"/>
      <c r="Z25" s="100"/>
      <c r="AA25" s="100"/>
      <c r="AB25" s="100"/>
      <c r="AC25" s="100"/>
      <c r="AD25" s="143"/>
      <c r="AE25" s="215">
        <v>45580</v>
      </c>
      <c r="AF25" s="216">
        <v>45611</v>
      </c>
      <c r="AG25" s="217">
        <f t="shared" si="12"/>
        <v>31</v>
      </c>
    </row>
    <row r="26" spans="1:33" s="65" customFormat="1" ht="14.95" customHeight="1" x14ac:dyDescent="0.25">
      <c r="A26" s="218"/>
      <c r="B26" s="219"/>
      <c r="C26" s="214" t="s">
        <v>38</v>
      </c>
      <c r="D26" s="100"/>
      <c r="E26" s="100"/>
      <c r="F26" s="100"/>
      <c r="G26" s="100"/>
      <c r="H26" s="100"/>
      <c r="I26" s="100"/>
      <c r="J26" s="100"/>
      <c r="K26" s="144"/>
      <c r="L26" s="157"/>
      <c r="M26" s="158"/>
      <c r="N26" s="144"/>
      <c r="O26" s="100"/>
      <c r="P26" s="100"/>
      <c r="Q26" s="100"/>
      <c r="R26" s="100"/>
      <c r="S26" s="100"/>
      <c r="T26" s="100"/>
      <c r="U26" s="107"/>
      <c r="V26" s="123"/>
      <c r="W26" s="100"/>
      <c r="X26" s="100"/>
      <c r="Y26" s="100"/>
      <c r="Z26" s="100"/>
      <c r="AA26" s="100"/>
      <c r="AB26" s="100"/>
      <c r="AC26" s="100"/>
      <c r="AD26" s="143"/>
      <c r="AE26" s="215">
        <v>45641</v>
      </c>
      <c r="AF26" s="216">
        <v>45672</v>
      </c>
      <c r="AG26" s="217">
        <f t="shared" si="12"/>
        <v>31</v>
      </c>
    </row>
    <row r="27" spans="1:33" s="65" customFormat="1" ht="14.95" customHeight="1" x14ac:dyDescent="0.25">
      <c r="A27" s="218"/>
      <c r="B27" s="219"/>
      <c r="C27" s="214" t="s">
        <v>39</v>
      </c>
      <c r="D27" s="144"/>
      <c r="E27" s="144"/>
      <c r="F27" s="144"/>
      <c r="G27" s="144"/>
      <c r="H27" s="144"/>
      <c r="I27" s="144"/>
      <c r="J27" s="144"/>
      <c r="K27" s="144"/>
      <c r="L27" s="157"/>
      <c r="M27" s="158"/>
      <c r="N27" s="144"/>
      <c r="O27" s="100"/>
      <c r="P27" s="100"/>
      <c r="Q27" s="100"/>
      <c r="R27" s="100"/>
      <c r="S27" s="100"/>
      <c r="T27" s="100"/>
      <c r="U27" s="107"/>
      <c r="V27" s="123"/>
      <c r="W27" s="100"/>
      <c r="X27" s="100"/>
      <c r="Y27" s="100"/>
      <c r="Z27" s="100"/>
      <c r="AA27" s="100"/>
      <c r="AB27" s="100"/>
      <c r="AC27" s="100"/>
      <c r="AD27" s="143"/>
      <c r="AE27" s="215">
        <v>45658</v>
      </c>
      <c r="AF27" s="216">
        <v>45687</v>
      </c>
      <c r="AG27" s="217">
        <f t="shared" si="12"/>
        <v>29</v>
      </c>
    </row>
    <row r="28" spans="1:33" s="65" customFormat="1" ht="14.95" customHeight="1" x14ac:dyDescent="0.25">
      <c r="A28" s="220"/>
      <c r="B28" s="221"/>
      <c r="C28" s="214" t="s">
        <v>40</v>
      </c>
      <c r="D28" s="100"/>
      <c r="E28" s="100"/>
      <c r="F28" s="100"/>
      <c r="G28" s="100"/>
      <c r="H28" s="100"/>
      <c r="I28" s="100"/>
      <c r="J28" s="100"/>
      <c r="K28" s="100"/>
      <c r="L28" s="107"/>
      <c r="M28" s="102"/>
      <c r="N28" s="144"/>
      <c r="O28" s="144"/>
      <c r="P28" s="144"/>
      <c r="Q28" s="144"/>
      <c r="R28" s="144"/>
      <c r="S28" s="144"/>
      <c r="T28" s="144"/>
      <c r="U28" s="107"/>
      <c r="V28" s="123"/>
      <c r="W28" s="100"/>
      <c r="X28" s="100"/>
      <c r="Y28" s="100"/>
      <c r="Z28" s="100"/>
      <c r="AA28" s="100"/>
      <c r="AB28" s="100"/>
      <c r="AC28" s="100"/>
      <c r="AD28" s="143"/>
      <c r="AE28" s="215">
        <v>45658</v>
      </c>
      <c r="AF28" s="216">
        <v>45688</v>
      </c>
      <c r="AG28" s="217">
        <f t="shared" si="12"/>
        <v>30</v>
      </c>
    </row>
    <row r="29" spans="1:33" s="65" customFormat="1" ht="14.95" customHeight="1" x14ac:dyDescent="0.25">
      <c r="A29" s="193">
        <v>9</v>
      </c>
      <c r="B29" s="186" t="s">
        <v>41</v>
      </c>
      <c r="C29" s="22" t="s">
        <v>187</v>
      </c>
      <c r="D29" s="100"/>
      <c r="E29" s="100"/>
      <c r="F29" s="100"/>
      <c r="G29" s="100"/>
      <c r="H29" s="100"/>
      <c r="I29" s="100"/>
      <c r="J29" s="100"/>
      <c r="K29" s="100"/>
      <c r="L29" s="107"/>
      <c r="M29" s="102"/>
      <c r="N29" s="100"/>
      <c r="O29" s="100"/>
      <c r="P29" s="100"/>
      <c r="Q29" s="100"/>
      <c r="R29" s="100"/>
      <c r="S29" s="100"/>
      <c r="T29" s="100"/>
      <c r="U29" s="107"/>
      <c r="V29" s="123"/>
      <c r="W29" s="100"/>
      <c r="X29" s="100"/>
      <c r="Y29" s="100"/>
      <c r="Z29" s="144"/>
      <c r="AA29" s="144"/>
      <c r="AB29" s="100"/>
      <c r="AC29" s="100"/>
      <c r="AD29" s="143"/>
      <c r="AE29" s="155">
        <v>45689</v>
      </c>
      <c r="AF29" s="156">
        <v>45703</v>
      </c>
      <c r="AG29" s="160">
        <f t="shared" si="12"/>
        <v>14</v>
      </c>
    </row>
    <row r="30" spans="1:33" s="65" customFormat="1" ht="14.95" customHeight="1" x14ac:dyDescent="0.25">
      <c r="A30" s="194"/>
      <c r="B30" s="188"/>
      <c r="C30" s="22" t="s">
        <v>42</v>
      </c>
      <c r="D30" s="100"/>
      <c r="E30" s="100"/>
      <c r="F30" s="100"/>
      <c r="G30" s="100"/>
      <c r="H30" s="100"/>
      <c r="I30" s="100"/>
      <c r="J30" s="100"/>
      <c r="K30" s="100"/>
      <c r="L30" s="107"/>
      <c r="M30" s="102"/>
      <c r="N30" s="100"/>
      <c r="O30" s="100"/>
      <c r="P30" s="100"/>
      <c r="Q30" s="100"/>
      <c r="R30" s="100"/>
      <c r="S30" s="100"/>
      <c r="T30" s="100"/>
      <c r="U30" s="107"/>
      <c r="V30" s="123"/>
      <c r="W30" s="100"/>
      <c r="X30" s="100"/>
      <c r="Y30" s="100"/>
      <c r="Z30" s="144"/>
      <c r="AA30" s="144"/>
      <c r="AB30" s="100"/>
      <c r="AC30" s="100"/>
      <c r="AD30" s="143"/>
      <c r="AE30" s="155">
        <v>45689</v>
      </c>
      <c r="AF30" s="156">
        <v>45703</v>
      </c>
      <c r="AG30" s="160">
        <f t="shared" si="12"/>
        <v>14</v>
      </c>
    </row>
    <row r="31" spans="1:33" s="65" customFormat="1" ht="14.95" customHeight="1" x14ac:dyDescent="0.25">
      <c r="A31" s="195"/>
      <c r="B31" s="187"/>
      <c r="C31" s="22" t="s">
        <v>43</v>
      </c>
      <c r="D31" s="100"/>
      <c r="E31" s="100"/>
      <c r="F31" s="100"/>
      <c r="G31" s="100"/>
      <c r="H31" s="100"/>
      <c r="I31" s="100"/>
      <c r="J31" s="100"/>
      <c r="K31" s="100"/>
      <c r="L31" s="107"/>
      <c r="M31" s="102"/>
      <c r="N31" s="100"/>
      <c r="O31" s="100"/>
      <c r="P31" s="100"/>
      <c r="Q31" s="100"/>
      <c r="R31" s="100"/>
      <c r="S31" s="100"/>
      <c r="T31" s="100"/>
      <c r="U31" s="107"/>
      <c r="V31" s="123"/>
      <c r="X31" s="100"/>
      <c r="Y31" s="100"/>
      <c r="Z31" s="144"/>
      <c r="AA31" s="144"/>
      <c r="AB31" s="100"/>
      <c r="AC31" s="100"/>
      <c r="AD31" s="143"/>
      <c r="AE31" s="155">
        <v>45689</v>
      </c>
      <c r="AF31" s="156">
        <v>45703</v>
      </c>
      <c r="AG31" s="160">
        <f t="shared" si="12"/>
        <v>14</v>
      </c>
    </row>
    <row r="32" spans="1:33" s="65" customFormat="1" ht="14.95" customHeight="1" x14ac:dyDescent="0.25">
      <c r="A32" s="212">
        <v>10</v>
      </c>
      <c r="B32" s="213" t="s">
        <v>44</v>
      </c>
      <c r="C32" s="214" t="s">
        <v>45</v>
      </c>
      <c r="D32" s="100"/>
      <c r="E32" s="100"/>
      <c r="F32" s="100"/>
      <c r="G32" s="100"/>
      <c r="H32" s="100"/>
      <c r="I32" s="100"/>
      <c r="J32" s="100"/>
      <c r="K32" s="100"/>
      <c r="L32" s="107"/>
      <c r="M32" s="102"/>
      <c r="N32" s="100"/>
      <c r="O32" s="100"/>
      <c r="P32" s="100"/>
      <c r="Q32" s="144"/>
      <c r="R32" s="144"/>
      <c r="S32" s="144"/>
      <c r="T32" s="144"/>
      <c r="U32" s="157"/>
      <c r="V32" s="164"/>
      <c r="W32" s="144"/>
      <c r="X32" s="100"/>
      <c r="Y32" s="100"/>
      <c r="Z32" s="100"/>
      <c r="AA32" s="100"/>
      <c r="AB32" s="100"/>
      <c r="AC32" s="100"/>
      <c r="AD32" s="143"/>
      <c r="AE32" s="215">
        <v>45580</v>
      </c>
      <c r="AF32" s="216">
        <v>45641</v>
      </c>
      <c r="AG32" s="217">
        <f t="shared" si="12"/>
        <v>61</v>
      </c>
    </row>
    <row r="33" spans="1:33" s="65" customFormat="1" ht="14.95" customHeight="1" x14ac:dyDescent="0.25">
      <c r="A33" s="218"/>
      <c r="B33" s="219"/>
      <c r="C33" s="214" t="s">
        <v>46</v>
      </c>
      <c r="D33" s="100"/>
      <c r="E33" s="100"/>
      <c r="F33" s="100"/>
      <c r="G33" s="100"/>
      <c r="H33" s="100"/>
      <c r="I33" s="100"/>
      <c r="J33" s="100"/>
      <c r="K33" s="100"/>
      <c r="L33" s="107"/>
      <c r="M33" s="102"/>
      <c r="N33" s="100"/>
      <c r="O33" s="100"/>
      <c r="P33" s="100"/>
      <c r="Q33" s="100"/>
      <c r="R33" s="100"/>
      <c r="S33" s="100"/>
      <c r="T33" s="100"/>
      <c r="U33" s="107"/>
      <c r="V33" s="123"/>
      <c r="W33" s="144"/>
      <c r="X33" s="144"/>
      <c r="Y33" s="144"/>
      <c r="Z33" s="144"/>
      <c r="AA33" s="100"/>
      <c r="AB33" s="100"/>
      <c r="AC33" s="100"/>
      <c r="AD33" s="143"/>
      <c r="AE33" s="215">
        <v>45580</v>
      </c>
      <c r="AF33" s="216">
        <v>45641</v>
      </c>
      <c r="AG33" s="217">
        <f t="shared" si="12"/>
        <v>61</v>
      </c>
    </row>
    <row r="34" spans="1:33" s="65" customFormat="1" ht="14.95" customHeight="1" x14ac:dyDescent="0.25">
      <c r="A34" s="218"/>
      <c r="B34" s="219"/>
      <c r="C34" s="214" t="s">
        <v>47</v>
      </c>
      <c r="D34" s="144"/>
      <c r="E34" s="144"/>
      <c r="F34" s="144"/>
      <c r="G34" s="144"/>
      <c r="H34" s="144"/>
      <c r="I34" s="144"/>
      <c r="J34" s="144"/>
      <c r="K34" s="144"/>
      <c r="L34" s="157"/>
      <c r="M34" s="158"/>
      <c r="N34" s="144"/>
      <c r="O34" s="100"/>
      <c r="P34" s="100"/>
      <c r="Q34" s="100"/>
      <c r="R34" s="100"/>
      <c r="S34" s="100"/>
      <c r="T34" s="100"/>
      <c r="U34" s="107"/>
      <c r="V34" s="123"/>
      <c r="W34" s="100"/>
      <c r="X34" s="100"/>
      <c r="Y34" s="100"/>
      <c r="Z34" s="100"/>
      <c r="AA34" s="100"/>
      <c r="AB34" s="100"/>
      <c r="AC34" s="100"/>
      <c r="AD34" s="143"/>
      <c r="AE34" s="215">
        <v>45672</v>
      </c>
      <c r="AF34" s="216">
        <v>45703</v>
      </c>
      <c r="AG34" s="217">
        <f t="shared" si="12"/>
        <v>31</v>
      </c>
    </row>
    <row r="35" spans="1:33" s="65" customFormat="1" ht="14.95" customHeight="1" x14ac:dyDescent="0.25">
      <c r="A35" s="218"/>
      <c r="B35" s="219"/>
      <c r="C35" s="214" t="s">
        <v>48</v>
      </c>
      <c r="D35" s="144"/>
      <c r="E35" s="144"/>
      <c r="F35" s="144"/>
      <c r="G35" s="144"/>
      <c r="H35" s="144"/>
      <c r="I35" s="144"/>
      <c r="J35" s="144"/>
      <c r="K35" s="144"/>
      <c r="L35" s="157"/>
      <c r="M35" s="158"/>
      <c r="N35" s="144"/>
      <c r="O35" s="100"/>
      <c r="P35" s="100"/>
      <c r="Q35" s="100"/>
      <c r="R35" s="100"/>
      <c r="S35" s="100"/>
      <c r="T35" s="100"/>
      <c r="U35" s="107"/>
      <c r="V35" s="123"/>
      <c r="W35" s="100"/>
      <c r="X35" s="100"/>
      <c r="Y35" s="100"/>
      <c r="Z35" s="100"/>
      <c r="AA35" s="100"/>
      <c r="AB35" s="100"/>
      <c r="AC35" s="100"/>
      <c r="AD35" s="143"/>
      <c r="AE35" s="215">
        <v>45641</v>
      </c>
      <c r="AF35" s="216">
        <v>45672</v>
      </c>
      <c r="AG35" s="217">
        <f t="shared" si="12"/>
        <v>31</v>
      </c>
    </row>
    <row r="36" spans="1:33" s="65" customFormat="1" ht="14.95" customHeight="1" x14ac:dyDescent="0.25">
      <c r="A36" s="220"/>
      <c r="B36" s="221"/>
      <c r="C36" s="214" t="s">
        <v>49</v>
      </c>
      <c r="D36" s="100"/>
      <c r="E36" s="100"/>
      <c r="F36" s="100"/>
      <c r="G36" s="100"/>
      <c r="H36" s="100"/>
      <c r="I36" s="100"/>
      <c r="J36" s="100"/>
      <c r="K36" s="100"/>
      <c r="L36" s="107"/>
      <c r="M36" s="102"/>
      <c r="N36" s="100"/>
      <c r="O36" s="100"/>
      <c r="P36" s="100"/>
      <c r="Q36" s="100"/>
      <c r="R36" s="100"/>
      <c r="S36" s="100"/>
      <c r="T36" s="144"/>
      <c r="U36" s="157"/>
      <c r="V36" s="164"/>
      <c r="W36" s="144"/>
      <c r="X36" s="144"/>
      <c r="Y36" s="144"/>
      <c r="Z36" s="144"/>
      <c r="AA36" s="100"/>
      <c r="AB36" s="100"/>
      <c r="AC36" s="100"/>
      <c r="AD36" s="143"/>
      <c r="AE36" s="215">
        <v>45672</v>
      </c>
      <c r="AF36" s="216">
        <v>45703</v>
      </c>
      <c r="AG36" s="217">
        <f t="shared" si="12"/>
        <v>31</v>
      </c>
    </row>
    <row r="37" spans="1:33" s="65" customFormat="1" ht="14.95" customHeight="1" x14ac:dyDescent="0.25">
      <c r="A37" s="193">
        <v>11</v>
      </c>
      <c r="B37" s="193" t="s">
        <v>167</v>
      </c>
      <c r="C37" s="22" t="s">
        <v>111</v>
      </c>
      <c r="D37" s="144"/>
      <c r="E37" s="100"/>
      <c r="F37" s="100"/>
      <c r="G37" s="100"/>
      <c r="H37" s="100"/>
      <c r="I37" s="100"/>
      <c r="J37" s="100"/>
      <c r="K37" s="100"/>
      <c r="L37" s="107"/>
      <c r="M37" s="102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43"/>
      <c r="AE37" s="155">
        <v>45580</v>
      </c>
      <c r="AF37" s="156">
        <v>45583</v>
      </c>
      <c r="AG37" s="160">
        <f t="shared" si="12"/>
        <v>3</v>
      </c>
    </row>
    <row r="38" spans="1:33" s="211" customFormat="1" ht="14.95" customHeight="1" x14ac:dyDescent="0.25">
      <c r="A38" s="194"/>
      <c r="B38" s="194"/>
      <c r="C38" s="207" t="s">
        <v>155</v>
      </c>
      <c r="D38" s="144"/>
      <c r="E38" s="144"/>
      <c r="F38" s="100"/>
      <c r="G38" s="100"/>
      <c r="H38" s="100"/>
      <c r="I38" s="100"/>
      <c r="J38" s="100"/>
      <c r="K38" s="100"/>
      <c r="L38" s="107"/>
      <c r="M38" s="102"/>
      <c r="N38" s="100"/>
      <c r="O38" s="100"/>
      <c r="P38" s="100"/>
      <c r="Q38" s="100"/>
      <c r="R38" s="100"/>
      <c r="S38" s="100"/>
      <c r="T38" s="144"/>
      <c r="U38" s="157"/>
      <c r="V38" s="164"/>
      <c r="W38" s="144"/>
      <c r="X38" s="144"/>
      <c r="Y38" s="144"/>
      <c r="Z38" s="144"/>
      <c r="AA38" s="100"/>
      <c r="AB38" s="100"/>
      <c r="AC38" s="100"/>
      <c r="AD38" s="143"/>
      <c r="AE38" s="208">
        <v>45583</v>
      </c>
      <c r="AF38" s="209">
        <v>45586</v>
      </c>
      <c r="AG38" s="210">
        <f t="shared" si="12"/>
        <v>3</v>
      </c>
    </row>
    <row r="39" spans="1:33" s="65" customFormat="1" ht="14.95" customHeight="1" x14ac:dyDescent="0.25">
      <c r="A39" s="194"/>
      <c r="B39" s="194"/>
      <c r="C39" s="22" t="s">
        <v>156</v>
      </c>
      <c r="D39" s="100"/>
      <c r="E39" s="144"/>
      <c r="F39" s="100"/>
      <c r="G39" s="100"/>
      <c r="H39" s="100"/>
      <c r="I39" s="100"/>
      <c r="J39" s="100"/>
      <c r="K39" s="100"/>
      <c r="L39" s="107"/>
      <c r="M39" s="102"/>
      <c r="N39" s="100"/>
      <c r="O39" s="100"/>
      <c r="P39" s="100"/>
      <c r="Q39" s="100"/>
      <c r="R39" s="100"/>
      <c r="S39" s="100"/>
      <c r="T39" s="100"/>
      <c r="U39" s="107"/>
      <c r="V39" s="123"/>
      <c r="W39" s="100"/>
      <c r="X39" s="100"/>
      <c r="Y39" s="100"/>
      <c r="Z39" s="100"/>
      <c r="AA39" s="100"/>
      <c r="AB39" s="100"/>
      <c r="AC39" s="100"/>
      <c r="AD39" s="143"/>
      <c r="AE39" s="155">
        <v>45586</v>
      </c>
      <c r="AF39" s="156">
        <v>45590</v>
      </c>
      <c r="AG39" s="160">
        <f t="shared" si="12"/>
        <v>4</v>
      </c>
    </row>
    <row r="40" spans="1:33" s="65" customFormat="1" ht="14.95" customHeight="1" x14ac:dyDescent="0.25">
      <c r="A40" s="194"/>
      <c r="B40" s="194"/>
      <c r="C40" s="22" t="s">
        <v>157</v>
      </c>
      <c r="D40" s="100"/>
      <c r="E40" s="144"/>
      <c r="F40" s="144"/>
      <c r="G40" s="100"/>
      <c r="H40" s="100"/>
      <c r="I40" s="100"/>
      <c r="J40" s="100"/>
      <c r="K40" s="100"/>
      <c r="L40" s="107"/>
      <c r="M40" s="102"/>
      <c r="N40" s="100"/>
      <c r="O40" s="100"/>
      <c r="P40" s="100"/>
      <c r="Q40" s="100"/>
      <c r="R40" s="100"/>
      <c r="S40" s="100"/>
      <c r="T40" s="100"/>
      <c r="U40" s="107"/>
      <c r="V40" s="123"/>
      <c r="W40" s="100"/>
      <c r="X40" s="100"/>
      <c r="Y40" s="100"/>
      <c r="Z40" s="100"/>
      <c r="AA40" s="100"/>
      <c r="AB40" s="100"/>
      <c r="AC40" s="100"/>
      <c r="AD40" s="143"/>
      <c r="AE40" s="155">
        <v>45590</v>
      </c>
      <c r="AF40" s="156">
        <v>45595</v>
      </c>
      <c r="AG40" s="160">
        <f t="shared" si="12"/>
        <v>5</v>
      </c>
    </row>
    <row r="41" spans="1:33" s="65" customFormat="1" ht="14.95" customHeight="1" x14ac:dyDescent="0.25">
      <c r="A41" s="194"/>
      <c r="B41" s="194"/>
      <c r="C41" s="22" t="s">
        <v>159</v>
      </c>
      <c r="D41" s="100"/>
      <c r="E41" s="100"/>
      <c r="F41" s="144"/>
      <c r="G41" s="144"/>
      <c r="H41" s="144"/>
      <c r="I41" s="144"/>
      <c r="J41" s="100"/>
      <c r="K41" s="100"/>
      <c r="L41" s="107"/>
      <c r="M41" s="102"/>
      <c r="N41" s="100"/>
      <c r="O41" s="100"/>
      <c r="P41" s="100"/>
      <c r="Q41" s="100"/>
      <c r="R41" s="100"/>
      <c r="S41" s="100"/>
      <c r="T41" s="100"/>
      <c r="U41" s="107"/>
      <c r="V41" s="123"/>
      <c r="W41" s="100"/>
      <c r="X41" s="100"/>
      <c r="Y41" s="100"/>
      <c r="Z41" s="100"/>
      <c r="AA41" s="100"/>
      <c r="AB41" s="100"/>
      <c r="AC41" s="100"/>
      <c r="AD41" s="143"/>
      <c r="AE41" s="155">
        <v>45595</v>
      </c>
      <c r="AF41" s="156">
        <v>45611</v>
      </c>
      <c r="AG41" s="160">
        <f>AF41-AE41</f>
        <v>16</v>
      </c>
    </row>
    <row r="42" spans="1:33" s="65" customFormat="1" ht="14.95" customHeight="1" x14ac:dyDescent="0.25">
      <c r="A42" s="194"/>
      <c r="B42" s="194"/>
      <c r="C42" s="22" t="s">
        <v>158</v>
      </c>
      <c r="D42" s="100"/>
      <c r="E42" s="100"/>
      <c r="F42" s="144"/>
      <c r="G42" s="144"/>
      <c r="H42" s="144"/>
      <c r="I42" s="144"/>
      <c r="J42" s="144"/>
      <c r="K42" s="144"/>
      <c r="L42" s="144"/>
      <c r="M42" s="102"/>
      <c r="N42" s="100"/>
      <c r="O42" s="100"/>
      <c r="P42" s="100"/>
      <c r="Q42" s="100"/>
      <c r="R42" s="100"/>
      <c r="S42" s="100"/>
      <c r="T42" s="100"/>
      <c r="U42" s="107"/>
      <c r="V42" s="123"/>
      <c r="W42" s="100"/>
      <c r="X42" s="100"/>
      <c r="Y42" s="100"/>
      <c r="Z42" s="100"/>
      <c r="AA42" s="100"/>
      <c r="AB42" s="100"/>
      <c r="AC42" s="100"/>
      <c r="AD42" s="143"/>
      <c r="AE42" s="155">
        <v>45595</v>
      </c>
      <c r="AF42" s="156">
        <v>45626</v>
      </c>
      <c r="AG42" s="160">
        <f t="shared" si="12"/>
        <v>31</v>
      </c>
    </row>
    <row r="43" spans="1:33" s="65" customFormat="1" ht="14.95" customHeight="1" x14ac:dyDescent="0.25">
      <c r="A43" s="194"/>
      <c r="B43" s="194"/>
      <c r="C43" s="22" t="s">
        <v>160</v>
      </c>
      <c r="D43" s="100"/>
      <c r="E43" s="100"/>
      <c r="F43" s="100"/>
      <c r="G43" s="100"/>
      <c r="H43" s="100"/>
      <c r="I43" s="144"/>
      <c r="J43" s="144"/>
      <c r="K43" s="144"/>
      <c r="L43" s="144"/>
      <c r="M43" s="144"/>
      <c r="N43" s="144"/>
      <c r="O43" s="144"/>
      <c r="P43" s="100"/>
      <c r="Q43" s="100"/>
      <c r="R43" s="100"/>
      <c r="S43" s="100"/>
      <c r="T43" s="100"/>
      <c r="U43" s="107"/>
      <c r="V43" s="123"/>
      <c r="W43" s="100"/>
      <c r="X43" s="100"/>
      <c r="Y43" s="100"/>
      <c r="Z43" s="100"/>
      <c r="AA43" s="100"/>
      <c r="AB43" s="100"/>
      <c r="AC43" s="100"/>
      <c r="AD43" s="143"/>
      <c r="AE43" s="155">
        <v>45611</v>
      </c>
      <c r="AF43" s="156">
        <v>45641</v>
      </c>
      <c r="AG43" s="160">
        <f t="shared" si="12"/>
        <v>30</v>
      </c>
    </row>
    <row r="44" spans="1:33" s="65" customFormat="1" ht="14.95" customHeight="1" x14ac:dyDescent="0.25">
      <c r="A44" s="194"/>
      <c r="B44" s="194"/>
      <c r="C44" s="22" t="s">
        <v>23</v>
      </c>
      <c r="D44" s="100"/>
      <c r="E44" s="100"/>
      <c r="F44" s="100"/>
      <c r="G44" s="100"/>
      <c r="H44" s="100"/>
      <c r="I44" s="100"/>
      <c r="J44" s="100"/>
      <c r="K44" s="100"/>
      <c r="L44" s="107"/>
      <c r="M44" s="102"/>
      <c r="N44" s="100"/>
      <c r="O44" s="144"/>
      <c r="P44" s="144"/>
      <c r="Q44" s="144"/>
      <c r="R44" s="100"/>
      <c r="S44" s="100"/>
      <c r="T44" s="100"/>
      <c r="U44" s="107"/>
      <c r="V44" s="123"/>
      <c r="W44" s="100"/>
      <c r="X44" s="100"/>
      <c r="Y44" s="100"/>
      <c r="Z44" s="100"/>
      <c r="AA44" s="100"/>
      <c r="AB44" s="100"/>
      <c r="AC44" s="100"/>
      <c r="AD44" s="143"/>
      <c r="AE44" s="155">
        <v>45641</v>
      </c>
      <c r="AF44" s="156">
        <v>45656</v>
      </c>
      <c r="AG44" s="160">
        <f t="shared" si="12"/>
        <v>15</v>
      </c>
    </row>
    <row r="45" spans="1:33" s="65" customFormat="1" ht="14.95" customHeight="1" x14ac:dyDescent="0.25">
      <c r="A45" s="194"/>
      <c r="B45" s="194"/>
      <c r="C45" s="22" t="s">
        <v>161</v>
      </c>
      <c r="D45" s="100"/>
      <c r="E45" s="100"/>
      <c r="F45" s="100"/>
      <c r="G45" s="100"/>
      <c r="H45" s="100"/>
      <c r="I45" s="100"/>
      <c r="J45" s="100"/>
      <c r="K45" s="100"/>
      <c r="L45" s="107"/>
      <c r="M45" s="102"/>
      <c r="N45" s="100"/>
      <c r="O45" s="100"/>
      <c r="P45" s="100"/>
      <c r="Q45" s="100"/>
      <c r="R45" s="144"/>
      <c r="S45" s="144"/>
      <c r="T45" s="144"/>
      <c r="U45" s="144"/>
      <c r="V45" s="144"/>
      <c r="W45" s="144"/>
      <c r="X45" s="144"/>
      <c r="Y45" s="144"/>
      <c r="Z45" s="144"/>
      <c r="AA45" s="100"/>
      <c r="AB45" s="100"/>
      <c r="AC45" s="100"/>
      <c r="AD45" s="143"/>
      <c r="AE45" s="155">
        <v>45658</v>
      </c>
      <c r="AF45" s="156">
        <v>45703</v>
      </c>
      <c r="AG45" s="160">
        <f t="shared" si="12"/>
        <v>45</v>
      </c>
    </row>
    <row r="46" spans="1:33" s="65" customFormat="1" ht="14.95" customHeight="1" x14ac:dyDescent="0.25">
      <c r="A46" s="194"/>
      <c r="B46" s="194"/>
      <c r="C46" s="22" t="s">
        <v>162</v>
      </c>
      <c r="D46" s="100"/>
      <c r="E46" s="100"/>
      <c r="F46" s="100"/>
      <c r="G46" s="100"/>
      <c r="H46" s="100"/>
      <c r="I46" s="100"/>
      <c r="J46" s="100"/>
      <c r="K46" s="100"/>
      <c r="L46" s="107"/>
      <c r="M46" s="102"/>
      <c r="N46" s="100"/>
      <c r="O46" s="100"/>
      <c r="P46" s="100"/>
      <c r="Q46" s="100"/>
      <c r="R46" s="100"/>
      <c r="S46" s="100"/>
      <c r="T46" s="100"/>
      <c r="U46" s="144"/>
      <c r="V46" s="144"/>
      <c r="W46" s="144"/>
      <c r="X46" s="144"/>
      <c r="Y46" s="144"/>
      <c r="Z46" s="144"/>
      <c r="AA46" s="100"/>
      <c r="AB46" s="100"/>
      <c r="AC46" s="100"/>
      <c r="AD46" s="143"/>
      <c r="AE46" s="155">
        <v>45672</v>
      </c>
      <c r="AF46" s="156">
        <v>45703</v>
      </c>
      <c r="AG46" s="160">
        <f t="shared" si="12"/>
        <v>31</v>
      </c>
    </row>
    <row r="47" spans="1:33" s="65" customFormat="1" ht="14.95" customHeight="1" x14ac:dyDescent="0.25">
      <c r="A47" s="194"/>
      <c r="B47" s="194"/>
      <c r="C47" s="22" t="s">
        <v>163</v>
      </c>
      <c r="D47" s="100"/>
      <c r="E47" s="100"/>
      <c r="F47" s="100"/>
      <c r="G47" s="100"/>
      <c r="H47" s="100"/>
      <c r="I47" s="100"/>
      <c r="J47" s="100"/>
      <c r="K47" s="100"/>
      <c r="L47" s="107"/>
      <c r="M47" s="102"/>
      <c r="N47" s="100"/>
      <c r="O47" s="100"/>
      <c r="P47" s="100"/>
      <c r="Q47" s="100"/>
      <c r="R47" s="100"/>
      <c r="S47" s="100"/>
      <c r="T47" s="100"/>
      <c r="U47" s="157"/>
      <c r="V47" s="164"/>
      <c r="W47" s="144"/>
      <c r="X47" s="144"/>
      <c r="Y47" s="144"/>
      <c r="Z47" s="144"/>
      <c r="AA47" s="100"/>
      <c r="AB47" s="100"/>
      <c r="AC47" s="100"/>
      <c r="AD47" s="143"/>
      <c r="AE47" s="155">
        <v>45672</v>
      </c>
      <c r="AF47" s="156">
        <v>45703</v>
      </c>
      <c r="AG47" s="160">
        <f t="shared" si="12"/>
        <v>31</v>
      </c>
    </row>
    <row r="48" spans="1:33" s="65" customFormat="1" ht="14.95" customHeight="1" x14ac:dyDescent="0.25">
      <c r="A48" s="194"/>
      <c r="B48" s="194"/>
      <c r="C48" s="22" t="s">
        <v>164</v>
      </c>
      <c r="D48" s="100"/>
      <c r="E48" s="100"/>
      <c r="F48" s="100"/>
      <c r="G48" s="100"/>
      <c r="H48" s="100"/>
      <c r="I48" s="100"/>
      <c r="J48" s="100"/>
      <c r="K48" s="100"/>
      <c r="L48" s="107"/>
      <c r="M48" s="102"/>
      <c r="N48" s="100"/>
      <c r="O48" s="100"/>
      <c r="P48" s="100"/>
      <c r="Q48" s="100"/>
      <c r="R48" s="144"/>
      <c r="S48" s="144"/>
      <c r="T48" s="144"/>
      <c r="U48" s="157"/>
      <c r="V48" s="164"/>
      <c r="W48" s="144"/>
      <c r="X48" s="144"/>
      <c r="Y48" s="144"/>
      <c r="Z48" s="144"/>
      <c r="AA48" s="100"/>
      <c r="AB48" s="100"/>
      <c r="AC48" s="100"/>
      <c r="AD48" s="143"/>
      <c r="AE48" s="155">
        <v>45658</v>
      </c>
      <c r="AF48" s="156">
        <v>45703</v>
      </c>
      <c r="AG48" s="160">
        <f t="shared" si="12"/>
        <v>45</v>
      </c>
    </row>
    <row r="49" spans="1:33" s="65" customFormat="1" ht="14.95" customHeight="1" x14ac:dyDescent="0.25">
      <c r="A49" s="194"/>
      <c r="B49" s="194"/>
      <c r="C49" s="22" t="s">
        <v>165</v>
      </c>
      <c r="D49" s="100"/>
      <c r="E49" s="100"/>
      <c r="F49" s="100"/>
      <c r="G49" s="100"/>
      <c r="H49" s="100"/>
      <c r="I49" s="100"/>
      <c r="J49" s="100"/>
      <c r="K49" s="100"/>
      <c r="L49" s="107"/>
      <c r="M49" s="102"/>
      <c r="N49" s="100"/>
      <c r="O49" s="100"/>
      <c r="P49" s="100"/>
      <c r="Q49" s="100"/>
      <c r="R49" s="100"/>
      <c r="S49" s="100"/>
      <c r="T49" s="100"/>
      <c r="U49" s="100"/>
      <c r="V49" s="123"/>
      <c r="W49" s="100"/>
      <c r="X49" s="100"/>
      <c r="Y49" s="100"/>
      <c r="Z49" s="144"/>
      <c r="AA49" s="144"/>
      <c r="AB49" s="144"/>
      <c r="AC49" s="144"/>
      <c r="AD49" s="143"/>
      <c r="AE49" s="155">
        <v>45703</v>
      </c>
      <c r="AF49" s="156">
        <v>45708</v>
      </c>
      <c r="AG49" s="160">
        <f t="shared" si="12"/>
        <v>5</v>
      </c>
    </row>
    <row r="50" spans="1:33" s="65" customFormat="1" ht="14.95" customHeight="1" x14ac:dyDescent="0.25">
      <c r="A50" s="195"/>
      <c r="B50" s="195"/>
      <c r="C50" s="22" t="s">
        <v>166</v>
      </c>
      <c r="D50" s="100"/>
      <c r="E50" s="100"/>
      <c r="F50" s="100"/>
      <c r="G50" s="100"/>
      <c r="H50" s="100"/>
      <c r="I50" s="100"/>
      <c r="J50" s="100"/>
      <c r="K50" s="100"/>
      <c r="L50" s="107"/>
      <c r="M50" s="102"/>
      <c r="N50" s="100"/>
      <c r="O50" s="100"/>
      <c r="P50" s="100"/>
      <c r="Q50" s="100"/>
      <c r="R50" s="100"/>
      <c r="S50" s="100"/>
      <c r="T50" s="100"/>
      <c r="U50" s="100"/>
      <c r="V50" s="123"/>
      <c r="W50" s="123"/>
      <c r="X50" s="123"/>
      <c r="Y50" s="123"/>
      <c r="Z50" s="123"/>
      <c r="AA50" s="123"/>
      <c r="AB50" s="123"/>
      <c r="AC50" s="100"/>
      <c r="AD50" s="143"/>
      <c r="AE50" s="89"/>
      <c r="AF50" s="88"/>
      <c r="AG50" s="160">
        <f t="shared" si="12"/>
        <v>0</v>
      </c>
    </row>
    <row r="51" spans="1:33" s="65" customFormat="1" ht="14.95" customHeight="1" x14ac:dyDescent="0.25">
      <c r="A51" s="193">
        <v>12</v>
      </c>
      <c r="B51" s="186" t="s">
        <v>50</v>
      </c>
      <c r="C51" s="22" t="s">
        <v>51</v>
      </c>
      <c r="D51" s="144"/>
      <c r="E51" s="144"/>
      <c r="F51" s="144"/>
      <c r="G51" s="144"/>
      <c r="H51" s="144"/>
      <c r="I51" s="144"/>
      <c r="J51" s="144"/>
      <c r="K51" s="144"/>
      <c r="L51" s="144"/>
      <c r="M51" s="144"/>
      <c r="N51" s="144"/>
      <c r="O51" s="144"/>
      <c r="P51" s="144"/>
      <c r="Q51" s="144"/>
      <c r="R51" s="100"/>
      <c r="S51" s="100"/>
      <c r="T51" s="100"/>
      <c r="U51" s="107"/>
      <c r="V51" s="123"/>
      <c r="W51" s="100"/>
      <c r="X51" s="100"/>
      <c r="Y51" s="100"/>
      <c r="AC51" s="100"/>
      <c r="AD51" s="143"/>
      <c r="AE51" s="155">
        <v>45580</v>
      </c>
      <c r="AF51" s="156">
        <v>45656</v>
      </c>
      <c r="AG51" s="160">
        <f t="shared" si="12"/>
        <v>76</v>
      </c>
    </row>
    <row r="52" spans="1:33" s="211" customFormat="1" ht="14.95" customHeight="1" x14ac:dyDescent="0.25">
      <c r="A52" s="194"/>
      <c r="B52" s="188"/>
      <c r="C52" s="207" t="s">
        <v>148</v>
      </c>
      <c r="D52" s="144"/>
      <c r="E52" s="144"/>
      <c r="F52" s="144"/>
      <c r="G52" s="100"/>
      <c r="H52" s="100"/>
      <c r="I52" s="100"/>
      <c r="J52" s="100"/>
      <c r="K52" s="100"/>
      <c r="L52" s="107"/>
      <c r="M52" s="102"/>
      <c r="N52" s="100"/>
      <c r="O52" s="100"/>
      <c r="P52" s="100"/>
      <c r="Q52" s="100"/>
      <c r="R52" s="100"/>
      <c r="S52" s="100"/>
      <c r="T52" s="100"/>
      <c r="U52" s="107"/>
      <c r="V52" s="123"/>
      <c r="W52" s="100"/>
      <c r="X52" s="100"/>
      <c r="Y52" s="100"/>
      <c r="Z52" s="100"/>
      <c r="AA52" s="100"/>
      <c r="AB52" s="100"/>
      <c r="AC52" s="100"/>
      <c r="AD52" s="143"/>
      <c r="AE52" s="208">
        <v>45583</v>
      </c>
      <c r="AF52" s="209">
        <v>45586</v>
      </c>
      <c r="AG52" s="210">
        <f t="shared" si="12"/>
        <v>3</v>
      </c>
    </row>
    <row r="53" spans="1:33" s="65" customFormat="1" ht="14.95" customHeight="1" x14ac:dyDescent="0.25">
      <c r="A53" s="194"/>
      <c r="B53" s="188"/>
      <c r="C53" s="22" t="s">
        <v>149</v>
      </c>
      <c r="D53" s="100"/>
      <c r="E53" s="100"/>
      <c r="F53" s="144"/>
      <c r="G53" s="144"/>
      <c r="H53" s="144"/>
      <c r="I53" s="144"/>
      <c r="J53" s="100"/>
      <c r="K53" s="100"/>
      <c r="L53" s="107"/>
      <c r="M53" s="102"/>
      <c r="N53" s="100"/>
      <c r="O53" s="100"/>
      <c r="P53" s="100"/>
      <c r="Q53" s="100"/>
      <c r="R53" s="100"/>
      <c r="S53" s="100"/>
      <c r="T53" s="100"/>
      <c r="U53" s="107"/>
      <c r="V53" s="123"/>
      <c r="W53" s="100"/>
      <c r="X53" s="100"/>
      <c r="Y53" s="100"/>
      <c r="Z53" s="100"/>
      <c r="AA53" s="100"/>
      <c r="AB53" s="100"/>
      <c r="AC53" s="100"/>
      <c r="AD53" s="143"/>
      <c r="AE53" s="155">
        <v>45595</v>
      </c>
      <c r="AF53" s="156">
        <v>45611</v>
      </c>
      <c r="AG53" s="160">
        <f t="shared" si="12"/>
        <v>16</v>
      </c>
    </row>
    <row r="54" spans="1:33" s="65" customFormat="1" ht="14.95" customHeight="1" x14ac:dyDescent="0.25">
      <c r="A54" s="194"/>
      <c r="B54" s="188"/>
      <c r="C54" s="22" t="s">
        <v>191</v>
      </c>
      <c r="D54" s="100"/>
      <c r="E54" s="100"/>
      <c r="F54" s="100"/>
      <c r="G54" s="100"/>
      <c r="H54" s="100"/>
      <c r="I54" s="144"/>
      <c r="J54" s="144"/>
      <c r="K54" s="144"/>
      <c r="L54" s="144"/>
      <c r="M54" s="144"/>
      <c r="N54" s="144"/>
      <c r="O54" s="100"/>
      <c r="P54" s="100"/>
      <c r="Q54" s="100"/>
      <c r="R54" s="100"/>
      <c r="S54" s="100"/>
      <c r="T54" s="100"/>
      <c r="U54" s="107"/>
      <c r="V54" s="123"/>
      <c r="W54" s="100"/>
      <c r="X54" s="100"/>
      <c r="Y54" s="100"/>
      <c r="Z54" s="100"/>
      <c r="AA54" s="100"/>
      <c r="AB54" s="100"/>
      <c r="AC54" s="100"/>
      <c r="AD54" s="143"/>
      <c r="AE54" s="155">
        <v>45611</v>
      </c>
      <c r="AF54" s="156">
        <v>45641</v>
      </c>
      <c r="AG54" s="160">
        <f t="shared" si="12"/>
        <v>30</v>
      </c>
    </row>
    <row r="55" spans="1:33" s="65" customFormat="1" ht="14.95" customHeight="1" x14ac:dyDescent="0.25">
      <c r="A55" s="194"/>
      <c r="B55" s="188"/>
      <c r="C55" s="22" t="s">
        <v>151</v>
      </c>
      <c r="D55" s="100"/>
      <c r="E55" s="100"/>
      <c r="F55" s="100"/>
      <c r="G55" s="100"/>
      <c r="H55" s="100"/>
      <c r="I55" s="100"/>
      <c r="J55" s="100"/>
      <c r="K55" s="100"/>
      <c r="L55" s="144"/>
      <c r="M55" s="144"/>
      <c r="N55" s="144"/>
      <c r="O55" s="144"/>
      <c r="P55" s="100"/>
      <c r="Q55" s="100"/>
      <c r="R55" s="100"/>
      <c r="S55" s="100"/>
      <c r="T55" s="100"/>
      <c r="U55" s="107"/>
      <c r="V55" s="123"/>
      <c r="W55" s="100"/>
      <c r="X55" s="100"/>
      <c r="Y55" s="100"/>
      <c r="Z55" s="100"/>
      <c r="AA55" s="100"/>
      <c r="AB55" s="100"/>
      <c r="AC55" s="100"/>
      <c r="AD55" s="143"/>
      <c r="AE55" s="155">
        <v>45626</v>
      </c>
      <c r="AF55" s="156">
        <v>45641</v>
      </c>
      <c r="AG55" s="160">
        <f t="shared" si="12"/>
        <v>15</v>
      </c>
    </row>
    <row r="56" spans="1:33" s="65" customFormat="1" ht="14.95" customHeight="1" x14ac:dyDescent="0.25">
      <c r="A56" s="194"/>
      <c r="B56" s="188"/>
      <c r="C56" s="22" t="s">
        <v>152</v>
      </c>
      <c r="D56" s="100"/>
      <c r="E56" s="100"/>
      <c r="F56" s="100"/>
      <c r="G56" s="100"/>
      <c r="H56" s="100"/>
      <c r="I56" s="100"/>
      <c r="J56" s="100"/>
      <c r="K56" s="100"/>
      <c r="L56" s="100"/>
      <c r="M56" s="102"/>
      <c r="N56" s="144"/>
      <c r="O56" s="144"/>
      <c r="P56" s="144"/>
      <c r="Q56" s="144"/>
      <c r="R56" s="100"/>
      <c r="S56" s="100"/>
      <c r="T56" s="100"/>
      <c r="U56" s="107"/>
      <c r="V56" s="123"/>
      <c r="W56" s="100"/>
      <c r="X56" s="100"/>
      <c r="Y56" s="100"/>
      <c r="Z56" s="100"/>
      <c r="AA56" s="100"/>
      <c r="AB56" s="100"/>
      <c r="AC56" s="100"/>
      <c r="AD56" s="143"/>
      <c r="AE56" s="155">
        <v>45641</v>
      </c>
      <c r="AF56" s="156">
        <v>45656</v>
      </c>
      <c r="AG56" s="160">
        <f t="shared" si="12"/>
        <v>15</v>
      </c>
    </row>
    <row r="57" spans="1:33" s="65" customFormat="1" ht="14.95" customHeight="1" x14ac:dyDescent="0.25">
      <c r="A57" s="194"/>
      <c r="B57" s="188"/>
      <c r="C57" s="22" t="s">
        <v>43</v>
      </c>
      <c r="D57" s="100"/>
      <c r="E57" s="100"/>
      <c r="F57" s="100"/>
      <c r="G57" s="100"/>
      <c r="H57" s="100"/>
      <c r="I57" s="100"/>
      <c r="J57" s="100"/>
      <c r="K57" s="100"/>
      <c r="L57" s="100"/>
      <c r="M57" s="102"/>
      <c r="N57" s="100"/>
      <c r="O57" s="100"/>
      <c r="P57" s="100"/>
      <c r="Q57" s="100"/>
      <c r="R57" s="144"/>
      <c r="S57" s="144"/>
      <c r="T57" s="144"/>
      <c r="U57" s="107"/>
      <c r="V57" s="123"/>
      <c r="W57" s="100"/>
      <c r="X57" s="100"/>
      <c r="Y57" s="100"/>
      <c r="Z57" s="100"/>
      <c r="AA57" s="100"/>
      <c r="AB57" s="100"/>
      <c r="AC57" s="100"/>
      <c r="AD57" s="143"/>
      <c r="AE57" s="155">
        <v>45658</v>
      </c>
      <c r="AF57" s="156">
        <v>45672</v>
      </c>
      <c r="AG57" s="160">
        <f t="shared" si="12"/>
        <v>14</v>
      </c>
    </row>
    <row r="58" spans="1:33" s="65" customFormat="1" ht="14.95" customHeight="1" x14ac:dyDescent="0.25">
      <c r="A58" s="194"/>
      <c r="B58" s="188"/>
      <c r="C58" s="22" t="s">
        <v>54</v>
      </c>
      <c r="D58" s="100"/>
      <c r="E58" s="100"/>
      <c r="F58" s="100"/>
      <c r="G58" s="100"/>
      <c r="H58" s="100"/>
      <c r="I58" s="100"/>
      <c r="J58" s="100"/>
      <c r="K58" s="100"/>
      <c r="L58" s="107"/>
      <c r="M58" s="102"/>
      <c r="N58" s="100"/>
      <c r="O58" s="100"/>
      <c r="P58" s="100"/>
      <c r="Q58" s="100"/>
      <c r="R58" s="100"/>
      <c r="S58" s="100"/>
      <c r="T58" s="144"/>
      <c r="U58" s="144"/>
      <c r="V58" s="144"/>
      <c r="W58" s="144"/>
      <c r="X58" s="100"/>
      <c r="Y58" s="100"/>
      <c r="Z58" s="100"/>
      <c r="AA58" s="100"/>
      <c r="AB58" s="100"/>
      <c r="AC58" s="100"/>
      <c r="AD58" s="143"/>
      <c r="AE58" s="155">
        <v>45672</v>
      </c>
      <c r="AF58" s="156">
        <v>45687</v>
      </c>
      <c r="AG58" s="160">
        <f t="shared" si="12"/>
        <v>15</v>
      </c>
    </row>
    <row r="59" spans="1:33" s="65" customFormat="1" ht="14.95" customHeight="1" x14ac:dyDescent="0.25">
      <c r="A59" s="194"/>
      <c r="B59" s="188"/>
      <c r="C59" s="22" t="s">
        <v>52</v>
      </c>
      <c r="D59" s="100"/>
      <c r="E59" s="100"/>
      <c r="F59" s="100"/>
      <c r="G59" s="100"/>
      <c r="H59" s="100"/>
      <c r="I59" s="100"/>
      <c r="J59" s="100"/>
      <c r="K59" s="100"/>
      <c r="L59" s="107"/>
      <c r="M59" s="102"/>
      <c r="N59" s="100"/>
      <c r="O59" s="100"/>
      <c r="P59" s="100"/>
      <c r="Q59" s="100"/>
      <c r="R59" s="100"/>
      <c r="S59" s="100"/>
      <c r="T59" s="144"/>
      <c r="U59" s="144"/>
      <c r="V59" s="144"/>
      <c r="W59" s="144"/>
      <c r="X59" s="100"/>
      <c r="Y59" s="100"/>
      <c r="Z59" s="100"/>
      <c r="AA59" s="100"/>
      <c r="AB59" s="100"/>
      <c r="AC59" s="100"/>
      <c r="AD59" s="143"/>
      <c r="AE59" s="155">
        <v>45672</v>
      </c>
      <c r="AF59" s="156">
        <v>45687</v>
      </c>
      <c r="AG59" s="160">
        <f t="shared" si="12"/>
        <v>15</v>
      </c>
    </row>
    <row r="60" spans="1:33" s="65" customFormat="1" ht="14.95" customHeight="1" x14ac:dyDescent="0.25">
      <c r="A60" s="195"/>
      <c r="B60" s="187"/>
      <c r="C60" s="22" t="s">
        <v>53</v>
      </c>
      <c r="D60" s="100"/>
      <c r="E60" s="100"/>
      <c r="F60" s="100"/>
      <c r="G60" s="100"/>
      <c r="H60" s="100"/>
      <c r="I60" s="100"/>
      <c r="J60" s="100"/>
      <c r="K60" s="100"/>
      <c r="L60" s="107"/>
      <c r="M60" s="102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44"/>
      <c r="Z60" s="144"/>
      <c r="AA60" s="144"/>
      <c r="AB60" s="100"/>
      <c r="AC60" s="100"/>
      <c r="AD60" s="143"/>
      <c r="AE60" s="155">
        <v>45689</v>
      </c>
      <c r="AF60" s="156">
        <v>45703</v>
      </c>
      <c r="AG60" s="160">
        <f t="shared" si="12"/>
        <v>14</v>
      </c>
    </row>
    <row r="61" spans="1:33" s="211" customFormat="1" ht="14.95" customHeight="1" x14ac:dyDescent="0.25">
      <c r="A61" s="223">
        <v>13</v>
      </c>
      <c r="B61" s="186" t="s">
        <v>153</v>
      </c>
      <c r="C61" s="207" t="s">
        <v>148</v>
      </c>
      <c r="D61" s="144"/>
      <c r="E61" s="144"/>
      <c r="F61" s="100"/>
      <c r="G61" s="100"/>
      <c r="H61" s="100"/>
      <c r="I61" s="100"/>
      <c r="J61" s="100"/>
      <c r="K61" s="100"/>
      <c r="L61" s="107"/>
      <c r="M61" s="102"/>
      <c r="N61" s="100"/>
      <c r="O61" s="100"/>
      <c r="P61" s="100"/>
      <c r="Q61" s="100"/>
      <c r="R61" s="100"/>
      <c r="S61" s="100"/>
      <c r="T61" s="100"/>
      <c r="U61" s="100"/>
      <c r="V61" s="100"/>
      <c r="W61" s="100"/>
      <c r="X61" s="100"/>
      <c r="Y61" s="100"/>
      <c r="Z61" s="100"/>
      <c r="AA61" s="100"/>
      <c r="AB61" s="100"/>
      <c r="AC61" s="100"/>
      <c r="AD61" s="143"/>
      <c r="AE61" s="208">
        <v>45583</v>
      </c>
      <c r="AF61" s="209">
        <v>45586</v>
      </c>
      <c r="AG61" s="210">
        <f t="shared" si="12"/>
        <v>3</v>
      </c>
    </row>
    <row r="62" spans="1:33" s="65" customFormat="1" ht="14.95" customHeight="1" x14ac:dyDescent="0.25">
      <c r="A62" s="222"/>
      <c r="B62" s="188"/>
      <c r="C62" s="22" t="s">
        <v>154</v>
      </c>
      <c r="D62" s="100"/>
      <c r="F62" s="100"/>
      <c r="G62" s="100"/>
      <c r="H62" s="100"/>
      <c r="I62" s="144"/>
      <c r="J62" s="144"/>
      <c r="K62" s="144"/>
      <c r="L62" s="144"/>
      <c r="M62" s="144"/>
      <c r="N62" s="100"/>
      <c r="O62" s="100"/>
      <c r="P62" s="100"/>
      <c r="Q62" s="100"/>
      <c r="R62" s="100"/>
      <c r="S62" s="100"/>
      <c r="T62" s="100"/>
      <c r="U62" s="100"/>
      <c r="V62" s="123"/>
      <c r="W62" s="123"/>
      <c r="X62" s="123"/>
      <c r="Y62" s="123"/>
      <c r="Z62" s="123"/>
      <c r="AA62" s="100"/>
      <c r="AB62" s="100"/>
      <c r="AC62" s="100"/>
      <c r="AD62" s="143"/>
      <c r="AE62" s="155">
        <v>45611</v>
      </c>
      <c r="AF62" s="156">
        <v>45631</v>
      </c>
      <c r="AG62" s="160">
        <f t="shared" si="12"/>
        <v>20</v>
      </c>
    </row>
    <row r="63" spans="1:33" s="65" customFormat="1" ht="14.95" customHeight="1" x14ac:dyDescent="0.25">
      <c r="A63" s="222"/>
      <c r="B63" s="188"/>
      <c r="C63" s="22" t="s">
        <v>43</v>
      </c>
      <c r="D63" s="100"/>
      <c r="E63" s="100"/>
      <c r="F63" s="100"/>
      <c r="G63" s="100"/>
      <c r="H63" s="100"/>
      <c r="I63" s="100"/>
      <c r="J63" s="100"/>
      <c r="K63" s="100"/>
      <c r="L63" s="107"/>
      <c r="M63" s="102"/>
      <c r="N63" s="100"/>
      <c r="O63" s="100"/>
      <c r="P63" s="100"/>
      <c r="Q63" s="100"/>
      <c r="R63" s="144"/>
      <c r="S63" s="144"/>
      <c r="T63" s="144"/>
      <c r="U63" s="144"/>
      <c r="V63" s="144"/>
      <c r="W63" s="144"/>
      <c r="X63" s="144"/>
      <c r="Y63" s="100"/>
      <c r="Z63" s="100"/>
      <c r="AA63" s="100"/>
      <c r="AB63" s="100"/>
      <c r="AC63" s="100"/>
      <c r="AD63" s="143"/>
      <c r="AE63" s="155">
        <v>45658</v>
      </c>
      <c r="AF63" s="156">
        <v>45687</v>
      </c>
      <c r="AG63" s="160">
        <f t="shared" si="12"/>
        <v>29</v>
      </c>
    </row>
    <row r="64" spans="1:33" s="65" customFormat="1" ht="14.95" customHeight="1" x14ac:dyDescent="0.25">
      <c r="A64" s="222"/>
      <c r="B64" s="188"/>
      <c r="C64" s="22" t="s">
        <v>152</v>
      </c>
      <c r="D64" s="100"/>
      <c r="E64" s="100"/>
      <c r="F64" s="100"/>
      <c r="G64" s="100"/>
      <c r="H64" s="100"/>
      <c r="I64" s="100"/>
      <c r="J64" s="100"/>
      <c r="K64" s="100"/>
      <c r="L64" s="107"/>
      <c r="M64" s="102"/>
      <c r="N64" s="100"/>
      <c r="O64" s="100"/>
      <c r="P64" s="144"/>
      <c r="Q64" s="144"/>
      <c r="R64" s="144"/>
      <c r="S64" s="100"/>
      <c r="T64" s="100"/>
      <c r="U64" s="107"/>
      <c r="V64" s="123"/>
      <c r="W64" s="100"/>
      <c r="X64" s="100"/>
      <c r="Y64" s="100"/>
      <c r="Z64" s="100"/>
      <c r="AA64" s="100"/>
      <c r="AB64" s="100"/>
      <c r="AC64" s="100"/>
      <c r="AD64" s="143"/>
      <c r="AE64" s="155">
        <v>45641</v>
      </c>
      <c r="AF64" s="156">
        <v>45656</v>
      </c>
      <c r="AG64" s="160">
        <f t="shared" si="12"/>
        <v>15</v>
      </c>
    </row>
    <row r="65" spans="1:33" s="65" customFormat="1" ht="14.95" customHeight="1" x14ac:dyDescent="0.25">
      <c r="A65" s="222"/>
      <c r="B65" s="188"/>
      <c r="C65" s="22" t="s">
        <v>54</v>
      </c>
      <c r="D65" s="100"/>
      <c r="E65" s="100"/>
      <c r="F65" s="100"/>
      <c r="G65" s="100"/>
      <c r="H65" s="100"/>
      <c r="I65" s="100"/>
      <c r="J65" s="100"/>
      <c r="K65" s="100"/>
      <c r="L65" s="107"/>
      <c r="M65" s="102"/>
      <c r="N65" s="144"/>
      <c r="O65" s="144"/>
      <c r="P65" s="144"/>
      <c r="Q65" s="144"/>
      <c r="R65" s="100"/>
      <c r="S65" s="100"/>
      <c r="T65" s="100"/>
      <c r="U65" s="107"/>
      <c r="V65" s="123"/>
      <c r="W65" s="100"/>
      <c r="X65" s="100"/>
      <c r="Y65" s="100"/>
      <c r="Z65" s="100"/>
      <c r="AA65" s="100"/>
      <c r="AB65" s="100"/>
      <c r="AC65" s="100"/>
      <c r="AD65" s="143"/>
      <c r="AE65" s="155">
        <v>45672</v>
      </c>
      <c r="AF65" s="156">
        <v>45687</v>
      </c>
      <c r="AG65" s="160">
        <f t="shared" si="12"/>
        <v>15</v>
      </c>
    </row>
    <row r="66" spans="1:33" s="65" customFormat="1" ht="14.95" customHeight="1" x14ac:dyDescent="0.25">
      <c r="A66" s="224"/>
      <c r="B66" s="187"/>
      <c r="C66" s="22" t="s">
        <v>53</v>
      </c>
      <c r="D66" s="100"/>
      <c r="E66" s="100"/>
      <c r="F66" s="100"/>
      <c r="G66" s="100"/>
      <c r="H66" s="100"/>
      <c r="I66" s="100"/>
      <c r="J66" s="100"/>
      <c r="K66" s="100"/>
      <c r="L66" s="107"/>
      <c r="M66" s="102"/>
      <c r="N66" s="100"/>
      <c r="O66" s="100"/>
      <c r="P66" s="100"/>
      <c r="Q66" s="100"/>
      <c r="R66" s="100"/>
      <c r="S66" s="100"/>
      <c r="T66" s="100"/>
      <c r="U66" s="107"/>
      <c r="V66" s="123"/>
      <c r="W66" s="100"/>
      <c r="X66" s="144"/>
      <c r="Y66" s="144"/>
      <c r="Z66" s="144"/>
      <c r="AA66" s="144"/>
      <c r="AB66" s="100"/>
      <c r="AC66" s="100"/>
      <c r="AD66" s="143"/>
      <c r="AE66" s="155">
        <v>45687</v>
      </c>
      <c r="AF66" s="156">
        <v>45703</v>
      </c>
      <c r="AG66" s="160">
        <f t="shared" si="12"/>
        <v>16</v>
      </c>
    </row>
    <row r="67" spans="1:33" s="65" customFormat="1" ht="14.95" customHeight="1" x14ac:dyDescent="0.25">
      <c r="A67" s="193">
        <v>14</v>
      </c>
      <c r="B67" s="193" t="s">
        <v>12</v>
      </c>
      <c r="C67" s="22" t="s">
        <v>55</v>
      </c>
      <c r="D67" s="100"/>
      <c r="E67" s="100"/>
      <c r="F67" s="100"/>
      <c r="G67" s="100"/>
      <c r="H67" s="100"/>
      <c r="I67" s="100"/>
      <c r="J67" s="100"/>
      <c r="K67" s="100"/>
      <c r="L67" s="144"/>
      <c r="M67" s="144"/>
      <c r="N67" s="100"/>
      <c r="O67" s="100"/>
      <c r="P67" s="100"/>
      <c r="Q67" s="100"/>
      <c r="R67" s="100"/>
      <c r="S67" s="100"/>
      <c r="T67" s="100"/>
      <c r="U67" s="107"/>
      <c r="V67" s="123"/>
      <c r="AA67" s="100"/>
      <c r="AB67" s="100"/>
      <c r="AC67" s="100"/>
      <c r="AD67" s="143"/>
      <c r="AE67" s="155">
        <v>45627</v>
      </c>
      <c r="AF67" s="156">
        <v>45631</v>
      </c>
      <c r="AG67" s="160">
        <f t="shared" si="12"/>
        <v>4</v>
      </c>
    </row>
    <row r="68" spans="1:33" s="65" customFormat="1" ht="14.95" customHeight="1" x14ac:dyDescent="0.25">
      <c r="A68" s="194"/>
      <c r="B68" s="194"/>
      <c r="C68" s="22" t="s">
        <v>171</v>
      </c>
      <c r="D68" s="100"/>
      <c r="E68" s="100"/>
      <c r="F68" s="100"/>
      <c r="G68" s="100"/>
      <c r="H68" s="100"/>
      <c r="I68" s="100"/>
      <c r="J68" s="100"/>
      <c r="K68" s="100"/>
      <c r="L68" s="107"/>
      <c r="M68" s="102"/>
      <c r="N68" s="102"/>
      <c r="O68" s="144"/>
      <c r="P68" s="144"/>
      <c r="Q68" s="144"/>
      <c r="R68" s="100"/>
      <c r="S68" s="100"/>
      <c r="T68" s="100"/>
      <c r="U68" s="107"/>
      <c r="V68" s="123"/>
      <c r="W68" s="100"/>
      <c r="X68" s="100"/>
      <c r="Y68" s="100"/>
      <c r="Z68" s="100"/>
      <c r="AA68" s="100"/>
      <c r="AB68" s="100"/>
      <c r="AC68" s="100"/>
      <c r="AD68" s="143"/>
      <c r="AE68" s="155">
        <v>45641</v>
      </c>
      <c r="AF68" s="156">
        <v>45657</v>
      </c>
      <c r="AG68" s="160">
        <f t="shared" si="12"/>
        <v>16</v>
      </c>
    </row>
    <row r="69" spans="1:33" s="65" customFormat="1" ht="14.95" customHeight="1" x14ac:dyDescent="0.25">
      <c r="A69" s="194"/>
      <c r="B69" s="194"/>
      <c r="C69" s="22" t="s">
        <v>172</v>
      </c>
      <c r="D69" s="100"/>
      <c r="E69" s="100"/>
      <c r="F69" s="100"/>
      <c r="G69" s="100"/>
      <c r="H69" s="100"/>
      <c r="I69" s="100"/>
      <c r="J69" s="100"/>
      <c r="K69" s="100"/>
      <c r="L69" s="107"/>
      <c r="M69" s="102"/>
      <c r="N69" s="144"/>
      <c r="O69" s="100"/>
      <c r="P69" s="100"/>
      <c r="Q69" s="100"/>
      <c r="R69" s="100"/>
      <c r="S69" s="100"/>
      <c r="T69" s="100"/>
      <c r="U69" s="107"/>
      <c r="V69" s="123"/>
      <c r="W69" s="100"/>
      <c r="X69" s="100"/>
      <c r="Y69" s="100"/>
      <c r="Z69" s="100"/>
      <c r="AA69" s="100"/>
      <c r="AB69" s="100"/>
      <c r="AC69" s="100"/>
      <c r="AD69" s="143"/>
      <c r="AE69" s="155">
        <v>45636</v>
      </c>
      <c r="AF69" s="156">
        <v>45641</v>
      </c>
      <c r="AG69" s="160">
        <f t="shared" si="12"/>
        <v>5</v>
      </c>
    </row>
    <row r="70" spans="1:33" s="65" customFormat="1" ht="14.95" customHeight="1" x14ac:dyDescent="0.25">
      <c r="A70" s="194"/>
      <c r="B70" s="194"/>
      <c r="C70" s="22" t="s">
        <v>174</v>
      </c>
      <c r="D70" s="100"/>
      <c r="E70" s="100"/>
      <c r="F70" s="100"/>
      <c r="G70" s="100"/>
      <c r="H70" s="100"/>
      <c r="I70" s="100"/>
      <c r="J70" s="100"/>
      <c r="K70" s="100"/>
      <c r="L70" s="107"/>
      <c r="M70" s="102"/>
      <c r="N70" s="144"/>
      <c r="O70" s="144"/>
      <c r="P70" s="144"/>
      <c r="Q70" s="144"/>
      <c r="R70" s="100"/>
      <c r="S70" s="100"/>
      <c r="T70" s="100"/>
      <c r="U70" s="107"/>
      <c r="V70" s="123"/>
      <c r="W70" s="100"/>
      <c r="X70" s="100"/>
      <c r="Y70" s="100"/>
      <c r="Z70" s="100"/>
      <c r="AA70" s="100"/>
      <c r="AB70" s="100"/>
      <c r="AC70" s="100"/>
      <c r="AD70" s="143"/>
      <c r="AE70" s="155">
        <v>45641</v>
      </c>
      <c r="AF70" s="156">
        <v>45646</v>
      </c>
      <c r="AG70" s="160">
        <f t="shared" si="12"/>
        <v>5</v>
      </c>
    </row>
    <row r="71" spans="1:33" s="65" customFormat="1" ht="14.95" customHeight="1" x14ac:dyDescent="0.25">
      <c r="A71" s="194"/>
      <c r="B71" s="194"/>
      <c r="C71" s="22" t="s">
        <v>173</v>
      </c>
      <c r="D71" s="100"/>
      <c r="E71" s="100"/>
      <c r="F71" s="100"/>
      <c r="G71" s="100"/>
      <c r="H71" s="100"/>
      <c r="I71" s="100"/>
      <c r="J71" s="100"/>
      <c r="K71" s="100"/>
      <c r="L71" s="107"/>
      <c r="O71" s="100"/>
      <c r="P71" s="100"/>
      <c r="Q71" s="144"/>
      <c r="R71" s="100"/>
      <c r="S71" s="100"/>
      <c r="T71" s="100"/>
      <c r="U71" s="107"/>
      <c r="V71" s="123"/>
      <c r="W71" s="100"/>
      <c r="X71" s="100"/>
      <c r="Y71" s="100"/>
      <c r="Z71" s="100"/>
      <c r="AA71" s="100"/>
      <c r="AB71" s="100"/>
      <c r="AC71" s="100"/>
      <c r="AD71" s="143"/>
      <c r="AE71" s="155">
        <v>45646</v>
      </c>
      <c r="AF71" s="156">
        <v>45657</v>
      </c>
      <c r="AG71" s="160">
        <f t="shared" si="12"/>
        <v>11</v>
      </c>
    </row>
    <row r="72" spans="1:33" s="65" customFormat="1" ht="14.95" customHeight="1" x14ac:dyDescent="0.25">
      <c r="A72" s="194"/>
      <c r="B72" s="194"/>
      <c r="C72" s="22" t="s">
        <v>175</v>
      </c>
      <c r="D72" s="100"/>
      <c r="E72" s="100"/>
      <c r="F72" s="100"/>
      <c r="G72" s="100"/>
      <c r="H72" s="100"/>
      <c r="I72" s="100"/>
      <c r="J72" s="100"/>
      <c r="K72" s="100"/>
      <c r="L72" s="107"/>
      <c r="M72" s="102"/>
      <c r="N72" s="144"/>
      <c r="O72" s="144"/>
      <c r="P72" s="144"/>
      <c r="Q72" s="100"/>
      <c r="R72" s="100"/>
      <c r="S72" s="100"/>
      <c r="T72" s="100"/>
      <c r="U72" s="107"/>
      <c r="V72" s="123"/>
      <c r="W72" s="100"/>
      <c r="X72" s="100"/>
      <c r="Y72" s="100"/>
      <c r="Z72" s="100"/>
      <c r="AA72" s="100"/>
      <c r="AB72" s="100"/>
      <c r="AC72" s="100"/>
      <c r="AD72" s="143"/>
      <c r="AE72" s="155">
        <v>45641</v>
      </c>
      <c r="AF72" s="156">
        <v>45644</v>
      </c>
      <c r="AG72" s="160">
        <f t="shared" si="12"/>
        <v>3</v>
      </c>
    </row>
    <row r="73" spans="1:33" s="65" customFormat="1" ht="14.95" customHeight="1" x14ac:dyDescent="0.25">
      <c r="A73" s="194"/>
      <c r="B73" s="194"/>
      <c r="C73" s="22" t="s">
        <v>176</v>
      </c>
      <c r="D73" s="100"/>
      <c r="E73" s="100"/>
      <c r="F73" s="100"/>
      <c r="G73" s="100"/>
      <c r="H73" s="100"/>
      <c r="I73" s="100"/>
      <c r="J73" s="100"/>
      <c r="K73" s="100"/>
      <c r="L73" s="107"/>
      <c r="M73" s="102"/>
      <c r="N73" s="100"/>
      <c r="O73" s="100"/>
      <c r="P73" s="144"/>
      <c r="Q73" s="100"/>
      <c r="R73" s="100"/>
      <c r="S73" s="100"/>
      <c r="T73" s="100"/>
      <c r="U73" s="107"/>
      <c r="V73" s="123"/>
      <c r="W73" s="100"/>
      <c r="X73" s="100"/>
      <c r="Y73" s="100"/>
      <c r="Z73" s="100"/>
      <c r="AA73" s="100"/>
      <c r="AB73" s="100"/>
      <c r="AC73" s="100"/>
      <c r="AD73" s="143"/>
      <c r="AE73" s="155">
        <v>45644</v>
      </c>
      <c r="AF73" s="156">
        <v>45646</v>
      </c>
      <c r="AG73" s="160">
        <f t="shared" si="12"/>
        <v>2</v>
      </c>
    </row>
    <row r="74" spans="1:33" s="65" customFormat="1" ht="14.95" customHeight="1" x14ac:dyDescent="0.25">
      <c r="A74" s="195"/>
      <c r="B74" s="195"/>
      <c r="C74" s="22" t="s">
        <v>56</v>
      </c>
      <c r="D74" s="100"/>
      <c r="E74" s="100"/>
      <c r="F74" s="100"/>
      <c r="G74" s="100"/>
      <c r="H74" s="100"/>
      <c r="I74" s="100"/>
      <c r="J74" s="100"/>
      <c r="K74" s="100"/>
      <c r="L74" s="107"/>
      <c r="M74" s="102"/>
      <c r="N74" s="100"/>
      <c r="O74" s="100"/>
      <c r="P74" s="144"/>
      <c r="Q74" s="144"/>
      <c r="R74" s="100"/>
      <c r="S74" s="100"/>
      <c r="T74" s="100"/>
      <c r="U74" s="107"/>
      <c r="V74" s="123"/>
      <c r="W74" s="100"/>
      <c r="X74" s="100"/>
      <c r="Y74" s="100"/>
      <c r="Z74" s="100"/>
      <c r="AA74" s="100"/>
      <c r="AB74" s="100"/>
      <c r="AC74" s="100"/>
      <c r="AD74" s="143"/>
      <c r="AE74" s="155">
        <v>45646</v>
      </c>
      <c r="AF74" s="156">
        <v>45656</v>
      </c>
      <c r="AG74" s="160">
        <f t="shared" si="12"/>
        <v>10</v>
      </c>
    </row>
    <row r="75" spans="1:33" s="65" customFormat="1" ht="14.95" customHeight="1" x14ac:dyDescent="0.25">
      <c r="A75" s="193">
        <v>15</v>
      </c>
      <c r="B75" s="186" t="s">
        <v>57</v>
      </c>
      <c r="C75" s="65" t="s">
        <v>112</v>
      </c>
      <c r="D75" s="100"/>
      <c r="E75" s="100"/>
      <c r="F75" s="100"/>
      <c r="G75" s="100"/>
      <c r="H75" s="100"/>
      <c r="I75" s="100"/>
      <c r="J75" s="100"/>
      <c r="K75" s="100"/>
      <c r="L75" s="107"/>
      <c r="M75" s="144"/>
      <c r="N75" s="100"/>
      <c r="O75" s="100"/>
      <c r="P75" s="100"/>
      <c r="R75" s="100"/>
      <c r="S75" s="100"/>
      <c r="T75" s="100"/>
      <c r="U75" s="107"/>
      <c r="V75" s="123"/>
      <c r="W75" s="100"/>
      <c r="X75" s="100"/>
      <c r="Y75" s="100"/>
      <c r="Z75" s="100"/>
      <c r="AA75" s="100"/>
      <c r="AB75" s="100"/>
      <c r="AC75" s="100"/>
      <c r="AD75" s="143"/>
      <c r="AE75" s="89"/>
      <c r="AF75" s="156">
        <v>45580</v>
      </c>
      <c r="AG75" s="160">
        <v>0</v>
      </c>
    </row>
    <row r="76" spans="1:33" s="65" customFormat="1" ht="14.95" customHeight="1" x14ac:dyDescent="0.25">
      <c r="A76" s="194"/>
      <c r="B76" s="188"/>
      <c r="C76" s="22" t="s">
        <v>139</v>
      </c>
      <c r="D76" s="144"/>
      <c r="E76" s="144"/>
      <c r="F76" s="144"/>
      <c r="G76" s="100"/>
      <c r="H76" s="100"/>
      <c r="I76" s="100"/>
      <c r="J76" s="100"/>
      <c r="K76" s="100"/>
      <c r="L76" s="107"/>
      <c r="M76" s="144"/>
      <c r="N76" s="100"/>
      <c r="O76" s="100"/>
      <c r="P76" s="100"/>
      <c r="Q76" s="100"/>
      <c r="R76" s="100"/>
      <c r="S76" s="100"/>
      <c r="T76" s="100"/>
      <c r="U76" s="107"/>
      <c r="V76" s="123"/>
      <c r="W76" s="100"/>
      <c r="X76" s="100"/>
      <c r="Y76" s="100"/>
      <c r="Z76" s="100"/>
      <c r="AA76" s="100"/>
      <c r="AB76" s="100"/>
      <c r="AC76" s="100"/>
      <c r="AD76" s="143"/>
      <c r="AE76" s="155">
        <v>45580</v>
      </c>
      <c r="AF76" s="156">
        <v>45595</v>
      </c>
      <c r="AG76" s="160">
        <f>AF76-AE76</f>
        <v>15</v>
      </c>
    </row>
    <row r="77" spans="1:33" s="65" customFormat="1" ht="14.95" customHeight="1" x14ac:dyDescent="0.25">
      <c r="A77" s="194"/>
      <c r="B77" s="188"/>
      <c r="C77" s="22" t="s">
        <v>140</v>
      </c>
      <c r="D77" s="100"/>
      <c r="E77" s="100"/>
      <c r="F77" s="144"/>
      <c r="G77" s="144"/>
      <c r="H77" s="144"/>
      <c r="I77" s="144"/>
      <c r="J77" s="100"/>
      <c r="K77" s="100"/>
      <c r="L77" s="107"/>
      <c r="M77" s="102"/>
      <c r="N77" s="100"/>
      <c r="O77" s="100"/>
      <c r="P77" s="100"/>
      <c r="Q77" s="100"/>
      <c r="R77" s="100"/>
      <c r="S77" s="100"/>
      <c r="T77" s="100"/>
      <c r="U77" s="107"/>
      <c r="V77" s="123"/>
      <c r="W77" s="100"/>
      <c r="X77" s="100"/>
      <c r="Y77" s="100"/>
      <c r="Z77" s="100"/>
      <c r="AA77" s="100"/>
      <c r="AB77" s="100"/>
      <c r="AC77" s="100"/>
      <c r="AD77" s="143"/>
      <c r="AE77" s="155">
        <v>45595</v>
      </c>
      <c r="AF77" s="156">
        <v>45611</v>
      </c>
      <c r="AG77" s="160">
        <f t="shared" ref="AG77:AG98" si="13">AF77-AE77</f>
        <v>16</v>
      </c>
    </row>
    <row r="78" spans="1:33" s="65" customFormat="1" ht="14.95" customHeight="1" x14ac:dyDescent="0.25">
      <c r="A78" s="194"/>
      <c r="B78" s="188"/>
      <c r="C78" s="22" t="s">
        <v>141</v>
      </c>
      <c r="D78" s="100"/>
      <c r="E78" s="100"/>
      <c r="F78" s="100"/>
      <c r="G78" s="100"/>
      <c r="H78" s="100"/>
      <c r="I78" s="144"/>
      <c r="J78" s="144"/>
      <c r="K78" s="144"/>
      <c r="L78" s="107"/>
      <c r="M78" s="102"/>
      <c r="N78" s="100"/>
      <c r="O78" s="100"/>
      <c r="P78" s="100"/>
      <c r="Q78" s="100"/>
      <c r="R78" s="100"/>
      <c r="S78" s="100"/>
      <c r="T78" s="100"/>
      <c r="U78" s="107"/>
      <c r="V78" s="123"/>
      <c r="W78" s="100"/>
      <c r="X78" s="100"/>
      <c r="Y78" s="100"/>
      <c r="Z78" s="100"/>
      <c r="AA78" s="100"/>
      <c r="AB78" s="100"/>
      <c r="AC78" s="100"/>
      <c r="AD78" s="143"/>
      <c r="AE78" s="155">
        <v>45611</v>
      </c>
      <c r="AF78" s="156">
        <v>45626</v>
      </c>
      <c r="AG78" s="160">
        <f t="shared" si="13"/>
        <v>15</v>
      </c>
    </row>
    <row r="79" spans="1:33" s="65" customFormat="1" ht="14.95" customHeight="1" x14ac:dyDescent="0.25">
      <c r="A79" s="194"/>
      <c r="B79" s="188"/>
      <c r="C79" s="22" t="s">
        <v>142</v>
      </c>
      <c r="D79" s="100"/>
      <c r="E79" s="100"/>
      <c r="F79" s="100"/>
      <c r="G79" s="100"/>
      <c r="H79" s="100"/>
      <c r="I79" s="100"/>
      <c r="J79" s="144"/>
      <c r="K79" s="144"/>
      <c r="L79" s="107"/>
      <c r="M79" s="102"/>
      <c r="N79" s="100"/>
      <c r="O79" s="100"/>
      <c r="P79" s="100"/>
      <c r="Q79" s="100"/>
      <c r="R79" s="100"/>
      <c r="S79" s="100"/>
      <c r="T79" s="100"/>
      <c r="U79" s="107"/>
      <c r="V79" s="123"/>
      <c r="W79" s="100"/>
      <c r="X79" s="100"/>
      <c r="Y79" s="100"/>
      <c r="Z79" s="100"/>
      <c r="AA79" s="100"/>
      <c r="AB79" s="100"/>
      <c r="AC79" s="100"/>
      <c r="AD79" s="143"/>
      <c r="AE79" s="155">
        <v>45621</v>
      </c>
      <c r="AF79" s="156">
        <v>45626</v>
      </c>
      <c r="AG79" s="160">
        <f t="shared" si="13"/>
        <v>5</v>
      </c>
    </row>
    <row r="80" spans="1:33" s="65" customFormat="1" ht="14.95" customHeight="1" x14ac:dyDescent="0.25">
      <c r="A80" s="194"/>
      <c r="B80" s="188"/>
      <c r="C80" s="22" t="s">
        <v>58</v>
      </c>
      <c r="D80" s="100"/>
      <c r="E80" s="100"/>
      <c r="F80" s="100"/>
      <c r="G80" s="100"/>
      <c r="H80" s="100"/>
      <c r="I80" s="100"/>
      <c r="J80" s="100"/>
      <c r="K80" s="144"/>
      <c r="L80" s="144"/>
      <c r="M80" s="144"/>
      <c r="N80" s="144"/>
      <c r="O80" s="144"/>
      <c r="P80" s="144"/>
      <c r="Q80" s="144"/>
      <c r="R80" s="144"/>
      <c r="S80" s="100"/>
      <c r="T80" s="100"/>
      <c r="U80" s="107"/>
      <c r="V80" s="123"/>
      <c r="W80" s="100"/>
      <c r="X80" s="100"/>
      <c r="Y80" s="100"/>
      <c r="Z80" s="100"/>
      <c r="AA80" s="100"/>
      <c r="AB80" s="100"/>
      <c r="AC80" s="100"/>
      <c r="AD80" s="143"/>
      <c r="AE80" s="155">
        <v>45626</v>
      </c>
      <c r="AF80" s="156">
        <v>45672</v>
      </c>
      <c r="AG80" s="160">
        <f t="shared" si="13"/>
        <v>46</v>
      </c>
    </row>
    <row r="81" spans="1:33" s="65" customFormat="1" ht="14.95" customHeight="1" x14ac:dyDescent="0.25">
      <c r="A81" s="194"/>
      <c r="B81" s="188"/>
      <c r="C81" s="22" t="s">
        <v>143</v>
      </c>
      <c r="D81" s="100"/>
      <c r="E81" s="100"/>
      <c r="F81" s="100"/>
      <c r="G81" s="100"/>
      <c r="H81" s="100"/>
      <c r="I81" s="100"/>
      <c r="J81" s="100"/>
      <c r="K81" s="100"/>
      <c r="L81" s="107"/>
      <c r="M81" s="102"/>
      <c r="N81" s="100"/>
      <c r="O81" s="100"/>
      <c r="P81" s="100"/>
      <c r="Q81" s="144"/>
      <c r="R81" s="144"/>
      <c r="S81" s="144"/>
      <c r="T81" s="144"/>
      <c r="U81" s="107"/>
      <c r="V81" s="123"/>
      <c r="W81" s="100"/>
      <c r="X81" s="100"/>
      <c r="Y81" s="100"/>
      <c r="Z81" s="100"/>
      <c r="AA81" s="100"/>
      <c r="AB81" s="100"/>
      <c r="AC81" s="100"/>
      <c r="AD81" s="143"/>
      <c r="AE81" s="155">
        <v>45658</v>
      </c>
      <c r="AF81" s="156">
        <v>45672</v>
      </c>
      <c r="AG81" s="160">
        <f t="shared" si="13"/>
        <v>14</v>
      </c>
    </row>
    <row r="82" spans="1:33" s="65" customFormat="1" ht="14.95" customHeight="1" x14ac:dyDescent="0.25">
      <c r="A82" s="194"/>
      <c r="B82" s="188"/>
      <c r="C82" s="22" t="s">
        <v>144</v>
      </c>
      <c r="D82" s="100"/>
      <c r="E82" s="100"/>
      <c r="F82" s="100"/>
      <c r="G82" s="100"/>
      <c r="H82" s="100"/>
      <c r="I82" s="100"/>
      <c r="J82" s="100"/>
      <c r="K82" s="100"/>
      <c r="L82" s="107"/>
      <c r="M82" s="102"/>
      <c r="N82" s="100"/>
      <c r="O82" s="100"/>
      <c r="P82" s="100"/>
      <c r="Q82" s="144"/>
      <c r="R82" s="144"/>
      <c r="S82" s="144"/>
      <c r="T82" s="144"/>
      <c r="U82" s="107"/>
      <c r="V82" s="123"/>
      <c r="W82" s="100"/>
      <c r="X82" s="100"/>
      <c r="Y82" s="100"/>
      <c r="Z82" s="100"/>
      <c r="AA82" s="100"/>
      <c r="AB82" s="100"/>
      <c r="AC82" s="100"/>
      <c r="AD82" s="143"/>
      <c r="AE82" s="155">
        <v>45658</v>
      </c>
      <c r="AF82" s="156">
        <v>45672</v>
      </c>
      <c r="AG82" s="160">
        <f t="shared" si="13"/>
        <v>14</v>
      </c>
    </row>
    <row r="83" spans="1:33" s="65" customFormat="1" ht="14.95" customHeight="1" x14ac:dyDescent="0.25">
      <c r="A83" s="194"/>
      <c r="B83" s="188"/>
      <c r="C83" s="65" t="s">
        <v>145</v>
      </c>
      <c r="D83" s="100"/>
      <c r="E83" s="100"/>
      <c r="F83" s="100"/>
      <c r="G83" s="100"/>
      <c r="H83" s="100"/>
      <c r="I83" s="100"/>
      <c r="J83" s="100"/>
      <c r="K83" s="100"/>
      <c r="L83" s="107"/>
      <c r="M83" s="102"/>
      <c r="N83" s="100"/>
      <c r="O83" s="100"/>
      <c r="P83" s="100"/>
      <c r="Q83" s="100"/>
      <c r="R83" s="100"/>
      <c r="S83" s="100"/>
      <c r="T83" s="144"/>
      <c r="U83" s="144"/>
      <c r="V83" s="144"/>
      <c r="W83" s="144"/>
      <c r="X83" s="144"/>
      <c r="Y83" s="100"/>
      <c r="Z83" s="100"/>
      <c r="AA83" s="100"/>
      <c r="AB83" s="100"/>
      <c r="AC83" s="100"/>
      <c r="AD83" s="143"/>
      <c r="AE83" s="155">
        <v>45672</v>
      </c>
      <c r="AF83" s="156">
        <v>45688</v>
      </c>
      <c r="AG83" s="160">
        <f t="shared" si="13"/>
        <v>16</v>
      </c>
    </row>
    <row r="84" spans="1:33" s="65" customFormat="1" ht="14.95" customHeight="1" x14ac:dyDescent="0.25">
      <c r="A84" s="194"/>
      <c r="B84" s="188"/>
      <c r="C84" s="65" t="s">
        <v>13</v>
      </c>
      <c r="D84" s="100"/>
      <c r="E84" s="100"/>
      <c r="F84" s="100"/>
      <c r="G84" s="100"/>
      <c r="H84" s="100"/>
      <c r="I84" s="100"/>
      <c r="J84" s="100"/>
      <c r="K84" s="100"/>
      <c r="L84" s="107"/>
      <c r="M84" s="102"/>
      <c r="N84" s="100"/>
      <c r="O84" s="100"/>
      <c r="P84" s="100"/>
      <c r="Q84" s="100"/>
      <c r="R84" s="100"/>
      <c r="S84" s="100"/>
      <c r="T84" s="144"/>
      <c r="U84" s="157"/>
      <c r="V84" s="164"/>
      <c r="W84" s="144"/>
      <c r="X84" s="100"/>
      <c r="Y84" s="100"/>
      <c r="Z84" s="100"/>
      <c r="AA84" s="100"/>
      <c r="AB84" s="100"/>
      <c r="AC84" s="100"/>
      <c r="AD84" s="143"/>
      <c r="AE84" s="155">
        <v>45672</v>
      </c>
      <c r="AF84" s="156">
        <v>45689</v>
      </c>
      <c r="AG84" s="160">
        <f t="shared" si="13"/>
        <v>17</v>
      </c>
    </row>
    <row r="85" spans="1:33" s="65" customFormat="1" ht="14.95" customHeight="1" x14ac:dyDescent="0.25">
      <c r="A85" s="194"/>
      <c r="B85" s="188"/>
      <c r="C85" s="65" t="s">
        <v>146</v>
      </c>
      <c r="D85" s="100"/>
      <c r="E85" s="100"/>
      <c r="F85" s="100"/>
      <c r="G85" s="100"/>
      <c r="H85" s="100"/>
      <c r="I85" s="100"/>
      <c r="J85" s="100"/>
      <c r="K85" s="100"/>
      <c r="L85" s="107"/>
      <c r="M85" s="102"/>
      <c r="N85" s="100"/>
      <c r="O85" s="100"/>
      <c r="P85" s="100"/>
      <c r="Q85" s="100"/>
      <c r="R85" s="144"/>
      <c r="S85" s="144"/>
      <c r="T85" s="144"/>
      <c r="U85" s="157"/>
      <c r="V85" s="164"/>
      <c r="W85" s="144"/>
      <c r="X85" s="144"/>
      <c r="Y85" s="144"/>
      <c r="Z85" s="144"/>
      <c r="AA85" s="100"/>
      <c r="AB85" s="100"/>
      <c r="AC85" s="100"/>
      <c r="AD85" s="143"/>
      <c r="AE85" s="155">
        <v>45658</v>
      </c>
      <c r="AF85" s="156">
        <v>45703</v>
      </c>
      <c r="AG85" s="160">
        <f t="shared" si="13"/>
        <v>45</v>
      </c>
    </row>
    <row r="86" spans="1:33" s="65" customFormat="1" ht="14.95" customHeight="1" x14ac:dyDescent="0.25">
      <c r="A86" s="195"/>
      <c r="B86" s="187"/>
      <c r="C86" s="65" t="s">
        <v>147</v>
      </c>
      <c r="D86" s="100"/>
      <c r="E86" s="100"/>
      <c r="F86" s="100"/>
      <c r="G86" s="100"/>
      <c r="H86" s="100"/>
      <c r="I86" s="100"/>
      <c r="J86" s="100"/>
      <c r="K86" s="100"/>
      <c r="L86" s="107"/>
      <c r="M86" s="102"/>
      <c r="N86" s="100"/>
      <c r="O86" s="100"/>
      <c r="P86" s="100"/>
      <c r="Q86" s="100"/>
      <c r="R86" s="100"/>
      <c r="S86" s="100"/>
      <c r="T86" s="100"/>
      <c r="U86" s="157"/>
      <c r="V86" s="164"/>
      <c r="W86" s="144"/>
      <c r="X86" s="144"/>
      <c r="Y86" s="144"/>
      <c r="Z86" s="144"/>
      <c r="AA86" s="100"/>
      <c r="AB86" s="100"/>
      <c r="AC86" s="100"/>
      <c r="AD86" s="143"/>
      <c r="AE86" s="155">
        <v>45672</v>
      </c>
      <c r="AF86" s="156">
        <v>45703</v>
      </c>
      <c r="AG86" s="160">
        <f t="shared" si="13"/>
        <v>31</v>
      </c>
    </row>
    <row r="87" spans="1:33" s="65" customFormat="1" ht="20.05" customHeight="1" x14ac:dyDescent="0.25">
      <c r="A87" s="193">
        <v>16</v>
      </c>
      <c r="B87" s="186" t="s">
        <v>134</v>
      </c>
      <c r="C87" s="22" t="s">
        <v>59</v>
      </c>
      <c r="D87" s="144"/>
      <c r="E87" s="144"/>
      <c r="F87" s="144"/>
      <c r="G87" s="100"/>
      <c r="H87" s="100"/>
      <c r="I87" s="100"/>
      <c r="J87" s="100"/>
      <c r="K87" s="100"/>
      <c r="L87" s="107"/>
      <c r="M87" s="102"/>
      <c r="N87" s="100"/>
      <c r="O87" s="100"/>
      <c r="P87" s="100"/>
      <c r="Q87" s="100"/>
      <c r="R87" s="100"/>
      <c r="S87" s="100"/>
      <c r="T87" s="100"/>
      <c r="U87" s="107"/>
      <c r="V87" s="123"/>
      <c r="W87" s="100"/>
      <c r="X87" s="100"/>
      <c r="Y87" s="100"/>
      <c r="Z87" s="100"/>
      <c r="AA87" s="100"/>
      <c r="AB87" s="100"/>
      <c r="AC87" s="100"/>
      <c r="AD87" s="143"/>
      <c r="AE87" s="155">
        <v>45580</v>
      </c>
      <c r="AF87" s="156">
        <v>45595</v>
      </c>
      <c r="AG87" s="160">
        <f t="shared" si="13"/>
        <v>15</v>
      </c>
    </row>
    <row r="88" spans="1:33" s="65" customFormat="1" ht="20.05" customHeight="1" x14ac:dyDescent="0.25">
      <c r="A88" s="194"/>
      <c r="B88" s="188"/>
      <c r="C88" s="22" t="s">
        <v>135</v>
      </c>
      <c r="D88" s="144"/>
      <c r="E88" s="144"/>
      <c r="F88" s="144"/>
      <c r="G88" s="144"/>
      <c r="H88" s="144"/>
      <c r="I88" s="144"/>
      <c r="J88" s="100"/>
      <c r="K88" s="100"/>
      <c r="L88" s="107"/>
      <c r="M88" s="102"/>
      <c r="N88" s="100"/>
      <c r="O88" s="100"/>
      <c r="P88" s="100"/>
      <c r="Q88" s="100"/>
      <c r="R88" s="100"/>
      <c r="S88" s="100"/>
      <c r="T88" s="100"/>
      <c r="U88" s="143"/>
      <c r="V88" s="102"/>
      <c r="W88" s="100"/>
      <c r="X88" s="100"/>
      <c r="Y88" s="100"/>
      <c r="Z88" s="100"/>
      <c r="AA88" s="100"/>
      <c r="AB88" s="100"/>
      <c r="AC88" s="100"/>
      <c r="AD88" s="143"/>
      <c r="AE88" s="155">
        <v>45580</v>
      </c>
      <c r="AF88" s="156">
        <v>45611</v>
      </c>
      <c r="AG88" s="160">
        <f t="shared" si="13"/>
        <v>31</v>
      </c>
    </row>
    <row r="89" spans="1:33" s="65" customFormat="1" x14ac:dyDescent="0.25">
      <c r="A89" s="194"/>
      <c r="B89" s="188"/>
      <c r="C89" s="94" t="s">
        <v>43</v>
      </c>
      <c r="D89" s="100"/>
      <c r="E89" s="100"/>
      <c r="F89" s="100"/>
      <c r="G89" s="100"/>
      <c r="H89" s="100"/>
      <c r="I89" s="144"/>
      <c r="J89" s="144"/>
      <c r="K89" s="144"/>
      <c r="L89" s="144"/>
      <c r="M89" s="144"/>
      <c r="N89" s="144"/>
      <c r="O89" s="144"/>
      <c r="P89" s="144"/>
      <c r="Q89" s="144"/>
      <c r="R89" s="100"/>
      <c r="S89" s="100"/>
      <c r="T89" s="100"/>
      <c r="U89" s="143"/>
      <c r="V89" s="102"/>
      <c r="W89" s="100"/>
      <c r="X89" s="100"/>
      <c r="Y89" s="100"/>
      <c r="Z89" s="100"/>
      <c r="AA89" s="100"/>
      <c r="AB89" s="100"/>
      <c r="AC89" s="100"/>
      <c r="AD89" s="143"/>
      <c r="AE89" s="155">
        <v>45611</v>
      </c>
      <c r="AF89" s="156">
        <v>45656</v>
      </c>
      <c r="AG89" s="160">
        <f t="shared" si="13"/>
        <v>45</v>
      </c>
    </row>
    <row r="90" spans="1:33" s="65" customFormat="1" ht="14.95" customHeight="1" x14ac:dyDescent="0.25">
      <c r="A90" s="194"/>
      <c r="B90" s="188"/>
      <c r="C90" s="22" t="s">
        <v>60</v>
      </c>
      <c r="D90" s="100"/>
      <c r="E90" s="100"/>
      <c r="F90" s="100"/>
      <c r="G90" s="100"/>
      <c r="H90" s="100"/>
      <c r="I90" s="100"/>
      <c r="J90" s="100"/>
      <c r="K90" s="100"/>
      <c r="L90" s="107"/>
      <c r="M90" s="102"/>
      <c r="N90" s="100"/>
      <c r="O90" s="100"/>
      <c r="P90" s="100"/>
      <c r="Q90" s="100"/>
      <c r="R90" s="100"/>
      <c r="S90" s="100"/>
      <c r="T90" s="100"/>
      <c r="U90" s="144"/>
      <c r="V90" s="144"/>
      <c r="W90" s="144"/>
      <c r="X90" s="100"/>
      <c r="Y90" s="100"/>
      <c r="Z90" s="100"/>
      <c r="AA90" s="100"/>
      <c r="AB90" s="100"/>
      <c r="AC90" s="100"/>
      <c r="AD90" s="143"/>
      <c r="AE90" s="155">
        <v>45672</v>
      </c>
      <c r="AF90" s="156">
        <v>45687</v>
      </c>
      <c r="AG90" s="160">
        <f t="shared" si="13"/>
        <v>15</v>
      </c>
    </row>
    <row r="91" spans="1:33" s="65" customFormat="1" ht="14.95" customHeight="1" x14ac:dyDescent="0.25">
      <c r="A91" s="195"/>
      <c r="B91" s="187"/>
      <c r="C91" s="22" t="s">
        <v>61</v>
      </c>
      <c r="D91" s="100"/>
      <c r="E91" s="100"/>
      <c r="F91" s="100"/>
      <c r="G91" s="100"/>
      <c r="H91" s="100"/>
      <c r="I91" s="100"/>
      <c r="J91" s="100"/>
      <c r="K91" s="100"/>
      <c r="L91" s="107"/>
      <c r="M91" s="102"/>
      <c r="N91" s="100"/>
      <c r="O91" s="100"/>
      <c r="P91" s="100"/>
      <c r="Q91" s="100"/>
      <c r="R91" s="100"/>
      <c r="S91" s="100"/>
      <c r="T91" s="100"/>
      <c r="U91" s="107"/>
      <c r="V91" s="123"/>
      <c r="W91" s="100"/>
      <c r="X91" s="100"/>
      <c r="Y91" s="100"/>
      <c r="Z91" s="144"/>
      <c r="AA91" s="100"/>
      <c r="AB91" s="100"/>
      <c r="AC91" s="100"/>
      <c r="AD91" s="143"/>
      <c r="AE91" s="155">
        <v>45698</v>
      </c>
      <c r="AF91" s="156">
        <v>45703</v>
      </c>
      <c r="AG91" s="160">
        <f t="shared" si="13"/>
        <v>5</v>
      </c>
    </row>
    <row r="92" spans="1:33" s="65" customFormat="1" ht="14.95" customHeight="1" x14ac:dyDescent="0.25">
      <c r="A92" s="193">
        <v>17</v>
      </c>
      <c r="B92" s="186" t="s">
        <v>62</v>
      </c>
      <c r="C92" s="22" t="s">
        <v>63</v>
      </c>
      <c r="D92" s="144"/>
      <c r="E92" s="144"/>
      <c r="F92" s="144"/>
      <c r="G92" s="100"/>
      <c r="H92" s="100"/>
      <c r="I92" s="100"/>
      <c r="J92" s="100"/>
      <c r="K92" s="100"/>
      <c r="L92" s="107"/>
      <c r="M92" s="102"/>
      <c r="N92" s="100"/>
      <c r="O92" s="100"/>
      <c r="P92" s="100"/>
      <c r="Q92" s="100"/>
      <c r="R92" s="100"/>
      <c r="S92" s="100"/>
      <c r="T92" s="100"/>
      <c r="U92" s="107"/>
      <c r="V92" s="123"/>
      <c r="W92" s="100"/>
      <c r="X92" s="100"/>
      <c r="Y92" s="100"/>
      <c r="Z92" s="100"/>
      <c r="AA92" s="100"/>
      <c r="AB92" s="100"/>
      <c r="AC92" s="100"/>
      <c r="AD92" s="143"/>
      <c r="AE92" s="155">
        <v>45580</v>
      </c>
      <c r="AF92" s="156">
        <v>45595</v>
      </c>
      <c r="AG92" s="160">
        <f t="shared" si="13"/>
        <v>15</v>
      </c>
    </row>
    <row r="93" spans="1:33" s="65" customFormat="1" ht="14.95" customHeight="1" x14ac:dyDescent="0.25">
      <c r="A93" s="194"/>
      <c r="B93" s="188"/>
      <c r="C93" s="22" t="s">
        <v>168</v>
      </c>
      <c r="D93" s="100"/>
      <c r="E93" s="100"/>
      <c r="F93" s="144"/>
      <c r="G93" s="144"/>
      <c r="H93" s="144"/>
      <c r="I93" s="144"/>
      <c r="J93" s="144"/>
      <c r="K93" s="144"/>
      <c r="L93" s="107"/>
      <c r="M93" s="102"/>
      <c r="N93" s="100"/>
      <c r="O93" s="100"/>
      <c r="P93" s="100"/>
      <c r="Q93" s="100"/>
      <c r="R93" s="100"/>
      <c r="S93" s="100"/>
      <c r="T93" s="100"/>
      <c r="U93" s="107"/>
      <c r="V93" s="123"/>
      <c r="W93" s="100"/>
      <c r="X93" s="100"/>
      <c r="Y93" s="100"/>
      <c r="Z93" s="100"/>
      <c r="AA93" s="100"/>
      <c r="AB93" s="100"/>
      <c r="AC93" s="100"/>
      <c r="AD93" s="143"/>
      <c r="AE93" s="155">
        <v>45595</v>
      </c>
      <c r="AF93" s="156">
        <v>45626</v>
      </c>
      <c r="AG93" s="160">
        <f t="shared" si="13"/>
        <v>31</v>
      </c>
    </row>
    <row r="94" spans="1:33" s="65" customFormat="1" ht="14.95" customHeight="1" x14ac:dyDescent="0.25">
      <c r="A94" s="194"/>
      <c r="B94" s="188"/>
      <c r="C94" s="22" t="s">
        <v>169</v>
      </c>
      <c r="D94" s="100"/>
      <c r="E94" s="100"/>
      <c r="F94" s="100"/>
      <c r="G94" s="100"/>
      <c r="H94" s="100"/>
      <c r="I94" s="100"/>
      <c r="J94" s="100"/>
      <c r="K94" s="144"/>
      <c r="L94" s="144"/>
      <c r="M94" s="144"/>
      <c r="N94" s="144"/>
      <c r="O94" s="100"/>
      <c r="P94" s="100"/>
      <c r="Q94" s="100"/>
      <c r="R94" s="100"/>
      <c r="S94" s="100"/>
      <c r="T94" s="100"/>
      <c r="U94" s="107"/>
      <c r="V94" s="123"/>
      <c r="W94" s="100"/>
      <c r="X94" s="100"/>
      <c r="Y94" s="100"/>
      <c r="Z94" s="100"/>
      <c r="AA94" s="100"/>
      <c r="AB94" s="100"/>
      <c r="AC94" s="100"/>
      <c r="AD94" s="143"/>
      <c r="AE94" s="155">
        <v>45626</v>
      </c>
      <c r="AF94" s="156">
        <v>45641</v>
      </c>
      <c r="AG94" s="160">
        <f t="shared" si="13"/>
        <v>15</v>
      </c>
    </row>
    <row r="95" spans="1:33" s="65" customFormat="1" ht="14.95" customHeight="1" x14ac:dyDescent="0.25">
      <c r="A95" s="195"/>
      <c r="B95" s="187"/>
      <c r="C95" s="22" t="s">
        <v>170</v>
      </c>
      <c r="D95" s="100"/>
      <c r="E95" s="100"/>
      <c r="F95" s="100"/>
      <c r="G95" s="100"/>
      <c r="H95" s="100"/>
      <c r="I95" s="100"/>
      <c r="J95" s="100"/>
      <c r="K95" s="100"/>
      <c r="L95" s="107"/>
      <c r="M95" s="102"/>
      <c r="N95" s="144"/>
      <c r="O95" s="144"/>
      <c r="P95" s="144"/>
      <c r="Q95" s="144"/>
      <c r="R95" s="144"/>
      <c r="S95" s="144"/>
      <c r="T95" s="144"/>
      <c r="U95" s="144"/>
      <c r="V95" s="144"/>
      <c r="W95" s="144"/>
      <c r="X95" s="100"/>
      <c r="Y95" s="100"/>
      <c r="Z95" s="100"/>
      <c r="AA95" s="100"/>
      <c r="AB95" s="100"/>
      <c r="AC95" s="100"/>
      <c r="AD95" s="143"/>
      <c r="AE95" s="155">
        <v>45641</v>
      </c>
      <c r="AF95" s="156">
        <v>45687</v>
      </c>
      <c r="AG95" s="160">
        <f t="shared" si="13"/>
        <v>46</v>
      </c>
    </row>
    <row r="96" spans="1:33" s="65" customFormat="1" x14ac:dyDescent="0.25">
      <c r="A96" s="225">
        <v>18</v>
      </c>
      <c r="B96" s="232" t="s">
        <v>64</v>
      </c>
      <c r="C96" s="233" t="s">
        <v>65</v>
      </c>
      <c r="D96" s="144"/>
      <c r="E96" s="144"/>
      <c r="F96" s="144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56">
        <v>45580</v>
      </c>
      <c r="AF96" s="156">
        <v>45595</v>
      </c>
      <c r="AG96" s="226">
        <f t="shared" si="13"/>
        <v>15</v>
      </c>
    </row>
    <row r="97" spans="1:33" s="65" customFormat="1" ht="14.95" customHeight="1" x14ac:dyDescent="0.25">
      <c r="A97" s="225"/>
      <c r="B97" s="232"/>
      <c r="C97" s="24" t="s">
        <v>58</v>
      </c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44"/>
      <c r="S97" s="144"/>
      <c r="T97" s="144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56">
        <v>45658</v>
      </c>
      <c r="AF97" s="156">
        <v>45672</v>
      </c>
      <c r="AG97" s="226">
        <f t="shared" si="13"/>
        <v>14</v>
      </c>
    </row>
    <row r="98" spans="1:33" s="65" customFormat="1" ht="14.95" customHeight="1" x14ac:dyDescent="0.25">
      <c r="A98" s="225"/>
      <c r="B98" s="232"/>
      <c r="C98" s="24" t="s">
        <v>66</v>
      </c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44"/>
      <c r="U98" s="144"/>
      <c r="V98" s="144"/>
      <c r="W98" s="144"/>
      <c r="X98" s="100"/>
      <c r="Y98" s="100"/>
      <c r="Z98" s="100"/>
      <c r="AA98" s="100"/>
      <c r="AB98" s="100"/>
      <c r="AC98" s="100"/>
      <c r="AD98" s="100"/>
      <c r="AE98" s="156">
        <v>45672</v>
      </c>
      <c r="AF98" s="156">
        <v>45687</v>
      </c>
      <c r="AG98" s="226">
        <f t="shared" si="13"/>
        <v>15</v>
      </c>
    </row>
    <row r="99" spans="1:33" s="65" customFormat="1" ht="14.95" customHeight="1" x14ac:dyDescent="0.25">
      <c r="A99" s="228">
        <v>19</v>
      </c>
      <c r="B99" s="21" t="s">
        <v>192</v>
      </c>
      <c r="C99" s="24"/>
      <c r="D99" s="100"/>
      <c r="E99" s="100"/>
      <c r="F99" s="100"/>
      <c r="G99" s="100"/>
      <c r="H99" s="100"/>
      <c r="I99" s="100"/>
      <c r="J99" s="100"/>
      <c r="K99" s="100"/>
      <c r="L99" s="144"/>
      <c r="M99" s="144"/>
      <c r="N99" s="144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00"/>
      <c r="AB99" s="100"/>
      <c r="AC99" s="100"/>
      <c r="AD99" s="100"/>
      <c r="AE99" s="156">
        <v>45658</v>
      </c>
      <c r="AF99" s="156">
        <v>45713</v>
      </c>
      <c r="AG99" s="226">
        <f>AF99-AE99</f>
        <v>55</v>
      </c>
    </row>
    <row r="100" spans="1:33" x14ac:dyDescent="0.25">
      <c r="A100" s="25">
        <v>20</v>
      </c>
      <c r="B100" s="227" t="s">
        <v>193</v>
      </c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144"/>
      <c r="AA100" s="144"/>
      <c r="AB100" s="144"/>
      <c r="AC100" s="144"/>
      <c r="AD100" s="144"/>
      <c r="AE100" s="156">
        <v>45703</v>
      </c>
      <c r="AF100" s="156">
        <v>45713</v>
      </c>
      <c r="AG100" s="226">
        <f>AF100-AE100</f>
        <v>10</v>
      </c>
    </row>
    <row r="101" spans="1:33" s="65" customFormat="1" ht="14.95" hidden="1" customHeight="1" x14ac:dyDescent="0.25">
      <c r="A101" s="193">
        <v>13</v>
      </c>
      <c r="B101" s="186" t="s">
        <v>67</v>
      </c>
      <c r="C101" s="36" t="s">
        <v>68</v>
      </c>
      <c r="D101" s="54"/>
      <c r="E101" s="54"/>
      <c r="F101" s="54"/>
      <c r="G101" s="54"/>
      <c r="H101" s="54"/>
      <c r="I101" s="54"/>
      <c r="J101" s="54"/>
      <c r="K101" s="54"/>
      <c r="L101" s="28"/>
      <c r="M101" s="34"/>
      <c r="N101" s="25"/>
      <c r="O101" s="25"/>
      <c r="P101" s="25"/>
      <c r="Q101" s="25"/>
      <c r="R101" s="25"/>
      <c r="S101" s="25"/>
      <c r="T101" s="25"/>
      <c r="U101" s="28"/>
      <c r="V101" s="71"/>
      <c r="W101" s="25"/>
      <c r="X101" s="25"/>
      <c r="Y101" s="25"/>
      <c r="Z101" s="25"/>
      <c r="AA101" s="25"/>
      <c r="AB101" s="25"/>
      <c r="AC101" s="25"/>
      <c r="AD101" s="150"/>
      <c r="AE101" s="89"/>
      <c r="AF101" s="88"/>
      <c r="AG101" s="160"/>
    </row>
    <row r="102" spans="1:33" s="65" customFormat="1" ht="30.6" hidden="1" customHeight="1" x14ac:dyDescent="0.25">
      <c r="A102" s="194"/>
      <c r="B102" s="188"/>
      <c r="C102" s="43" t="s">
        <v>69</v>
      </c>
      <c r="D102" s="54"/>
      <c r="E102" s="54"/>
      <c r="F102" s="54"/>
      <c r="G102" s="54"/>
      <c r="H102" s="54"/>
      <c r="I102" s="54"/>
      <c r="J102" s="54"/>
      <c r="K102" s="54"/>
      <c r="L102" s="55"/>
      <c r="M102" s="109"/>
      <c r="N102" s="54"/>
      <c r="O102" s="25"/>
      <c r="P102" s="25"/>
      <c r="Q102" s="25"/>
      <c r="R102" s="25"/>
      <c r="S102" s="25"/>
      <c r="T102" s="25"/>
      <c r="U102" s="28"/>
      <c r="V102" s="71"/>
      <c r="W102" s="25"/>
      <c r="X102" s="25"/>
      <c r="Y102" s="25"/>
      <c r="Z102" s="25"/>
      <c r="AA102" s="25"/>
      <c r="AB102" s="25"/>
      <c r="AC102" s="25"/>
      <c r="AD102" s="150"/>
      <c r="AE102" s="89"/>
      <c r="AF102" s="88"/>
      <c r="AG102" s="160"/>
    </row>
    <row r="103" spans="1:33" s="65" customFormat="1" ht="14.95" hidden="1" customHeight="1" x14ac:dyDescent="0.25">
      <c r="A103" s="194"/>
      <c r="B103" s="188"/>
      <c r="C103" s="36" t="s">
        <v>70</v>
      </c>
      <c r="D103" s="54"/>
      <c r="E103" s="54"/>
      <c r="F103" s="54"/>
      <c r="G103" s="54"/>
      <c r="H103" s="54"/>
      <c r="I103" s="54"/>
      <c r="J103" s="54"/>
      <c r="K103" s="54"/>
      <c r="L103" s="55"/>
      <c r="M103" s="109"/>
      <c r="N103" s="54"/>
      <c r="O103" s="54"/>
      <c r="P103" s="54"/>
      <c r="Q103" s="54"/>
      <c r="R103" s="54"/>
      <c r="S103" s="54"/>
      <c r="T103" s="54"/>
      <c r="U103" s="28"/>
      <c r="V103" s="71"/>
      <c r="W103" s="25"/>
      <c r="X103" s="25"/>
      <c r="Y103" s="25"/>
      <c r="Z103" s="25"/>
      <c r="AA103" s="25"/>
      <c r="AB103" s="25"/>
      <c r="AC103" s="25"/>
      <c r="AD103" s="150"/>
      <c r="AE103" s="89"/>
      <c r="AF103" s="88"/>
      <c r="AG103" s="160"/>
    </row>
    <row r="104" spans="1:33" s="65" customFormat="1" ht="40.25" hidden="1" customHeight="1" x14ac:dyDescent="0.25">
      <c r="A104" s="194"/>
      <c r="B104" s="188"/>
      <c r="C104" s="43" t="s">
        <v>71</v>
      </c>
      <c r="D104" s="54"/>
      <c r="E104" s="54"/>
      <c r="F104" s="54"/>
      <c r="G104" s="54"/>
      <c r="H104" s="54"/>
      <c r="I104" s="54"/>
      <c r="J104" s="54"/>
      <c r="K104" s="54"/>
      <c r="L104" s="55"/>
      <c r="M104" s="109"/>
      <c r="N104" s="54"/>
      <c r="O104" s="54"/>
      <c r="P104" s="54"/>
      <c r="Q104" s="54"/>
      <c r="R104" s="54"/>
      <c r="S104" s="54"/>
      <c r="T104" s="54"/>
      <c r="U104" s="28"/>
      <c r="V104" s="71"/>
      <c r="W104" s="25"/>
      <c r="X104" s="25"/>
      <c r="Y104" s="25"/>
      <c r="Z104" s="25"/>
      <c r="AA104" s="25"/>
      <c r="AB104" s="25"/>
      <c r="AC104" s="25"/>
      <c r="AD104" s="150"/>
      <c r="AE104" s="89"/>
      <c r="AF104" s="88"/>
      <c r="AG104" s="160"/>
    </row>
    <row r="105" spans="1:33" s="65" customFormat="1" ht="14.95" hidden="1" customHeight="1" x14ac:dyDescent="0.25">
      <c r="A105" s="194"/>
      <c r="B105" s="188"/>
      <c r="C105" s="43" t="s">
        <v>72</v>
      </c>
      <c r="D105" s="54"/>
      <c r="E105" s="54"/>
      <c r="F105" s="54"/>
      <c r="G105" s="54"/>
      <c r="H105" s="54"/>
      <c r="I105" s="54"/>
      <c r="J105" s="54"/>
      <c r="K105" s="54"/>
      <c r="L105" s="55"/>
      <c r="M105" s="109"/>
      <c r="N105" s="54"/>
      <c r="O105" s="54"/>
      <c r="P105" s="54"/>
      <c r="Q105" s="54"/>
      <c r="R105" s="54"/>
      <c r="S105" s="54"/>
      <c r="T105" s="54"/>
      <c r="U105" s="28"/>
      <c r="V105" s="71"/>
      <c r="W105" s="25"/>
      <c r="X105" s="25"/>
      <c r="Y105" s="25"/>
      <c r="Z105" s="25"/>
      <c r="AA105" s="25"/>
      <c r="AB105" s="25"/>
      <c r="AC105" s="25"/>
      <c r="AD105" s="150"/>
      <c r="AE105" s="89"/>
      <c r="AF105" s="88"/>
      <c r="AG105" s="160"/>
    </row>
    <row r="106" spans="1:33" s="65" customFormat="1" ht="14.95" hidden="1" customHeight="1" x14ac:dyDescent="0.25">
      <c r="A106" s="194"/>
      <c r="B106" s="188"/>
      <c r="C106" s="43" t="s">
        <v>73</v>
      </c>
      <c r="D106" s="54"/>
      <c r="E106" s="54"/>
      <c r="F106" s="54"/>
      <c r="G106" s="54"/>
      <c r="H106" s="54"/>
      <c r="I106" s="54"/>
      <c r="J106" s="54"/>
      <c r="K106" s="54"/>
      <c r="L106" s="55"/>
      <c r="M106" s="109"/>
      <c r="N106" s="54"/>
      <c r="O106" s="54"/>
      <c r="P106" s="54"/>
      <c r="Q106" s="54"/>
      <c r="R106" s="54"/>
      <c r="S106" s="54"/>
      <c r="T106" s="54"/>
      <c r="U106" s="55"/>
      <c r="V106" s="117"/>
      <c r="W106" s="25"/>
      <c r="X106" s="25"/>
      <c r="Y106" s="25"/>
      <c r="Z106" s="25"/>
      <c r="AA106" s="25"/>
      <c r="AB106" s="25"/>
      <c r="AC106" s="25"/>
      <c r="AD106" s="150"/>
      <c r="AE106" s="89"/>
      <c r="AF106" s="88"/>
      <c r="AG106" s="160"/>
    </row>
    <row r="107" spans="1:33" s="65" customFormat="1" ht="14.95" hidden="1" customHeight="1" x14ac:dyDescent="0.25">
      <c r="A107" s="194"/>
      <c r="B107" s="188"/>
      <c r="C107" s="22" t="s">
        <v>74</v>
      </c>
      <c r="D107" s="25"/>
      <c r="E107" s="25"/>
      <c r="F107" s="25"/>
      <c r="G107" s="25"/>
      <c r="H107" s="25"/>
      <c r="I107" s="25"/>
      <c r="J107" s="25"/>
      <c r="K107" s="25"/>
      <c r="L107" s="28"/>
      <c r="M107" s="34"/>
      <c r="N107" s="54"/>
      <c r="O107" s="54"/>
      <c r="P107" s="54"/>
      <c r="Q107" s="54"/>
      <c r="R107" s="54"/>
      <c r="S107" s="54"/>
      <c r="T107" s="54"/>
      <c r="U107" s="55"/>
      <c r="V107" s="56"/>
      <c r="W107" s="54"/>
      <c r="X107" s="25"/>
      <c r="Y107" s="25"/>
      <c r="Z107" s="25"/>
      <c r="AA107" s="25"/>
      <c r="AB107" s="25"/>
      <c r="AC107" s="25"/>
      <c r="AD107" s="150"/>
      <c r="AE107" s="89"/>
      <c r="AF107" s="88"/>
      <c r="AG107" s="160"/>
    </row>
    <row r="108" spans="1:33" s="65" customFormat="1" ht="14.95" hidden="1" customHeight="1" x14ac:dyDescent="0.25">
      <c r="A108" s="194"/>
      <c r="B108" s="188"/>
      <c r="C108" s="43" t="s">
        <v>75</v>
      </c>
      <c r="D108" s="25"/>
      <c r="E108" s="25"/>
      <c r="F108" s="25"/>
      <c r="G108" s="25"/>
      <c r="H108" s="25"/>
      <c r="I108" s="25"/>
      <c r="J108" s="25"/>
      <c r="K108" s="25"/>
      <c r="L108" s="28"/>
      <c r="M108" s="34"/>
      <c r="N108" s="54"/>
      <c r="O108" s="54"/>
      <c r="P108" s="54"/>
      <c r="Q108" s="54"/>
      <c r="R108" s="54"/>
      <c r="S108" s="54"/>
      <c r="T108" s="54"/>
      <c r="U108" s="55"/>
      <c r="V108" s="56"/>
      <c r="W108" s="54"/>
      <c r="X108" s="25"/>
      <c r="Y108" s="25"/>
      <c r="Z108" s="25"/>
      <c r="AA108" s="25"/>
      <c r="AB108" s="25"/>
      <c r="AC108" s="25"/>
      <c r="AD108" s="150"/>
      <c r="AE108" s="89"/>
      <c r="AF108" s="88"/>
      <c r="AG108" s="160"/>
    </row>
    <row r="109" spans="1:33" s="65" customFormat="1" ht="30.1" hidden="1" customHeight="1" x14ac:dyDescent="0.25">
      <c r="A109" s="194"/>
      <c r="B109" s="188"/>
      <c r="C109" s="43" t="s">
        <v>76</v>
      </c>
      <c r="D109" s="25"/>
      <c r="E109" s="25"/>
      <c r="F109" s="25"/>
      <c r="G109" s="25"/>
      <c r="H109" s="54"/>
      <c r="I109" s="54"/>
      <c r="J109" s="54"/>
      <c r="K109" s="54"/>
      <c r="L109" s="55"/>
      <c r="M109" s="109"/>
      <c r="N109" s="54"/>
      <c r="O109" s="54"/>
      <c r="P109" s="54"/>
      <c r="Q109" s="54"/>
      <c r="R109" s="54"/>
      <c r="S109" s="54"/>
      <c r="T109" s="54"/>
      <c r="U109" s="55"/>
      <c r="V109" s="56"/>
      <c r="W109" s="25"/>
      <c r="X109" s="25"/>
      <c r="Y109" s="25"/>
      <c r="Z109" s="25"/>
      <c r="AA109" s="25"/>
      <c r="AB109" s="25"/>
      <c r="AC109" s="25"/>
      <c r="AD109" s="150"/>
      <c r="AE109" s="89"/>
      <c r="AF109" s="88"/>
      <c r="AG109" s="160"/>
    </row>
    <row r="110" spans="1:33" s="65" customFormat="1" ht="28.55" hidden="1" customHeight="1" x14ac:dyDescent="0.25">
      <c r="A110" s="194"/>
      <c r="B110" s="188"/>
      <c r="C110" s="43" t="s">
        <v>77</v>
      </c>
      <c r="D110" s="25"/>
      <c r="E110" s="25"/>
      <c r="F110" s="25"/>
      <c r="G110" s="25"/>
      <c r="H110" s="54"/>
      <c r="I110" s="54"/>
      <c r="J110" s="54"/>
      <c r="K110" s="54"/>
      <c r="L110" s="55"/>
      <c r="M110" s="109"/>
      <c r="N110" s="54"/>
      <c r="O110" s="54"/>
      <c r="P110" s="54"/>
      <c r="Q110" s="54"/>
      <c r="R110" s="54"/>
      <c r="S110" s="54"/>
      <c r="T110" s="54"/>
      <c r="U110" s="55"/>
      <c r="V110" s="56"/>
      <c r="W110" s="25"/>
      <c r="X110" s="25"/>
      <c r="Y110" s="25"/>
      <c r="Z110" s="25"/>
      <c r="AA110" s="25"/>
      <c r="AB110" s="25"/>
      <c r="AC110" s="25"/>
      <c r="AD110" s="150"/>
      <c r="AE110" s="89"/>
      <c r="AF110" s="88"/>
      <c r="AG110" s="160"/>
    </row>
    <row r="111" spans="1:33" s="65" customFormat="1" ht="14.95" hidden="1" customHeight="1" x14ac:dyDescent="0.25">
      <c r="A111" s="194"/>
      <c r="B111" s="188"/>
      <c r="C111" s="43" t="s">
        <v>78</v>
      </c>
      <c r="D111" s="25"/>
      <c r="E111" s="25"/>
      <c r="F111" s="25"/>
      <c r="G111" s="25"/>
      <c r="H111" s="25"/>
      <c r="I111" s="25"/>
      <c r="J111" s="25"/>
      <c r="K111" s="25"/>
      <c r="L111" s="28"/>
      <c r="M111" s="34"/>
      <c r="N111" s="54"/>
      <c r="O111" s="54"/>
      <c r="P111" s="54"/>
      <c r="Q111" s="54"/>
      <c r="R111" s="54"/>
      <c r="S111" s="54"/>
      <c r="T111" s="54"/>
      <c r="U111" s="55"/>
      <c r="V111" s="56"/>
      <c r="W111" s="54"/>
      <c r="X111" s="54"/>
      <c r="Y111" s="54"/>
      <c r="Z111" s="54"/>
      <c r="AA111" s="25"/>
      <c r="AB111" s="25"/>
      <c r="AC111" s="25"/>
      <c r="AD111" s="150"/>
      <c r="AE111" s="89"/>
      <c r="AF111" s="88"/>
      <c r="AG111" s="160"/>
    </row>
    <row r="112" spans="1:33" s="65" customFormat="1" ht="14.95" hidden="1" customHeight="1" x14ac:dyDescent="0.25">
      <c r="A112" s="194"/>
      <c r="B112" s="188"/>
      <c r="C112" s="43" t="s">
        <v>79</v>
      </c>
      <c r="D112" s="25"/>
      <c r="E112" s="25"/>
      <c r="F112" s="25"/>
      <c r="G112" s="25"/>
      <c r="H112" s="25"/>
      <c r="I112" s="25"/>
      <c r="J112" s="25"/>
      <c r="K112" s="25"/>
      <c r="L112" s="28"/>
      <c r="M112" s="34"/>
      <c r="N112" s="25"/>
      <c r="O112" s="25"/>
      <c r="P112" s="25"/>
      <c r="Q112" s="25"/>
      <c r="R112" s="25"/>
      <c r="S112" s="25"/>
      <c r="T112" s="54"/>
      <c r="U112" s="55"/>
      <c r="V112" s="56"/>
      <c r="W112" s="54"/>
      <c r="X112" s="54"/>
      <c r="Y112" s="54"/>
      <c r="Z112" s="54"/>
      <c r="AA112" s="25"/>
      <c r="AB112" s="25"/>
      <c r="AC112" s="25"/>
      <c r="AD112" s="150"/>
      <c r="AE112" s="89"/>
      <c r="AF112" s="88"/>
      <c r="AG112" s="160"/>
    </row>
    <row r="113" spans="1:33" s="65" customFormat="1" ht="28.55" hidden="1" customHeight="1" x14ac:dyDescent="0.25">
      <c r="A113" s="194"/>
      <c r="B113" s="188"/>
      <c r="C113" s="43" t="s">
        <v>80</v>
      </c>
      <c r="D113" s="25"/>
      <c r="E113" s="25"/>
      <c r="F113" s="25"/>
      <c r="G113" s="25"/>
      <c r="H113" s="25"/>
      <c r="I113" s="25"/>
      <c r="J113" s="25"/>
      <c r="K113" s="25"/>
      <c r="L113" s="28"/>
      <c r="M113" s="34"/>
      <c r="N113" s="25"/>
      <c r="O113" s="25"/>
      <c r="P113" s="25"/>
      <c r="Q113" s="25"/>
      <c r="R113" s="25"/>
      <c r="S113" s="25"/>
      <c r="T113" s="54"/>
      <c r="U113" s="55"/>
      <c r="V113" s="56"/>
      <c r="W113" s="54"/>
      <c r="X113" s="54"/>
      <c r="Y113" s="54"/>
      <c r="Z113" s="54"/>
      <c r="AA113" s="25"/>
      <c r="AB113" s="25"/>
      <c r="AC113" s="25"/>
      <c r="AD113" s="150"/>
      <c r="AE113" s="89"/>
      <c r="AF113" s="88"/>
      <c r="AG113" s="160"/>
    </row>
    <row r="114" spans="1:33" s="65" customFormat="1" ht="14.95" hidden="1" customHeight="1" x14ac:dyDescent="0.25">
      <c r="A114" s="194"/>
      <c r="B114" s="188"/>
      <c r="C114" s="43" t="s">
        <v>81</v>
      </c>
      <c r="D114" s="25"/>
      <c r="E114" s="25"/>
      <c r="F114" s="25"/>
      <c r="G114" s="25"/>
      <c r="H114" s="25"/>
      <c r="I114" s="25"/>
      <c r="J114" s="25"/>
      <c r="K114" s="25"/>
      <c r="L114" s="28"/>
      <c r="M114" s="34"/>
      <c r="N114" s="25"/>
      <c r="O114" s="25"/>
      <c r="P114" s="25"/>
      <c r="Q114" s="25"/>
      <c r="R114" s="25"/>
      <c r="S114" s="25"/>
      <c r="T114" s="54"/>
      <c r="U114" s="55"/>
      <c r="V114" s="56"/>
      <c r="W114" s="54"/>
      <c r="X114" s="54"/>
      <c r="Y114" s="54"/>
      <c r="Z114" s="54"/>
      <c r="AA114" s="25"/>
      <c r="AB114" s="25"/>
      <c r="AC114" s="25"/>
      <c r="AD114" s="150"/>
      <c r="AE114" s="89"/>
      <c r="AF114" s="88"/>
      <c r="AG114" s="160"/>
    </row>
    <row r="115" spans="1:33" s="65" customFormat="1" ht="14.95" hidden="1" customHeight="1" x14ac:dyDescent="0.25">
      <c r="A115" s="194"/>
      <c r="B115" s="188"/>
      <c r="C115" s="43" t="s">
        <v>82</v>
      </c>
      <c r="D115" s="25"/>
      <c r="E115" s="25"/>
      <c r="F115" s="25"/>
      <c r="G115" s="25"/>
      <c r="H115" s="25"/>
      <c r="I115" s="25"/>
      <c r="J115" s="25"/>
      <c r="K115" s="25"/>
      <c r="L115" s="28"/>
      <c r="M115" s="34"/>
      <c r="N115" s="25"/>
      <c r="O115" s="25"/>
      <c r="P115" s="25"/>
      <c r="Q115" s="25"/>
      <c r="R115" s="25"/>
      <c r="S115" s="25"/>
      <c r="T115" s="54"/>
      <c r="U115" s="55"/>
      <c r="V115" s="56"/>
      <c r="W115" s="54"/>
      <c r="X115" s="54"/>
      <c r="Y115" s="54"/>
      <c r="Z115" s="54"/>
      <c r="AA115" s="25"/>
      <c r="AB115" s="25"/>
      <c r="AC115" s="25"/>
      <c r="AD115" s="150"/>
      <c r="AE115" s="89"/>
      <c r="AF115" s="88"/>
      <c r="AG115" s="160"/>
    </row>
    <row r="116" spans="1:33" s="65" customFormat="1" ht="14.95" hidden="1" customHeight="1" x14ac:dyDescent="0.25">
      <c r="A116" s="194"/>
      <c r="B116" s="188"/>
      <c r="C116" s="43" t="s">
        <v>83</v>
      </c>
      <c r="D116" s="25"/>
      <c r="E116" s="25"/>
      <c r="F116" s="25"/>
      <c r="G116" s="25"/>
      <c r="H116" s="25"/>
      <c r="I116" s="25"/>
      <c r="J116" s="25"/>
      <c r="K116" s="25"/>
      <c r="L116" s="28"/>
      <c r="M116" s="34"/>
      <c r="N116" s="25"/>
      <c r="O116" s="25"/>
      <c r="P116" s="25"/>
      <c r="Q116" s="25"/>
      <c r="R116" s="25"/>
      <c r="S116" s="25"/>
      <c r="T116" s="54"/>
      <c r="U116" s="55"/>
      <c r="V116" s="56"/>
      <c r="W116" s="54"/>
      <c r="X116" s="54"/>
      <c r="Y116" s="54"/>
      <c r="Z116" s="54"/>
      <c r="AA116" s="25"/>
      <c r="AB116" s="25"/>
      <c r="AC116" s="25"/>
      <c r="AD116" s="150"/>
      <c r="AE116" s="89"/>
      <c r="AF116" s="88"/>
      <c r="AG116" s="160"/>
    </row>
    <row r="117" spans="1:33" s="65" customFormat="1" ht="14.95" hidden="1" customHeight="1" x14ac:dyDescent="0.25">
      <c r="A117" s="194"/>
      <c r="B117" s="188"/>
      <c r="C117" s="43" t="s">
        <v>84</v>
      </c>
      <c r="D117" s="25"/>
      <c r="E117" s="25"/>
      <c r="F117" s="25"/>
      <c r="G117" s="25"/>
      <c r="H117" s="25"/>
      <c r="I117" s="25"/>
      <c r="J117" s="25"/>
      <c r="K117" s="25"/>
      <c r="L117" s="28"/>
      <c r="M117" s="34"/>
      <c r="N117" s="25"/>
      <c r="O117" s="25"/>
      <c r="P117" s="25"/>
      <c r="Q117" s="25"/>
      <c r="R117" s="25"/>
      <c r="S117" s="25"/>
      <c r="T117" s="54"/>
      <c r="U117" s="55"/>
      <c r="V117" s="56"/>
      <c r="W117" s="54"/>
      <c r="X117" s="54"/>
      <c r="Y117" s="54"/>
      <c r="Z117" s="54"/>
      <c r="AA117" s="25"/>
      <c r="AB117" s="25"/>
      <c r="AC117" s="25"/>
      <c r="AD117" s="150"/>
      <c r="AE117" s="89"/>
      <c r="AF117" s="88"/>
      <c r="AG117" s="160"/>
    </row>
    <row r="118" spans="1:33" s="65" customFormat="1" ht="14.95" hidden="1" customHeight="1" x14ac:dyDescent="0.25">
      <c r="A118" s="194"/>
      <c r="B118" s="188"/>
      <c r="C118" s="43" t="s">
        <v>85</v>
      </c>
      <c r="D118" s="25"/>
      <c r="E118" s="25"/>
      <c r="F118" s="25"/>
      <c r="G118" s="25"/>
      <c r="H118" s="25"/>
      <c r="I118" s="25"/>
      <c r="J118" s="25"/>
      <c r="K118" s="25"/>
      <c r="L118" s="28"/>
      <c r="M118" s="34"/>
      <c r="N118" s="25"/>
      <c r="O118" s="25"/>
      <c r="P118" s="25"/>
      <c r="Q118" s="25"/>
      <c r="R118" s="25"/>
      <c r="S118" s="25"/>
      <c r="T118" s="54"/>
      <c r="U118" s="55"/>
      <c r="V118" s="56"/>
      <c r="W118" s="54"/>
      <c r="X118" s="54"/>
      <c r="Y118" s="54"/>
      <c r="Z118" s="54"/>
      <c r="AA118" s="25"/>
      <c r="AB118" s="25"/>
      <c r="AC118" s="25"/>
      <c r="AD118" s="150"/>
      <c r="AE118" s="89"/>
      <c r="AF118" s="88"/>
      <c r="AG118" s="160"/>
    </row>
    <row r="119" spans="1:33" s="65" customFormat="1" ht="14.95" hidden="1" customHeight="1" x14ac:dyDescent="0.25">
      <c r="A119" s="194"/>
      <c r="B119" s="188"/>
      <c r="C119" s="43" t="s">
        <v>86</v>
      </c>
      <c r="D119" s="25"/>
      <c r="E119" s="25"/>
      <c r="F119" s="25"/>
      <c r="G119" s="25"/>
      <c r="H119" s="25"/>
      <c r="I119" s="25"/>
      <c r="J119" s="25"/>
      <c r="K119" s="25"/>
      <c r="L119" s="28"/>
      <c r="M119" s="34"/>
      <c r="N119" s="25"/>
      <c r="O119" s="25"/>
      <c r="P119" s="25"/>
      <c r="Q119" s="25"/>
      <c r="R119" s="25"/>
      <c r="S119" s="25"/>
      <c r="T119" s="54"/>
      <c r="U119" s="55"/>
      <c r="V119" s="56"/>
      <c r="W119" s="54"/>
      <c r="X119" s="54"/>
      <c r="Y119" s="54"/>
      <c r="Z119" s="54"/>
      <c r="AA119" s="54"/>
      <c r="AB119" s="54"/>
      <c r="AC119" s="25"/>
      <c r="AD119" s="150"/>
      <c r="AE119" s="89"/>
      <c r="AF119" s="88"/>
      <c r="AG119" s="160"/>
    </row>
    <row r="120" spans="1:33" s="65" customFormat="1" ht="14.95" hidden="1" customHeight="1" x14ac:dyDescent="0.25">
      <c r="A120" s="194"/>
      <c r="B120" s="188"/>
      <c r="C120" s="43" t="s">
        <v>87</v>
      </c>
      <c r="D120" s="25"/>
      <c r="E120" s="25"/>
      <c r="F120" s="25"/>
      <c r="G120" s="25"/>
      <c r="H120" s="25"/>
      <c r="I120" s="25"/>
      <c r="J120" s="25"/>
      <c r="K120" s="25"/>
      <c r="L120" s="28"/>
      <c r="M120" s="34"/>
      <c r="N120" s="54"/>
      <c r="O120" s="54"/>
      <c r="P120" s="54"/>
      <c r="Q120" s="54"/>
      <c r="R120" s="54"/>
      <c r="S120" s="54"/>
      <c r="T120" s="54"/>
      <c r="U120" s="55"/>
      <c r="V120" s="56"/>
      <c r="W120" s="54"/>
      <c r="X120" s="54"/>
      <c r="Y120" s="54"/>
      <c r="Z120" s="54"/>
      <c r="AA120" s="54"/>
      <c r="AB120" s="54"/>
      <c r="AC120" s="25"/>
      <c r="AD120" s="150"/>
      <c r="AE120" s="89"/>
      <c r="AF120" s="88"/>
      <c r="AG120" s="160"/>
    </row>
    <row r="121" spans="1:33" s="65" customFormat="1" ht="14.95" hidden="1" customHeight="1" x14ac:dyDescent="0.25">
      <c r="A121" s="194"/>
      <c r="B121" s="188"/>
      <c r="C121" s="43" t="s">
        <v>88</v>
      </c>
      <c r="D121" s="25"/>
      <c r="E121" s="25"/>
      <c r="F121" s="25"/>
      <c r="G121" s="25"/>
      <c r="H121" s="25"/>
      <c r="I121" s="25"/>
      <c r="J121" s="25"/>
      <c r="K121" s="25"/>
      <c r="L121" s="28"/>
      <c r="M121" s="34"/>
      <c r="N121" s="54"/>
      <c r="O121" s="54"/>
      <c r="P121" s="54"/>
      <c r="Q121" s="54"/>
      <c r="R121" s="54"/>
      <c r="S121" s="54"/>
      <c r="T121" s="54"/>
      <c r="U121" s="55"/>
      <c r="V121" s="56"/>
      <c r="W121" s="54"/>
      <c r="X121" s="54"/>
      <c r="Y121" s="54"/>
      <c r="Z121" s="54"/>
      <c r="AA121" s="25"/>
      <c r="AB121" s="25"/>
      <c r="AC121" s="25"/>
      <c r="AD121" s="150"/>
      <c r="AE121" s="89"/>
      <c r="AF121" s="88"/>
      <c r="AG121" s="160"/>
    </row>
    <row r="122" spans="1:33" s="65" customFormat="1" ht="14.95" hidden="1" customHeight="1" x14ac:dyDescent="0.25">
      <c r="A122" s="194"/>
      <c r="B122" s="188" t="s">
        <v>67</v>
      </c>
      <c r="C122" s="43" t="s">
        <v>89</v>
      </c>
      <c r="D122" s="25"/>
      <c r="E122" s="25"/>
      <c r="F122" s="25"/>
      <c r="G122" s="25"/>
      <c r="H122" s="25"/>
      <c r="I122" s="25"/>
      <c r="J122" s="25"/>
      <c r="K122" s="25"/>
      <c r="L122" s="28"/>
      <c r="M122" s="34"/>
      <c r="N122" s="54"/>
      <c r="O122" s="54"/>
      <c r="P122" s="54"/>
      <c r="Q122" s="54"/>
      <c r="R122" s="54"/>
      <c r="S122" s="54"/>
      <c r="T122" s="54"/>
      <c r="U122" s="55"/>
      <c r="V122" s="56"/>
      <c r="W122" s="54"/>
      <c r="X122" s="54"/>
      <c r="Y122" s="54"/>
      <c r="Z122" s="54"/>
      <c r="AA122" s="25"/>
      <c r="AB122" s="25"/>
      <c r="AC122" s="25"/>
      <c r="AD122" s="150"/>
      <c r="AE122" s="89"/>
      <c r="AF122" s="88"/>
      <c r="AG122" s="160"/>
    </row>
    <row r="123" spans="1:33" s="65" customFormat="1" ht="31.75" hidden="1" customHeight="1" x14ac:dyDescent="0.25">
      <c r="A123" s="194"/>
      <c r="B123" s="188"/>
      <c r="C123" s="43" t="s">
        <v>90</v>
      </c>
      <c r="D123" s="25"/>
      <c r="E123" s="25"/>
      <c r="F123" s="25"/>
      <c r="G123" s="25"/>
      <c r="H123" s="25"/>
      <c r="I123" s="25"/>
      <c r="J123" s="25"/>
      <c r="K123" s="25"/>
      <c r="L123" s="28"/>
      <c r="M123" s="34"/>
      <c r="N123" s="25"/>
      <c r="O123" s="25"/>
      <c r="P123" s="25"/>
      <c r="Q123" s="25"/>
      <c r="R123" s="25"/>
      <c r="S123" s="25"/>
      <c r="T123" s="25"/>
      <c r="U123" s="28"/>
      <c r="V123" s="71"/>
      <c r="W123" s="54"/>
      <c r="X123" s="54"/>
      <c r="Y123" s="54"/>
      <c r="Z123" s="54"/>
      <c r="AA123" s="54"/>
      <c r="AB123" s="25"/>
      <c r="AC123" s="25"/>
      <c r="AD123" s="150"/>
      <c r="AE123" s="89"/>
      <c r="AF123" s="88"/>
      <c r="AG123" s="160"/>
    </row>
    <row r="124" spans="1:33" s="65" customFormat="1" ht="14.95" hidden="1" customHeight="1" x14ac:dyDescent="0.25">
      <c r="A124" s="194"/>
      <c r="B124" s="188"/>
      <c r="C124" s="43" t="s">
        <v>91</v>
      </c>
      <c r="D124" s="25"/>
      <c r="E124" s="25"/>
      <c r="F124" s="25"/>
      <c r="G124" s="25"/>
      <c r="H124" s="25"/>
      <c r="I124" s="25"/>
      <c r="J124" s="25"/>
      <c r="K124" s="25"/>
      <c r="L124" s="28"/>
      <c r="M124" s="34"/>
      <c r="N124" s="25"/>
      <c r="O124" s="25"/>
      <c r="P124" s="25"/>
      <c r="Q124" s="25"/>
      <c r="R124" s="25"/>
      <c r="S124" s="25"/>
      <c r="T124" s="25"/>
      <c r="U124" s="28"/>
      <c r="V124" s="71"/>
      <c r="W124" s="54"/>
      <c r="X124" s="54"/>
      <c r="Y124" s="54"/>
      <c r="Z124" s="54"/>
      <c r="AA124" s="54"/>
      <c r="AB124" s="25"/>
      <c r="AC124" s="25"/>
      <c r="AD124" s="150"/>
      <c r="AE124" s="89"/>
      <c r="AF124" s="88"/>
      <c r="AG124" s="160"/>
    </row>
    <row r="125" spans="1:33" s="65" customFormat="1" ht="14.95" hidden="1" customHeight="1" x14ac:dyDescent="0.25">
      <c r="A125" s="194"/>
      <c r="B125" s="188"/>
      <c r="C125" s="43" t="s">
        <v>92</v>
      </c>
      <c r="D125" s="25"/>
      <c r="E125" s="25"/>
      <c r="F125" s="25"/>
      <c r="G125" s="25"/>
      <c r="H125" s="25"/>
      <c r="I125" s="25"/>
      <c r="J125" s="25"/>
      <c r="K125" s="25"/>
      <c r="L125" s="28"/>
      <c r="M125" s="34"/>
      <c r="N125" s="25"/>
      <c r="O125" s="25"/>
      <c r="P125" s="25"/>
      <c r="Q125" s="25"/>
      <c r="R125" s="25"/>
      <c r="S125" s="25"/>
      <c r="T125" s="25"/>
      <c r="U125" s="28"/>
      <c r="V125" s="71"/>
      <c r="W125" s="54"/>
      <c r="X125" s="54"/>
      <c r="Y125" s="54"/>
      <c r="Z125" s="54"/>
      <c r="AA125" s="54"/>
      <c r="AB125" s="25"/>
      <c r="AC125" s="25"/>
      <c r="AD125" s="150"/>
      <c r="AE125" s="89"/>
      <c r="AF125" s="88"/>
      <c r="AG125" s="160"/>
    </row>
    <row r="126" spans="1:33" s="65" customFormat="1" ht="14.95" hidden="1" customHeight="1" x14ac:dyDescent="0.25">
      <c r="A126" s="194"/>
      <c r="B126" s="188"/>
      <c r="C126" s="43" t="s">
        <v>93</v>
      </c>
      <c r="D126" s="25"/>
      <c r="E126" s="25"/>
      <c r="F126" s="25"/>
      <c r="G126" s="25"/>
      <c r="H126" s="25"/>
      <c r="I126" s="25"/>
      <c r="J126" s="25"/>
      <c r="K126" s="25"/>
      <c r="L126" s="28"/>
      <c r="M126" s="34"/>
      <c r="N126" s="25"/>
      <c r="O126" s="25"/>
      <c r="P126" s="25"/>
      <c r="Q126" s="25"/>
      <c r="R126" s="25"/>
      <c r="S126" s="25"/>
      <c r="T126" s="25"/>
      <c r="U126" s="28"/>
      <c r="V126" s="71"/>
      <c r="W126" s="54"/>
      <c r="X126" s="54"/>
      <c r="Y126" s="54"/>
      <c r="Z126" s="54"/>
      <c r="AA126" s="54"/>
      <c r="AB126" s="25"/>
      <c r="AC126" s="25"/>
      <c r="AD126" s="150"/>
      <c r="AE126" s="89"/>
      <c r="AF126" s="88"/>
      <c r="AG126" s="160"/>
    </row>
    <row r="127" spans="1:33" s="65" customFormat="1" ht="14.95" hidden="1" customHeight="1" x14ac:dyDescent="0.25">
      <c r="A127" s="194"/>
      <c r="B127" s="188"/>
      <c r="C127" s="43" t="s">
        <v>94</v>
      </c>
      <c r="D127" s="25"/>
      <c r="E127" s="25"/>
      <c r="F127" s="25"/>
      <c r="G127" s="25"/>
      <c r="H127" s="25"/>
      <c r="I127" s="25"/>
      <c r="J127" s="25"/>
      <c r="K127" s="25"/>
      <c r="L127" s="28"/>
      <c r="M127" s="34"/>
      <c r="N127" s="25"/>
      <c r="O127" s="25"/>
      <c r="P127" s="25"/>
      <c r="Q127" s="25"/>
      <c r="R127" s="25"/>
      <c r="S127" s="25"/>
      <c r="T127" s="25"/>
      <c r="U127" s="28"/>
      <c r="V127" s="71"/>
      <c r="W127" s="54"/>
      <c r="X127" s="54"/>
      <c r="Y127" s="54"/>
      <c r="Z127" s="54"/>
      <c r="AA127" s="54"/>
      <c r="AB127" s="25"/>
      <c r="AC127" s="25"/>
      <c r="AD127" s="150"/>
      <c r="AE127" s="89"/>
      <c r="AF127" s="88"/>
      <c r="AG127" s="160"/>
    </row>
    <row r="128" spans="1:33" s="65" customFormat="1" ht="14.95" hidden="1" customHeight="1" x14ac:dyDescent="0.25">
      <c r="A128" s="194"/>
      <c r="B128" s="188"/>
      <c r="C128" s="43" t="s">
        <v>95</v>
      </c>
      <c r="D128" s="25"/>
      <c r="E128" s="25"/>
      <c r="F128" s="25"/>
      <c r="G128" s="25"/>
      <c r="H128" s="25"/>
      <c r="I128" s="25"/>
      <c r="J128" s="25"/>
      <c r="K128" s="25"/>
      <c r="L128" s="28"/>
      <c r="M128" s="34"/>
      <c r="N128" s="25"/>
      <c r="O128" s="25"/>
      <c r="P128" s="25"/>
      <c r="Q128" s="25"/>
      <c r="R128" s="25"/>
      <c r="S128" s="25"/>
      <c r="T128" s="25"/>
      <c r="U128" s="28"/>
      <c r="V128" s="71"/>
      <c r="W128" s="54"/>
      <c r="X128" s="54"/>
      <c r="Y128" s="54"/>
      <c r="Z128" s="54"/>
      <c r="AA128" s="54"/>
      <c r="AB128" s="25"/>
      <c r="AC128" s="25"/>
      <c r="AD128" s="150"/>
      <c r="AE128" s="89"/>
      <c r="AF128" s="88"/>
      <c r="AG128" s="160"/>
    </row>
    <row r="129" spans="1:33" s="65" customFormat="1" ht="32.450000000000003" hidden="1" customHeight="1" x14ac:dyDescent="0.25">
      <c r="A129" s="194"/>
      <c r="B129" s="188"/>
      <c r="C129" s="43" t="s">
        <v>96</v>
      </c>
      <c r="D129" s="25"/>
      <c r="E129" s="25"/>
      <c r="F129" s="25"/>
      <c r="G129" s="25"/>
      <c r="H129" s="25"/>
      <c r="I129" s="25"/>
      <c r="J129" s="25"/>
      <c r="K129" s="25"/>
      <c r="L129" s="28"/>
      <c r="M129" s="34"/>
      <c r="N129" s="25"/>
      <c r="O129" s="25"/>
      <c r="P129" s="25"/>
      <c r="Q129" s="25"/>
      <c r="R129" s="25"/>
      <c r="S129" s="25"/>
      <c r="T129" s="25"/>
      <c r="U129" s="28"/>
      <c r="V129" s="71"/>
      <c r="W129" s="54"/>
      <c r="X129" s="54"/>
      <c r="Y129" s="54"/>
      <c r="Z129" s="54"/>
      <c r="AA129" s="54"/>
      <c r="AB129" s="25"/>
      <c r="AC129" s="25"/>
      <c r="AD129" s="150"/>
      <c r="AE129" s="89"/>
      <c r="AF129" s="88"/>
      <c r="AG129" s="160"/>
    </row>
    <row r="130" spans="1:33" s="65" customFormat="1" ht="14.95" hidden="1" customHeight="1" x14ac:dyDescent="0.25">
      <c r="A130" s="194"/>
      <c r="B130" s="188"/>
      <c r="C130" s="43" t="s">
        <v>97</v>
      </c>
      <c r="D130" s="25"/>
      <c r="E130" s="25"/>
      <c r="F130" s="25"/>
      <c r="G130" s="25"/>
      <c r="H130" s="25"/>
      <c r="I130" s="25"/>
      <c r="J130" s="25"/>
      <c r="K130" s="25"/>
      <c r="L130" s="28"/>
      <c r="M130" s="34"/>
      <c r="N130" s="25"/>
      <c r="O130" s="25"/>
      <c r="P130" s="25"/>
      <c r="Q130" s="25"/>
      <c r="R130" s="25"/>
      <c r="S130" s="25"/>
      <c r="T130" s="25"/>
      <c r="U130" s="28"/>
      <c r="V130" s="71"/>
      <c r="W130" s="54"/>
      <c r="X130" s="54"/>
      <c r="Y130" s="54"/>
      <c r="Z130" s="54"/>
      <c r="AA130" s="54"/>
      <c r="AB130" s="25"/>
      <c r="AC130" s="25"/>
      <c r="AD130" s="150"/>
      <c r="AE130" s="89"/>
      <c r="AF130" s="88"/>
      <c r="AG130" s="160"/>
    </row>
    <row r="131" spans="1:33" s="65" customFormat="1" ht="26.35" hidden="1" customHeight="1" x14ac:dyDescent="0.25">
      <c r="A131" s="194"/>
      <c r="B131" s="188"/>
      <c r="C131" s="43" t="s">
        <v>98</v>
      </c>
      <c r="D131" s="25"/>
      <c r="E131" s="25"/>
      <c r="F131" s="25"/>
      <c r="G131" s="25"/>
      <c r="H131" s="25"/>
      <c r="I131" s="25"/>
      <c r="J131" s="25"/>
      <c r="K131" s="25"/>
      <c r="L131" s="28"/>
      <c r="M131" s="34"/>
      <c r="N131" s="25"/>
      <c r="O131" s="25"/>
      <c r="P131" s="25"/>
      <c r="Q131" s="25"/>
      <c r="R131" s="25"/>
      <c r="S131" s="25"/>
      <c r="T131" s="25"/>
      <c r="U131" s="28"/>
      <c r="V131" s="71"/>
      <c r="W131" s="54"/>
      <c r="X131" s="54"/>
      <c r="Y131" s="54"/>
      <c r="Z131" s="54"/>
      <c r="AA131" s="54"/>
      <c r="AB131" s="25"/>
      <c r="AC131" s="25"/>
      <c r="AD131" s="150"/>
      <c r="AE131" s="89"/>
      <c r="AF131" s="88"/>
      <c r="AG131" s="160"/>
    </row>
    <row r="132" spans="1:33" s="65" customFormat="1" ht="14.95" hidden="1" customHeight="1" x14ac:dyDescent="0.25">
      <c r="A132" s="194"/>
      <c r="B132" s="188"/>
      <c r="C132" s="43" t="s">
        <v>99</v>
      </c>
      <c r="D132" s="25"/>
      <c r="E132" s="25"/>
      <c r="F132" s="25"/>
      <c r="G132" s="25"/>
      <c r="H132" s="25"/>
      <c r="I132" s="25"/>
      <c r="J132" s="25"/>
      <c r="K132" s="25"/>
      <c r="L132" s="28"/>
      <c r="M132" s="34"/>
      <c r="N132" s="25"/>
      <c r="O132" s="25"/>
      <c r="P132" s="25"/>
      <c r="Q132" s="25"/>
      <c r="R132" s="25"/>
      <c r="S132" s="25"/>
      <c r="T132" s="25"/>
      <c r="U132" s="28"/>
      <c r="V132" s="71"/>
      <c r="W132" s="54"/>
      <c r="X132" s="54"/>
      <c r="Y132" s="54"/>
      <c r="Z132" s="54"/>
      <c r="AA132" s="54"/>
      <c r="AB132" s="25"/>
      <c r="AC132" s="25"/>
      <c r="AD132" s="150"/>
      <c r="AE132" s="89"/>
      <c r="AF132" s="88"/>
      <c r="AG132" s="160"/>
    </row>
    <row r="133" spans="1:33" s="65" customFormat="1" ht="14.95" hidden="1" customHeight="1" x14ac:dyDescent="0.25">
      <c r="A133" s="194"/>
      <c r="B133" s="188"/>
      <c r="C133" s="43" t="s">
        <v>100</v>
      </c>
      <c r="D133" s="25"/>
      <c r="E133" s="25"/>
      <c r="F133" s="25"/>
      <c r="G133" s="25"/>
      <c r="H133" s="25"/>
      <c r="I133" s="25"/>
      <c r="J133" s="25"/>
      <c r="K133" s="25"/>
      <c r="L133" s="28"/>
      <c r="M133" s="34"/>
      <c r="N133" s="25"/>
      <c r="O133" s="25"/>
      <c r="P133" s="25"/>
      <c r="Q133" s="25"/>
      <c r="R133" s="25"/>
      <c r="S133" s="25"/>
      <c r="T133" s="25"/>
      <c r="U133" s="28"/>
      <c r="V133" s="71"/>
      <c r="W133" s="54"/>
      <c r="X133" s="54"/>
      <c r="Y133" s="54"/>
      <c r="Z133" s="54"/>
      <c r="AA133" s="54"/>
      <c r="AB133" s="25"/>
      <c r="AC133" s="25"/>
      <c r="AD133" s="150"/>
      <c r="AE133" s="89"/>
      <c r="AF133" s="88"/>
      <c r="AG133" s="160"/>
    </row>
    <row r="134" spans="1:33" s="65" customFormat="1" ht="32.950000000000003" hidden="1" customHeight="1" x14ac:dyDescent="0.25">
      <c r="A134" s="194"/>
      <c r="B134" s="188"/>
      <c r="C134" s="43" t="s">
        <v>101</v>
      </c>
      <c r="D134" s="25"/>
      <c r="E134" s="25"/>
      <c r="F134" s="25"/>
      <c r="G134" s="25"/>
      <c r="H134" s="25"/>
      <c r="I134" s="25"/>
      <c r="J134" s="25"/>
      <c r="K134" s="25"/>
      <c r="L134" s="28"/>
      <c r="M134" s="34"/>
      <c r="N134" s="25"/>
      <c r="O134" s="25"/>
      <c r="P134" s="25"/>
      <c r="Q134" s="25"/>
      <c r="R134" s="25"/>
      <c r="S134" s="25"/>
      <c r="T134" s="25"/>
      <c r="U134" s="28"/>
      <c r="V134" s="71"/>
      <c r="W134" s="54"/>
      <c r="X134" s="54"/>
      <c r="Y134" s="54"/>
      <c r="Z134" s="54"/>
      <c r="AA134" s="54"/>
      <c r="AB134" s="25"/>
      <c r="AC134" s="25"/>
      <c r="AD134" s="150"/>
      <c r="AE134" s="89"/>
      <c r="AF134" s="88"/>
      <c r="AG134" s="160"/>
    </row>
    <row r="135" spans="1:33" s="65" customFormat="1" ht="28.55" hidden="1" customHeight="1" x14ac:dyDescent="0.25">
      <c r="A135" s="194"/>
      <c r="B135" s="188"/>
      <c r="C135" s="43" t="s">
        <v>102</v>
      </c>
      <c r="D135" s="25"/>
      <c r="E135" s="25"/>
      <c r="F135" s="25"/>
      <c r="G135" s="25"/>
      <c r="H135" s="25"/>
      <c r="I135" s="25"/>
      <c r="J135" s="25"/>
      <c r="K135" s="25"/>
      <c r="L135" s="28"/>
      <c r="M135" s="34"/>
      <c r="N135" s="25"/>
      <c r="O135" s="25"/>
      <c r="P135" s="25"/>
      <c r="Q135" s="25"/>
      <c r="R135" s="25"/>
      <c r="S135" s="25"/>
      <c r="T135" s="25"/>
      <c r="U135" s="28"/>
      <c r="V135" s="71"/>
      <c r="W135" s="25"/>
      <c r="X135" s="25"/>
      <c r="Y135" s="25"/>
      <c r="Z135" s="54"/>
      <c r="AA135" s="54"/>
      <c r="AB135" s="54"/>
      <c r="AC135" s="54"/>
      <c r="AD135" s="150"/>
      <c r="AE135" s="89"/>
      <c r="AF135" s="88"/>
      <c r="AG135" s="160"/>
    </row>
    <row r="136" spans="1:33" s="65" customFormat="1" ht="36" hidden="1" customHeight="1" x14ac:dyDescent="0.25">
      <c r="A136" s="194"/>
      <c r="B136" s="188"/>
      <c r="C136" s="43" t="s">
        <v>103</v>
      </c>
      <c r="D136" s="25"/>
      <c r="E136" s="25"/>
      <c r="F136" s="25"/>
      <c r="G136" s="25"/>
      <c r="H136" s="25"/>
      <c r="I136" s="25"/>
      <c r="J136" s="25"/>
      <c r="K136" s="25"/>
      <c r="L136" s="28"/>
      <c r="M136" s="34"/>
      <c r="N136" s="25"/>
      <c r="O136" s="25"/>
      <c r="P136" s="25"/>
      <c r="Q136" s="25"/>
      <c r="R136" s="25"/>
      <c r="S136" s="25"/>
      <c r="T136" s="25"/>
      <c r="U136" s="28"/>
      <c r="V136" s="71"/>
      <c r="W136" s="25"/>
      <c r="X136" s="25"/>
      <c r="Y136" s="25"/>
      <c r="Z136" s="54"/>
      <c r="AA136" s="54"/>
      <c r="AB136" s="54"/>
      <c r="AC136" s="54"/>
      <c r="AD136" s="150"/>
      <c r="AE136" s="89"/>
      <c r="AF136" s="88"/>
      <c r="AG136" s="160"/>
    </row>
    <row r="137" spans="1:33" s="65" customFormat="1" ht="28.55" hidden="1" customHeight="1" x14ac:dyDescent="0.25">
      <c r="A137" s="194"/>
      <c r="B137" s="188"/>
      <c r="C137" s="43" t="s">
        <v>104</v>
      </c>
      <c r="D137" s="25"/>
      <c r="E137" s="25"/>
      <c r="F137" s="25"/>
      <c r="G137" s="25"/>
      <c r="H137" s="25"/>
      <c r="I137" s="25"/>
      <c r="J137" s="25"/>
      <c r="K137" s="25"/>
      <c r="L137" s="28"/>
      <c r="M137" s="34"/>
      <c r="N137" s="25"/>
      <c r="O137" s="25"/>
      <c r="P137" s="25"/>
      <c r="Q137" s="25"/>
      <c r="R137" s="25"/>
      <c r="S137" s="25"/>
      <c r="T137" s="25"/>
      <c r="U137" s="28"/>
      <c r="V137" s="71"/>
      <c r="W137" s="25"/>
      <c r="X137" s="25"/>
      <c r="Y137" s="25"/>
      <c r="Z137" s="54"/>
      <c r="AA137" s="54"/>
      <c r="AB137" s="54"/>
      <c r="AC137" s="54"/>
      <c r="AD137" s="150"/>
      <c r="AE137" s="89"/>
      <c r="AF137" s="88"/>
      <c r="AG137" s="160"/>
    </row>
    <row r="138" spans="1:33" s="65" customFormat="1" ht="30.6" hidden="1" customHeight="1" x14ac:dyDescent="0.25">
      <c r="A138" s="194"/>
      <c r="B138" s="188"/>
      <c r="C138" s="43" t="s">
        <v>105</v>
      </c>
      <c r="D138" s="25"/>
      <c r="E138" s="25"/>
      <c r="F138" s="25"/>
      <c r="G138" s="25"/>
      <c r="H138" s="25"/>
      <c r="I138" s="25"/>
      <c r="J138" s="25"/>
      <c r="K138" s="25"/>
      <c r="L138" s="28"/>
      <c r="M138" s="34"/>
      <c r="N138" s="25"/>
      <c r="O138" s="25"/>
      <c r="P138" s="25"/>
      <c r="Q138" s="25"/>
      <c r="R138" s="25"/>
      <c r="S138" s="25"/>
      <c r="T138" s="25"/>
      <c r="U138" s="28"/>
      <c r="V138" s="71"/>
      <c r="W138" s="25"/>
      <c r="X138" s="25"/>
      <c r="Y138" s="25"/>
      <c r="Z138" s="54"/>
      <c r="AA138" s="54"/>
      <c r="AB138" s="54"/>
      <c r="AC138" s="54"/>
      <c r="AD138" s="150"/>
      <c r="AE138" s="89"/>
      <c r="AF138" s="88"/>
      <c r="AG138" s="160"/>
    </row>
    <row r="139" spans="1:33" s="65" customFormat="1" ht="27.7" hidden="1" customHeight="1" x14ac:dyDescent="0.25">
      <c r="A139" s="194"/>
      <c r="B139" s="188"/>
      <c r="C139" s="43" t="s">
        <v>106</v>
      </c>
      <c r="D139" s="25"/>
      <c r="E139" s="25"/>
      <c r="F139" s="25"/>
      <c r="G139" s="25"/>
      <c r="H139" s="25"/>
      <c r="I139" s="25"/>
      <c r="J139" s="25"/>
      <c r="K139" s="25"/>
      <c r="L139" s="28"/>
      <c r="M139" s="34"/>
      <c r="N139" s="25"/>
      <c r="O139" s="25"/>
      <c r="P139" s="25"/>
      <c r="Q139" s="25"/>
      <c r="R139" s="25"/>
      <c r="S139" s="25"/>
      <c r="T139" s="25"/>
      <c r="U139" s="28"/>
      <c r="V139" s="71"/>
      <c r="W139" s="25"/>
      <c r="X139" s="25"/>
      <c r="Y139" s="25"/>
      <c r="Z139" s="54"/>
      <c r="AA139" s="54"/>
      <c r="AB139" s="54"/>
      <c r="AC139" s="54"/>
      <c r="AD139" s="150"/>
      <c r="AE139" s="89"/>
      <c r="AF139" s="88"/>
      <c r="AG139" s="160"/>
    </row>
    <row r="140" spans="1:33" s="65" customFormat="1" ht="14.95" hidden="1" customHeight="1" x14ac:dyDescent="0.25">
      <c r="A140" s="195"/>
      <c r="B140" s="187"/>
      <c r="C140" s="43" t="s">
        <v>107</v>
      </c>
      <c r="D140" s="25"/>
      <c r="E140" s="25"/>
      <c r="F140" s="25"/>
      <c r="G140" s="25"/>
      <c r="H140" s="25"/>
      <c r="I140" s="25"/>
      <c r="J140" s="25"/>
      <c r="K140" s="25"/>
      <c r="L140" s="28"/>
      <c r="M140" s="34"/>
      <c r="N140" s="25"/>
      <c r="O140" s="25"/>
      <c r="P140" s="25"/>
      <c r="Q140" s="25"/>
      <c r="R140" s="25"/>
      <c r="S140" s="25"/>
      <c r="T140" s="25"/>
      <c r="U140" s="28"/>
      <c r="V140" s="71"/>
      <c r="W140" s="25"/>
      <c r="X140" s="25"/>
      <c r="Y140" s="25"/>
      <c r="Z140" s="54"/>
      <c r="AA140" s="54"/>
      <c r="AB140" s="54"/>
      <c r="AC140" s="54"/>
      <c r="AD140" s="151"/>
      <c r="AE140" s="89"/>
      <c r="AF140" s="88"/>
      <c r="AG140" s="160"/>
    </row>
    <row r="141" spans="1:33" s="65" customFormat="1" ht="14.95" hidden="1" customHeight="1" thickBot="1" x14ac:dyDescent="0.3">
      <c r="A141" s="57"/>
      <c r="B141" s="108"/>
      <c r="C141" s="58" t="s">
        <v>108</v>
      </c>
      <c r="D141" s="119"/>
      <c r="E141" s="119"/>
      <c r="F141" s="119"/>
      <c r="G141" s="119"/>
      <c r="H141" s="119"/>
      <c r="I141" s="119"/>
      <c r="J141" s="119"/>
      <c r="K141" s="119"/>
      <c r="L141" s="120"/>
      <c r="M141" s="118"/>
      <c r="N141" s="119"/>
      <c r="O141" s="119"/>
      <c r="P141" s="119"/>
      <c r="Q141" s="119"/>
      <c r="R141" s="119"/>
      <c r="S141" s="119"/>
      <c r="T141" s="119"/>
      <c r="U141" s="120"/>
      <c r="V141" s="124"/>
      <c r="W141" s="119"/>
      <c r="X141" s="119"/>
      <c r="Y141" s="119"/>
      <c r="Z141" s="119"/>
      <c r="AA141" s="119"/>
      <c r="AB141" s="119"/>
      <c r="AC141" s="121"/>
      <c r="AD141" s="152"/>
      <c r="AE141" s="153"/>
      <c r="AF141" s="154"/>
      <c r="AG141" s="161"/>
    </row>
    <row r="142" spans="1:33" s="65" customFormat="1" ht="19.05" hidden="1" customHeight="1" x14ac:dyDescent="0.25">
      <c r="A142" s="62"/>
      <c r="B142" s="165"/>
      <c r="C142" s="63"/>
      <c r="AG142" s="162"/>
    </row>
    <row r="143" spans="1:33" s="65" customFormat="1" ht="14.95" customHeight="1" x14ac:dyDescent="0.25">
      <c r="A143" s="62"/>
      <c r="B143" s="165"/>
      <c r="C143" s="63"/>
      <c r="AG143" s="162"/>
    </row>
    <row r="144" spans="1:33" s="65" customFormat="1" ht="14.95" customHeight="1" x14ac:dyDescent="0.25">
      <c r="A144" s="62"/>
      <c r="B144" s="165"/>
      <c r="C144" s="63"/>
      <c r="AG144" s="162"/>
    </row>
    <row r="145" spans="1:33" s="65" customFormat="1" ht="14.95" customHeight="1" x14ac:dyDescent="0.25">
      <c r="A145" s="62"/>
      <c r="B145" s="165"/>
      <c r="C145" s="63"/>
      <c r="AG145" s="162"/>
    </row>
    <row r="146" spans="1:33" s="65" customFormat="1" ht="14.95" customHeight="1" x14ac:dyDescent="0.25">
      <c r="A146" s="62"/>
      <c r="B146" s="165"/>
      <c r="C146" s="63"/>
      <c r="AG146" s="162"/>
    </row>
    <row r="147" spans="1:33" s="65" customFormat="1" ht="14.95" customHeight="1" x14ac:dyDescent="0.25">
      <c r="A147" s="62"/>
      <c r="B147" s="165"/>
      <c r="C147" s="63"/>
      <c r="AG147" s="162"/>
    </row>
    <row r="148" spans="1:33" s="65" customFormat="1" ht="14.95" customHeight="1" thickBot="1" x14ac:dyDescent="0.3">
      <c r="A148" s="62"/>
      <c r="B148" s="165"/>
      <c r="C148" s="63"/>
      <c r="AG148" s="162"/>
    </row>
    <row r="149" spans="1:33" s="65" customFormat="1" x14ac:dyDescent="0.25">
      <c r="A149" s="64"/>
      <c r="B149" s="165"/>
      <c r="AG149" s="162"/>
    </row>
    <row r="150" spans="1:33" s="65" customFormat="1" ht="20.05" customHeight="1" x14ac:dyDescent="0.25">
      <c r="B150" s="165"/>
      <c r="AG150" s="162"/>
    </row>
    <row r="151" spans="1:33" s="65" customFormat="1" ht="20.05" customHeight="1" x14ac:dyDescent="0.25">
      <c r="B151" s="165"/>
      <c r="AG151" s="162"/>
    </row>
    <row r="152" spans="1:33" s="65" customFormat="1" ht="20.05" customHeight="1" x14ac:dyDescent="0.25">
      <c r="B152" s="165"/>
      <c r="AG152" s="162"/>
    </row>
    <row r="153" spans="1:33" s="65" customFormat="1" ht="20.05" customHeight="1" x14ac:dyDescent="0.25">
      <c r="B153" s="165"/>
      <c r="AG153" s="162"/>
    </row>
    <row r="154" spans="1:33" s="65" customFormat="1" ht="20.05" customHeight="1" x14ac:dyDescent="0.25">
      <c r="B154" s="165"/>
      <c r="AG154" s="162"/>
    </row>
    <row r="155" spans="1:33" s="65" customFormat="1" ht="20.05" customHeight="1" x14ac:dyDescent="0.25">
      <c r="B155" s="165"/>
      <c r="AG155" s="162"/>
    </row>
    <row r="156" spans="1:33" s="65" customFormat="1" ht="20.05" customHeight="1" x14ac:dyDescent="0.25">
      <c r="B156" s="165"/>
      <c r="AG156" s="162"/>
    </row>
    <row r="157" spans="1:33" s="65" customFormat="1" ht="20.05" customHeight="1" x14ac:dyDescent="0.25">
      <c r="B157" s="165"/>
      <c r="AG157" s="162"/>
    </row>
    <row r="158" spans="1:33" s="65" customFormat="1" ht="20.05" customHeight="1" x14ac:dyDescent="0.25">
      <c r="B158" s="165"/>
      <c r="AG158" s="162"/>
    </row>
    <row r="159" spans="1:33" s="65" customFormat="1" ht="20.05" customHeight="1" x14ac:dyDescent="0.25">
      <c r="B159" s="165"/>
      <c r="AG159" s="162"/>
    </row>
    <row r="160" spans="1:33" s="65" customFormat="1" ht="20.05" customHeight="1" x14ac:dyDescent="0.25">
      <c r="B160" s="165"/>
      <c r="AG160" s="162"/>
    </row>
    <row r="161" spans="2:33" s="65" customFormat="1" ht="20.05" customHeight="1" x14ac:dyDescent="0.25">
      <c r="B161" s="165"/>
      <c r="AG161" s="162"/>
    </row>
    <row r="162" spans="2:33" s="65" customFormat="1" ht="41.45" customHeight="1" x14ac:dyDescent="0.25">
      <c r="B162" s="165"/>
      <c r="AG162" s="162"/>
    </row>
    <row r="163" spans="2:33" s="65" customFormat="1" ht="20.05" customHeight="1" x14ac:dyDescent="0.25">
      <c r="B163" s="165"/>
      <c r="AG163" s="162"/>
    </row>
    <row r="164" spans="2:33" s="65" customFormat="1" ht="20.05" customHeight="1" x14ac:dyDescent="0.25">
      <c r="B164" s="165"/>
      <c r="AG164" s="162"/>
    </row>
    <row r="165" spans="2:33" s="65" customFormat="1" ht="20.05" customHeight="1" x14ac:dyDescent="0.25">
      <c r="B165" s="165"/>
      <c r="AG165" s="162"/>
    </row>
    <row r="166" spans="2:33" s="65" customFormat="1" ht="20.05" customHeight="1" x14ac:dyDescent="0.25">
      <c r="B166" s="165"/>
      <c r="AG166" s="162"/>
    </row>
    <row r="167" spans="2:33" s="65" customFormat="1" ht="20.05" customHeight="1" x14ac:dyDescent="0.25">
      <c r="B167" s="165"/>
      <c r="AG167" s="162"/>
    </row>
    <row r="168" spans="2:33" s="65" customFormat="1" ht="20.05" customHeight="1" x14ac:dyDescent="0.25">
      <c r="B168" s="165"/>
      <c r="AG168" s="162"/>
    </row>
    <row r="169" spans="2:33" s="65" customFormat="1" ht="32.450000000000003" customHeight="1" x14ac:dyDescent="0.25">
      <c r="B169" s="165"/>
      <c r="AG169" s="162"/>
    </row>
    <row r="170" spans="2:33" s="65" customFormat="1" ht="20.05" customHeight="1" x14ac:dyDescent="0.25">
      <c r="B170" s="165"/>
      <c r="AG170" s="162"/>
    </row>
    <row r="171" spans="2:33" s="65" customFormat="1" ht="20.05" customHeight="1" x14ac:dyDescent="0.25">
      <c r="B171" s="165"/>
      <c r="AG171" s="162"/>
    </row>
    <row r="172" spans="2:33" s="65" customFormat="1" ht="20.05" customHeight="1" x14ac:dyDescent="0.25">
      <c r="B172" s="165"/>
      <c r="AG172" s="162"/>
    </row>
    <row r="173" spans="2:33" s="65" customFormat="1" ht="20.05" customHeight="1" x14ac:dyDescent="0.25">
      <c r="B173" s="165"/>
      <c r="AG173" s="162"/>
    </row>
    <row r="174" spans="2:33" s="65" customFormat="1" ht="20.05" customHeight="1" x14ac:dyDescent="0.25">
      <c r="B174" s="165"/>
      <c r="AG174" s="162"/>
    </row>
    <row r="175" spans="2:33" s="65" customFormat="1" ht="20.05" customHeight="1" x14ac:dyDescent="0.25">
      <c r="B175" s="165"/>
      <c r="AG175" s="162"/>
    </row>
    <row r="176" spans="2:33" s="65" customFormat="1" ht="20.05" customHeight="1" x14ac:dyDescent="0.25">
      <c r="B176" s="165"/>
      <c r="AG176" s="162"/>
    </row>
    <row r="177" spans="2:33" s="65" customFormat="1" ht="35.35" customHeight="1" x14ac:dyDescent="0.25">
      <c r="B177" s="165"/>
      <c r="AG177" s="162"/>
    </row>
    <row r="178" spans="2:33" s="65" customFormat="1" ht="20.05" customHeight="1" x14ac:dyDescent="0.25">
      <c r="B178" s="165"/>
      <c r="AG178" s="162"/>
    </row>
    <row r="179" spans="2:33" s="65" customFormat="1" ht="20.05" customHeight="1" x14ac:dyDescent="0.25">
      <c r="B179" s="165"/>
      <c r="AG179" s="162"/>
    </row>
    <row r="180" spans="2:33" s="65" customFormat="1" x14ac:dyDescent="0.25">
      <c r="B180" s="165"/>
      <c r="AG180" s="162"/>
    </row>
    <row r="181" spans="2:33" s="65" customFormat="1" x14ac:dyDescent="0.25">
      <c r="B181" s="165"/>
      <c r="AG181" s="162"/>
    </row>
    <row r="182" spans="2:33" s="65" customFormat="1" x14ac:dyDescent="0.25">
      <c r="B182" s="165"/>
      <c r="AG182" s="162"/>
    </row>
    <row r="183" spans="2:33" s="65" customFormat="1" x14ac:dyDescent="0.25">
      <c r="B183" s="165"/>
      <c r="AG183" s="162"/>
    </row>
    <row r="184" spans="2:33" s="65" customFormat="1" x14ac:dyDescent="0.25">
      <c r="B184" s="165"/>
      <c r="AG184" s="162"/>
    </row>
    <row r="185" spans="2:33" s="65" customFormat="1" x14ac:dyDescent="0.25">
      <c r="B185" s="165"/>
      <c r="AG185" s="162"/>
    </row>
    <row r="186" spans="2:33" s="65" customFormat="1" x14ac:dyDescent="0.25">
      <c r="B186" s="165"/>
      <c r="AG186" s="162"/>
    </row>
    <row r="187" spans="2:33" s="65" customFormat="1" x14ac:dyDescent="0.25">
      <c r="B187" s="165"/>
      <c r="AG187" s="162"/>
    </row>
    <row r="188" spans="2:33" s="65" customFormat="1" x14ac:dyDescent="0.25">
      <c r="B188" s="165"/>
      <c r="AG188" s="162"/>
    </row>
    <row r="189" spans="2:33" s="65" customFormat="1" x14ac:dyDescent="0.25">
      <c r="B189" s="165"/>
      <c r="AG189" s="162"/>
    </row>
    <row r="190" spans="2:33" s="65" customFormat="1" x14ac:dyDescent="0.25">
      <c r="B190" s="165"/>
      <c r="AG190" s="162"/>
    </row>
    <row r="191" spans="2:33" s="65" customFormat="1" x14ac:dyDescent="0.25">
      <c r="B191" s="165"/>
      <c r="AG191" s="162"/>
    </row>
    <row r="192" spans="2:33" s="65" customFormat="1" x14ac:dyDescent="0.25">
      <c r="B192" s="165"/>
      <c r="AG192" s="162"/>
    </row>
    <row r="193" spans="2:33" s="65" customFormat="1" x14ac:dyDescent="0.25">
      <c r="B193" s="165"/>
      <c r="AG193" s="162"/>
    </row>
    <row r="194" spans="2:33" s="65" customFormat="1" x14ac:dyDescent="0.25">
      <c r="B194" s="165"/>
      <c r="AG194" s="162"/>
    </row>
    <row r="195" spans="2:33" s="65" customFormat="1" x14ac:dyDescent="0.25">
      <c r="B195" s="165"/>
      <c r="AG195" s="162"/>
    </row>
    <row r="196" spans="2:33" s="65" customFormat="1" x14ac:dyDescent="0.25">
      <c r="B196" s="165"/>
      <c r="AG196" s="162"/>
    </row>
    <row r="197" spans="2:33" s="65" customFormat="1" x14ac:dyDescent="0.25">
      <c r="B197" s="165"/>
      <c r="AG197" s="162"/>
    </row>
    <row r="198" spans="2:33" s="65" customFormat="1" x14ac:dyDescent="0.25">
      <c r="B198" s="165"/>
      <c r="AG198" s="162"/>
    </row>
    <row r="199" spans="2:33" s="65" customFormat="1" x14ac:dyDescent="0.25">
      <c r="B199" s="165"/>
      <c r="AG199" s="162"/>
    </row>
    <row r="200" spans="2:33" s="65" customFormat="1" x14ac:dyDescent="0.25">
      <c r="B200" s="165"/>
      <c r="AG200" s="162"/>
    </row>
    <row r="201" spans="2:33" s="65" customFormat="1" x14ac:dyDescent="0.25">
      <c r="B201" s="165"/>
      <c r="AG201" s="162"/>
    </row>
    <row r="202" spans="2:33" s="65" customFormat="1" x14ac:dyDescent="0.25">
      <c r="B202" s="165"/>
      <c r="AG202" s="162"/>
    </row>
    <row r="203" spans="2:33" s="65" customFormat="1" x14ac:dyDescent="0.25">
      <c r="B203" s="165"/>
      <c r="AG203" s="162"/>
    </row>
    <row r="204" spans="2:33" s="65" customFormat="1" x14ac:dyDescent="0.25">
      <c r="B204" s="165"/>
      <c r="AG204" s="162"/>
    </row>
    <row r="205" spans="2:33" s="65" customFormat="1" x14ac:dyDescent="0.25">
      <c r="B205" s="165"/>
      <c r="AG205" s="162"/>
    </row>
    <row r="206" spans="2:33" s="65" customFormat="1" x14ac:dyDescent="0.25">
      <c r="B206" s="165"/>
      <c r="AG206" s="162"/>
    </row>
    <row r="207" spans="2:33" s="65" customFormat="1" x14ac:dyDescent="0.25">
      <c r="B207" s="165"/>
      <c r="AG207" s="162"/>
    </row>
    <row r="208" spans="2:33" s="65" customFormat="1" x14ac:dyDescent="0.25">
      <c r="B208" s="165"/>
      <c r="AG208" s="162"/>
    </row>
    <row r="209" spans="2:33" s="65" customFormat="1" x14ac:dyDescent="0.25">
      <c r="B209" s="165"/>
      <c r="AG209" s="162"/>
    </row>
    <row r="210" spans="2:33" s="65" customFormat="1" x14ac:dyDescent="0.25">
      <c r="B210" s="165"/>
      <c r="AG210" s="162"/>
    </row>
    <row r="211" spans="2:33" s="65" customFormat="1" x14ac:dyDescent="0.25">
      <c r="B211" s="165"/>
      <c r="AG211" s="162"/>
    </row>
    <row r="212" spans="2:33" s="65" customFormat="1" x14ac:dyDescent="0.25">
      <c r="B212" s="165"/>
      <c r="AG212" s="162"/>
    </row>
    <row r="213" spans="2:33" s="65" customFormat="1" x14ac:dyDescent="0.25">
      <c r="B213" s="165"/>
      <c r="AG213" s="162"/>
    </row>
    <row r="214" spans="2:33" s="65" customFormat="1" x14ac:dyDescent="0.25">
      <c r="B214" s="165"/>
      <c r="AG214" s="162"/>
    </row>
    <row r="215" spans="2:33" s="65" customFormat="1" x14ac:dyDescent="0.25">
      <c r="B215" s="165"/>
      <c r="AG215" s="162"/>
    </row>
    <row r="216" spans="2:33" s="65" customFormat="1" x14ac:dyDescent="0.25">
      <c r="B216" s="165"/>
      <c r="AG216" s="162"/>
    </row>
    <row r="217" spans="2:33" s="65" customFormat="1" x14ac:dyDescent="0.25">
      <c r="B217" s="165"/>
      <c r="AG217" s="162"/>
    </row>
    <row r="218" spans="2:33" s="65" customFormat="1" x14ac:dyDescent="0.25">
      <c r="B218" s="165"/>
      <c r="AG218" s="162"/>
    </row>
    <row r="219" spans="2:33" s="65" customFormat="1" x14ac:dyDescent="0.25">
      <c r="B219" s="165"/>
      <c r="AG219" s="162"/>
    </row>
    <row r="220" spans="2:33" s="65" customFormat="1" x14ac:dyDescent="0.25">
      <c r="B220" s="165"/>
      <c r="AG220" s="162"/>
    </row>
    <row r="221" spans="2:33" s="65" customFormat="1" x14ac:dyDescent="0.25">
      <c r="B221" s="165"/>
      <c r="AG221" s="162"/>
    </row>
    <row r="222" spans="2:33" s="65" customFormat="1" x14ac:dyDescent="0.25">
      <c r="B222" s="165"/>
      <c r="AG222" s="162"/>
    </row>
    <row r="223" spans="2:33" s="65" customFormat="1" x14ac:dyDescent="0.25">
      <c r="B223" s="165"/>
      <c r="AG223" s="162"/>
    </row>
    <row r="224" spans="2:33" s="65" customFormat="1" x14ac:dyDescent="0.25">
      <c r="B224" s="165"/>
      <c r="AG224" s="162"/>
    </row>
    <row r="225" spans="2:33" s="65" customFormat="1" x14ac:dyDescent="0.25">
      <c r="B225" s="165"/>
      <c r="AG225" s="162"/>
    </row>
    <row r="226" spans="2:33" s="65" customFormat="1" x14ac:dyDescent="0.25">
      <c r="B226" s="165"/>
      <c r="AG226" s="162"/>
    </row>
    <row r="227" spans="2:33" s="65" customFormat="1" x14ac:dyDescent="0.25">
      <c r="B227" s="165"/>
      <c r="AG227" s="162"/>
    </row>
    <row r="228" spans="2:33" s="65" customFormat="1" x14ac:dyDescent="0.25">
      <c r="B228" s="165"/>
      <c r="AG228" s="162"/>
    </row>
    <row r="229" spans="2:33" s="65" customFormat="1" x14ac:dyDescent="0.25">
      <c r="B229" s="165"/>
      <c r="AG229" s="162"/>
    </row>
    <row r="230" spans="2:33" s="65" customFormat="1" x14ac:dyDescent="0.25">
      <c r="B230" s="165"/>
      <c r="AG230" s="162"/>
    </row>
    <row r="231" spans="2:33" s="65" customFormat="1" x14ac:dyDescent="0.25">
      <c r="B231" s="165"/>
      <c r="AG231" s="162"/>
    </row>
    <row r="232" spans="2:33" s="65" customFormat="1" x14ac:dyDescent="0.25">
      <c r="B232" s="165"/>
      <c r="AG232" s="162"/>
    </row>
    <row r="233" spans="2:33" s="65" customFormat="1" x14ac:dyDescent="0.25">
      <c r="B233" s="165"/>
      <c r="AG233" s="162"/>
    </row>
    <row r="234" spans="2:33" s="65" customFormat="1" x14ac:dyDescent="0.25">
      <c r="B234" s="165"/>
      <c r="AG234" s="162"/>
    </row>
    <row r="235" spans="2:33" s="65" customFormat="1" x14ac:dyDescent="0.25">
      <c r="B235" s="165"/>
      <c r="AG235" s="162"/>
    </row>
    <row r="236" spans="2:33" s="65" customFormat="1" x14ac:dyDescent="0.25">
      <c r="B236" s="165"/>
      <c r="AG236" s="162"/>
    </row>
    <row r="237" spans="2:33" s="65" customFormat="1" x14ac:dyDescent="0.25">
      <c r="B237" s="165"/>
      <c r="AG237" s="162"/>
    </row>
    <row r="238" spans="2:33" s="65" customFormat="1" x14ac:dyDescent="0.25">
      <c r="B238" s="165"/>
      <c r="AG238" s="162"/>
    </row>
    <row r="239" spans="2:33" s="65" customFormat="1" x14ac:dyDescent="0.25">
      <c r="B239" s="165"/>
      <c r="AG239" s="162"/>
    </row>
    <row r="240" spans="2:33" s="65" customFormat="1" x14ac:dyDescent="0.25">
      <c r="B240" s="165"/>
      <c r="AG240" s="162"/>
    </row>
    <row r="241" spans="2:33" s="65" customFormat="1" x14ac:dyDescent="0.25">
      <c r="B241" s="165"/>
      <c r="AG241" s="162"/>
    </row>
    <row r="242" spans="2:33" s="65" customFormat="1" x14ac:dyDescent="0.25">
      <c r="B242" s="165"/>
      <c r="AG242" s="162"/>
    </row>
    <row r="243" spans="2:33" s="65" customFormat="1" x14ac:dyDescent="0.25">
      <c r="B243" s="165"/>
      <c r="AG243" s="162"/>
    </row>
    <row r="244" spans="2:33" s="65" customFormat="1" x14ac:dyDescent="0.25">
      <c r="B244" s="165"/>
      <c r="AG244" s="162"/>
    </row>
    <row r="245" spans="2:33" s="65" customFormat="1" x14ac:dyDescent="0.25">
      <c r="B245" s="165"/>
      <c r="AG245" s="162"/>
    </row>
    <row r="246" spans="2:33" s="65" customFormat="1" x14ac:dyDescent="0.25">
      <c r="B246" s="165"/>
      <c r="AG246" s="162"/>
    </row>
    <row r="247" spans="2:33" s="65" customFormat="1" x14ac:dyDescent="0.25">
      <c r="B247" s="165"/>
      <c r="AG247" s="162"/>
    </row>
    <row r="248" spans="2:33" s="65" customFormat="1" x14ac:dyDescent="0.25">
      <c r="B248" s="165"/>
      <c r="AG248" s="162"/>
    </row>
    <row r="249" spans="2:33" s="65" customFormat="1" x14ac:dyDescent="0.25">
      <c r="B249" s="165"/>
      <c r="AG249" s="162"/>
    </row>
  </sheetData>
  <mergeCells count="44">
    <mergeCell ref="M2:U2"/>
    <mergeCell ref="V2:AD2"/>
    <mergeCell ref="A2:C2"/>
    <mergeCell ref="B61:B66"/>
    <mergeCell ref="A61:A66"/>
    <mergeCell ref="D2:L2"/>
    <mergeCell ref="A101:A140"/>
    <mergeCell ref="B101:B121"/>
    <mergeCell ref="B122:B140"/>
    <mergeCell ref="A87:A91"/>
    <mergeCell ref="B87:B91"/>
    <mergeCell ref="A92:A95"/>
    <mergeCell ref="B92:B95"/>
    <mergeCell ref="A96:A98"/>
    <mergeCell ref="B96:B98"/>
    <mergeCell ref="A67:A74"/>
    <mergeCell ref="B67:B74"/>
    <mergeCell ref="A75:A86"/>
    <mergeCell ref="B75:B86"/>
    <mergeCell ref="A32:A36"/>
    <mergeCell ref="B32:B36"/>
    <mergeCell ref="A37:A50"/>
    <mergeCell ref="B37:B50"/>
    <mergeCell ref="A51:A60"/>
    <mergeCell ref="B51:B60"/>
    <mergeCell ref="A19:A21"/>
    <mergeCell ref="B19:B21"/>
    <mergeCell ref="A22:A28"/>
    <mergeCell ref="B22:B28"/>
    <mergeCell ref="A29:A31"/>
    <mergeCell ref="B29:B31"/>
    <mergeCell ref="A11:A12"/>
    <mergeCell ref="B11:B12"/>
    <mergeCell ref="A13:A14"/>
    <mergeCell ref="B13:B14"/>
    <mergeCell ref="A15:A18"/>
    <mergeCell ref="B15:B18"/>
    <mergeCell ref="A4:A6"/>
    <mergeCell ref="B4:B6"/>
    <mergeCell ref="A7:A8"/>
    <mergeCell ref="B7:B8"/>
    <mergeCell ref="A9:A10"/>
    <mergeCell ref="B9:B10"/>
    <mergeCell ref="A1:AG1"/>
  </mergeCells>
  <conditionalFormatting sqref="B83:B86 A75:B75 A9 AH2:XFD2 B19 B76:C82 B48:C50 A15:C15 A13:C13 C12 C8:C10 A67:C74 A1:C7 B11:C11 C14 C16:C21 C62:C66 A51:C61 A22:C47 A87:C98 A99 AE3:XFD98 AE1:XFD1 D1:AD3 D4:Q4 U4:AD4 G5:AD5 D6:AD9 D10:I10 O10:AD10 D11:AD15 D16:Q16 D17:AD27 D28:V31 X28:AD31 W28:W30 D32:AD50 AC51:AD51 D51:Y51 D52:AD61 D62 F62:AD62 D63:AD66 AA67:AD67 D67:V67 D68:AD70 D71:L71 R71:AD71 O71:P72 D72:AD74 R75:AD75 D75:P75 D76:AD98 A101:XFD1048576 C99:XFD99 Z100:AG100">
    <cfRule type="expression" dxfId="9" priority="7">
      <formula>OR(CELL("row")=ROW(), CELL("col")=COLUMN())</formula>
    </cfRule>
  </conditionalFormatting>
  <conditionalFormatting sqref="A11">
    <cfRule type="expression" dxfId="8" priority="6">
      <formula>OR(CELL("row")=ROW(), CELL("col")=COLUMN())</formula>
    </cfRule>
  </conditionalFormatting>
  <conditionalFormatting sqref="B99">
    <cfRule type="expression" dxfId="7" priority="5">
      <formula>OR(CELL("row")=ROW(), CELL("col")=COLUMN())</formula>
    </cfRule>
  </conditionalFormatting>
  <conditionalFormatting sqref="R16:AD16">
    <cfRule type="expression" dxfId="6" priority="4">
      <formula>OR(CELL("row")=ROW(), CELL("col")=COLUMN())</formula>
    </cfRule>
  </conditionalFormatting>
  <conditionalFormatting sqref="J10:N10">
    <cfRule type="expression" dxfId="5" priority="3">
      <formula>OR(CELL("row")=ROW(), CELL("col")=COLUMN())</formula>
    </cfRule>
  </conditionalFormatting>
  <conditionalFormatting sqref="H16:J16">
    <cfRule type="expression" dxfId="4" priority="2">
      <formula>OR(CELL("row")=ROW(), CELL("col")=COLUMN())</formula>
    </cfRule>
  </conditionalFormatting>
  <conditionalFormatting sqref="Q71">
    <cfRule type="expression" dxfId="3" priority="1">
      <formula>OR(CELL("row")=ROW(), CELL("col")=COLUMN())</formula>
    </cfRule>
  </conditionalFormatting>
  <dataValidations count="6">
    <dataValidation allowBlank="1" showInputMessage="1" showErrorMessage="1" prompt="Entrance Aesthetic Dado" sqref="H6:L6"/>
    <dataValidation allowBlank="1" showInputMessage="1" showErrorMessage="1" prompt="Procurment of Remaining DSU &amp; Splits" sqref="H29:T29 M30:T31"/>
    <dataValidation allowBlank="1" showInputMessage="1" showErrorMessage="1" prompt="Fixing of Fire Detectors &amp; Extinguishers" sqref="W38:AA38"/>
    <dataValidation allowBlank="1" showInputMessage="1" showErrorMessage="1" prompt="Revised Layout Approval Pending" sqref="D29:G29"/>
    <dataValidation allowBlank="1" showInputMessage="1" showErrorMessage="1" prompt="Remaining Ducting" sqref="D27"/>
    <dataValidation allowBlank="1" showInputMessage="1" showErrorMessage="1" prompt="Fixing of Modular Boxes" sqref="D34:G35"/>
  </dataValidations>
  <pageMargins left="0.23622047244094491" right="3.937007874015748E-2" top="0.46" bottom="0.4" header="0.31496062992125984" footer="0.31496062992125984"/>
  <pageSetup paperSize="9" scale="60" fitToHeight="0" orientation="landscape" r:id="rId1"/>
  <rowBreaks count="1" manualBreakCount="1">
    <brk id="105" max="5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MILE STONES</vt:lpstr>
      <vt:lpstr>SOTC BAR CHART</vt:lpstr>
      <vt:lpstr>WARNING</vt:lpstr>
      <vt:lpstr>Sheet1</vt:lpstr>
      <vt:lpstr>ASTA Schedule</vt:lpstr>
      <vt:lpstr>'ASTA Schedule'!Print_Area</vt:lpstr>
      <vt:lpstr>'MILE STONES'!Print_Area</vt:lpstr>
      <vt:lpstr>'SOTC BAR CHART'!Print_Area</vt:lpstr>
      <vt:lpstr>'ASTA Schedule'!Print_Titles</vt:lpstr>
      <vt:lpstr>'SOTC BAR CHART'!Print_Titles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KUMAR GOUD</dc:creator>
  <cp:lastModifiedBy>ASTA INFRA</cp:lastModifiedBy>
  <cp:lastPrinted>2024-10-10T11:22:45Z</cp:lastPrinted>
  <dcterms:created xsi:type="dcterms:W3CDTF">2024-04-03T08:16:35Z</dcterms:created>
  <dcterms:modified xsi:type="dcterms:W3CDTF">2024-10-10T11:30:34Z</dcterms:modified>
</cp:coreProperties>
</file>