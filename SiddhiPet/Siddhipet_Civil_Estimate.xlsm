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26" yWindow="489" windowWidth="25349" windowHeight="10773" activeTab="8"/>
  </bookViews>
  <sheets>
    <sheet name="RoomWise" sheetId="4" r:id="rId1"/>
    <sheet name="RoomNames" sheetId="2" r:id="rId2"/>
    <sheet name="BOQ" sheetId="3" r:id="rId3"/>
    <sheet name="Estimation-Civil" sheetId="6" r:id="rId4"/>
    <sheet name="C-Datas" sheetId="8" r:id="rId5"/>
    <sheet name="GA" sheetId="9" r:id="rId6"/>
    <sheet name="Sheet2" sheetId="5" r:id="rId7"/>
    <sheet name="Sheet1" sheetId="10" r:id="rId8"/>
    <sheet name="Estimation-WS" sheetId="11" r:id="rId9"/>
  </sheets>
  <definedNames>
    <definedName name="_xlnm.Print_Area" localSheetId="1">RoomNames!$A$1:$F$33</definedName>
    <definedName name="_xlnm.Print_Area" localSheetId="0">RoomWise!$A$1:$AW$64</definedName>
  </definedNames>
  <calcPr calcId="145621"/>
</workbook>
</file>

<file path=xl/calcChain.xml><?xml version="1.0" encoding="utf-8"?>
<calcChain xmlns="http://schemas.openxmlformats.org/spreadsheetml/2006/main">
  <c r="H24" i="11" l="1"/>
  <c r="H23" i="11"/>
  <c r="H21" i="11"/>
  <c r="H20" i="11"/>
  <c r="H19" i="11"/>
  <c r="H18" i="11"/>
  <c r="H17" i="11"/>
  <c r="H16" i="11"/>
  <c r="H15" i="11"/>
  <c r="H13" i="11"/>
  <c r="H7" i="11"/>
  <c r="H8" i="11"/>
  <c r="H9" i="11"/>
  <c r="H10" i="11"/>
  <c r="H11" i="11"/>
  <c r="H12" i="11"/>
  <c r="H6" i="11"/>
  <c r="H1048" i="6" l="1"/>
  <c r="H1008" i="6"/>
  <c r="H1010" i="6"/>
  <c r="H1012" i="6"/>
  <c r="H1016" i="6"/>
  <c r="H1017" i="6"/>
  <c r="H1009" i="6"/>
  <c r="H1011" i="6"/>
  <c r="H1013" i="6"/>
  <c r="H1014" i="6"/>
  <c r="H1015" i="6"/>
  <c r="H1018" i="6"/>
  <c r="H1019" i="6"/>
  <c r="H1020" i="6"/>
  <c r="H1021" i="6"/>
  <c r="H1022" i="6"/>
  <c r="H1023" i="6"/>
  <c r="H1024" i="6"/>
  <c r="H1025" i="6"/>
  <c r="H1026" i="6"/>
  <c r="H1027" i="6"/>
  <c r="H1028" i="6"/>
  <c r="H1029" i="6"/>
  <c r="H1030" i="6"/>
  <c r="H1031" i="6"/>
  <c r="H1032" i="6"/>
  <c r="H1033" i="6"/>
  <c r="H1034" i="6"/>
  <c r="H1035" i="6"/>
  <c r="H1036" i="6"/>
  <c r="H1037" i="6"/>
  <c r="H1038" i="6"/>
  <c r="H1039" i="6"/>
  <c r="H1040" i="6"/>
  <c r="H1041" i="6"/>
  <c r="H1042" i="6"/>
  <c r="H1043" i="6"/>
  <c r="H1044" i="6"/>
  <c r="H1045" i="6"/>
  <c r="H1046" i="6"/>
  <c r="H1047" i="6"/>
  <c r="J10" i="3" l="1"/>
  <c r="J9" i="3"/>
  <c r="I8" i="3"/>
  <c r="K8" i="3"/>
  <c r="J8" i="3"/>
  <c r="J7" i="3"/>
  <c r="J5" i="3"/>
  <c r="E30" i="3"/>
  <c r="F30" i="3" s="1"/>
  <c r="E29" i="3"/>
  <c r="F29" i="3" s="1"/>
  <c r="E28" i="3"/>
  <c r="E26" i="3"/>
  <c r="E25" i="3"/>
  <c r="E22" i="3"/>
  <c r="E21" i="3"/>
  <c r="E20" i="3"/>
  <c r="E19" i="3"/>
  <c r="E18" i="3"/>
  <c r="E16" i="3"/>
  <c r="E14" i="3"/>
  <c r="E13" i="3"/>
  <c r="J302" i="6"/>
  <c r="E12" i="3"/>
  <c r="E11" i="3"/>
  <c r="E10" i="3"/>
  <c r="E9" i="3"/>
  <c r="E8" i="3"/>
  <c r="E7" i="3"/>
  <c r="E6" i="3"/>
  <c r="E5" i="3"/>
  <c r="E4" i="3"/>
  <c r="J1062" i="6"/>
  <c r="J1059" i="6"/>
  <c r="H1062" i="6"/>
  <c r="H1059" i="6"/>
  <c r="K1059" i="6" s="1"/>
  <c r="K1062" i="6" l="1"/>
  <c r="J1056" i="6"/>
  <c r="I408" i="8"/>
  <c r="I409" i="8" s="1"/>
  <c r="I410" i="8" s="1"/>
  <c r="J1000" i="6" s="1"/>
  <c r="F408" i="8"/>
  <c r="J946" i="6" l="1"/>
  <c r="J851" i="6" l="1"/>
  <c r="J840" i="6"/>
  <c r="J835" i="6"/>
  <c r="J821" i="6"/>
  <c r="J601" i="6"/>
  <c r="J374" i="6"/>
  <c r="J310" i="6"/>
  <c r="J209" i="6"/>
  <c r="J144" i="6"/>
  <c r="J97" i="6"/>
  <c r="J89" i="6"/>
  <c r="J57" i="6"/>
  <c r="J43" i="6"/>
  <c r="J35" i="6"/>
  <c r="J31" i="6"/>
  <c r="J51" i="6"/>
  <c r="H1055" i="6" l="1"/>
  <c r="H1054" i="6"/>
  <c r="H1053" i="6"/>
  <c r="H1052" i="6"/>
  <c r="H1051" i="6"/>
  <c r="H1050" i="6"/>
  <c r="H1056" i="6" s="1"/>
  <c r="D28" i="3" l="1"/>
  <c r="F28" i="3" s="1"/>
  <c r="K1056" i="6"/>
  <c r="H1007" i="6"/>
  <c r="H1006" i="6"/>
  <c r="H1005" i="6"/>
  <c r="H1004" i="6"/>
  <c r="H1003" i="6"/>
  <c r="H1002" i="6"/>
  <c r="H999" i="6"/>
  <c r="H998" i="6"/>
  <c r="H997" i="6"/>
  <c r="H996" i="6"/>
  <c r="H995" i="6"/>
  <c r="H994" i="6"/>
  <c r="H993" i="6"/>
  <c r="H992" i="6"/>
  <c r="H991" i="6"/>
  <c r="H990" i="6"/>
  <c r="H989" i="6"/>
  <c r="H988" i="6"/>
  <c r="H987" i="6"/>
  <c r="H986" i="6"/>
  <c r="H985" i="6"/>
  <c r="H984" i="6"/>
  <c r="H983" i="6"/>
  <c r="H982" i="6"/>
  <c r="H981" i="6"/>
  <c r="H980"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3" i="6"/>
  <c r="H912" i="6"/>
  <c r="H911" i="6"/>
  <c r="H910" i="6"/>
  <c r="H909" i="6"/>
  <c r="H908" i="6"/>
  <c r="H907" i="6"/>
  <c r="H904"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853" i="6"/>
  <c r="H850" i="6"/>
  <c r="H849" i="6"/>
  <c r="H848" i="6"/>
  <c r="H847" i="6"/>
  <c r="H846" i="6"/>
  <c r="H845" i="6"/>
  <c r="H844" i="6"/>
  <c r="H843" i="6"/>
  <c r="H842" i="6"/>
  <c r="H839" i="6"/>
  <c r="H838" i="6"/>
  <c r="H837" i="6"/>
  <c r="O837" i="6"/>
  <c r="H834" i="6"/>
  <c r="H833" i="6"/>
  <c r="H832" i="6"/>
  <c r="H831" i="6"/>
  <c r="H830" i="6"/>
  <c r="H829" i="6"/>
  <c r="H828" i="6"/>
  <c r="H827" i="6"/>
  <c r="H826" i="6"/>
  <c r="H825" i="6"/>
  <c r="H824" i="6"/>
  <c r="H823" i="6"/>
  <c r="O824" i="6"/>
  <c r="O825" i="6"/>
  <c r="O826" i="6"/>
  <c r="O827" i="6"/>
  <c r="O828" i="6"/>
  <c r="O829" i="6"/>
  <c r="O830" i="6"/>
  <c r="O831" i="6"/>
  <c r="O832" i="6"/>
  <c r="O833" i="6"/>
  <c r="O823" i="6"/>
  <c r="H820" i="6"/>
  <c r="H819" i="6"/>
  <c r="H818" i="6"/>
  <c r="H817" i="6"/>
  <c r="H816" i="6"/>
  <c r="H815" i="6"/>
  <c r="H814" i="6"/>
  <c r="H813" i="6"/>
  <c r="H812" i="6"/>
  <c r="H811" i="6"/>
  <c r="H810" i="6"/>
  <c r="H809" i="6"/>
  <c r="H808" i="6"/>
  <c r="H807" i="6"/>
  <c r="H806" i="6"/>
  <c r="H805" i="6"/>
  <c r="H804"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30" i="6"/>
  <c r="H729" i="6"/>
  <c r="H728" i="6"/>
  <c r="H727" i="6"/>
  <c r="H726" i="6"/>
  <c r="H725" i="6"/>
  <c r="H724" i="6"/>
  <c r="H723" i="6"/>
  <c r="H722" i="6"/>
  <c r="H721" i="6"/>
  <c r="H720" i="6"/>
  <c r="H719" i="6"/>
  <c r="H718" i="6"/>
  <c r="H717" i="6"/>
  <c r="H716" i="6"/>
  <c r="H715" i="6"/>
  <c r="H714" i="6"/>
  <c r="H713" i="6"/>
  <c r="H712" i="6"/>
  <c r="H711" i="6"/>
  <c r="H710" i="6"/>
  <c r="H709" i="6"/>
  <c r="H708" i="6"/>
  <c r="H707" i="6"/>
  <c r="H706" i="6"/>
  <c r="H705" i="6"/>
  <c r="H704" i="6"/>
  <c r="H703" i="6"/>
  <c r="H702" i="6"/>
  <c r="H701"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H635" i="6"/>
  <c r="H634" i="6"/>
  <c r="H633" i="6"/>
  <c r="H632" i="6"/>
  <c r="H631" i="6"/>
  <c r="H630" i="6"/>
  <c r="H629" i="6"/>
  <c r="H628" i="6"/>
  <c r="H627" i="6"/>
  <c r="H626" i="6"/>
  <c r="H625" i="6"/>
  <c r="H624" i="6"/>
  <c r="H623" i="6"/>
  <c r="H622" i="6"/>
  <c r="H621" i="6"/>
  <c r="H620" i="6"/>
  <c r="H619" i="6"/>
  <c r="H618" i="6"/>
  <c r="H617" i="6"/>
  <c r="H616" i="6"/>
  <c r="H615" i="6"/>
  <c r="H614" i="6"/>
  <c r="H613" i="6"/>
  <c r="H612" i="6"/>
  <c r="H611" i="6"/>
  <c r="H610" i="6"/>
  <c r="H609" i="6"/>
  <c r="H608" i="6"/>
  <c r="H607" i="6"/>
  <c r="H606" i="6"/>
  <c r="H605" i="6"/>
  <c r="H604" i="6"/>
  <c r="H60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840" i="6" l="1"/>
  <c r="H905" i="6"/>
  <c r="H946" i="6"/>
  <c r="D25" i="3" s="1"/>
  <c r="F25" i="3" s="1"/>
  <c r="K946" i="6"/>
  <c r="H1000" i="6"/>
  <c r="D21" i="3"/>
  <c r="F21" i="3" s="1"/>
  <c r="K840" i="6"/>
  <c r="D23" i="3"/>
  <c r="F23" i="3" s="1"/>
  <c r="K905" i="6"/>
  <c r="H835" i="6"/>
  <c r="H914" i="6"/>
  <c r="H851" i="6"/>
  <c r="H821" i="6"/>
  <c r="D24" i="3" l="1"/>
  <c r="F24" i="3" s="1"/>
  <c r="K914" i="6"/>
  <c r="D19" i="3"/>
  <c r="F19" i="3" s="1"/>
  <c r="K821" i="6"/>
  <c r="D20" i="3"/>
  <c r="F20" i="3" s="1"/>
  <c r="K835" i="6"/>
  <c r="D22" i="3"/>
  <c r="F22" i="3" s="1"/>
  <c r="K851" i="6"/>
  <c r="D26" i="3"/>
  <c r="F26" i="3" s="1"/>
  <c r="K1000" i="6"/>
  <c r="D27" i="3"/>
  <c r="F27" i="3" s="1"/>
  <c r="K1048" i="6"/>
  <c r="H383" i="6"/>
  <c r="H601" i="6" l="1"/>
  <c r="D18" i="3" l="1"/>
  <c r="F18" i="3" s="1"/>
  <c r="K601"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5" i="6"/>
  <c r="H324" i="6"/>
  <c r="H323" i="6"/>
  <c r="H380" i="6"/>
  <c r="H379" i="6"/>
  <c r="H378" i="6"/>
  <c r="H377" i="6"/>
  <c r="H322" i="6"/>
  <c r="H321" i="6"/>
  <c r="H320" i="6"/>
  <c r="H319" i="6"/>
  <c r="H318" i="6"/>
  <c r="H317" i="6"/>
  <c r="H316" i="6"/>
  <c r="H315" i="6"/>
  <c r="H314" i="6"/>
  <c r="H376" i="6"/>
  <c r="H313" i="6"/>
  <c r="H312" i="6"/>
  <c r="H309" i="6"/>
  <c r="H308" i="6"/>
  <c r="H307" i="6"/>
  <c r="H306" i="6"/>
  <c r="H305" i="6"/>
  <c r="H304" i="6"/>
  <c r="H301" i="6"/>
  <c r="H300" i="6"/>
  <c r="H296" i="6"/>
  <c r="H295" i="6"/>
  <c r="H294" i="6"/>
  <c r="H293" i="6"/>
  <c r="H292" i="6"/>
  <c r="H291" i="6"/>
  <c r="H290" i="6"/>
  <c r="H287" i="6"/>
  <c r="H285" i="6"/>
  <c r="H284" i="6"/>
  <c r="H282" i="6"/>
  <c r="H281" i="6"/>
  <c r="H280" i="6"/>
  <c r="H279" i="6"/>
  <c r="H278" i="6"/>
  <c r="H277" i="6"/>
  <c r="H276" i="6"/>
  <c r="H275" i="6"/>
  <c r="H272" i="6"/>
  <c r="H271" i="6"/>
  <c r="H268" i="6"/>
  <c r="T43" i="4"/>
  <c r="T29" i="4"/>
  <c r="R42" i="4"/>
  <c r="R25" i="4"/>
  <c r="R26" i="4"/>
  <c r="R27" i="4"/>
  <c r="R28" i="4"/>
  <c r="R30" i="4"/>
  <c r="R31" i="4"/>
  <c r="R33" i="4"/>
  <c r="R34" i="4"/>
  <c r="R4" i="4"/>
  <c r="H299" i="6"/>
  <c r="H298" i="6"/>
  <c r="H297" i="6"/>
  <c r="H289" i="6"/>
  <c r="H288" i="6"/>
  <c r="H286" i="6"/>
  <c r="H283" i="6"/>
  <c r="H274" i="6"/>
  <c r="H273" i="6"/>
  <c r="H270" i="6"/>
  <c r="H269"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302" i="6" l="1"/>
  <c r="H381" i="6"/>
  <c r="H310" i="6"/>
  <c r="H374" i="6"/>
  <c r="H326" i="6"/>
  <c r="H146" i="6"/>
  <c r="H209" i="6" s="1"/>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96" i="6"/>
  <c r="H95" i="6"/>
  <c r="H94" i="6"/>
  <c r="H93" i="6"/>
  <c r="H92" i="6"/>
  <c r="H91" i="6"/>
  <c r="H88" i="6"/>
  <c r="H87" i="6"/>
  <c r="H85" i="6"/>
  <c r="H86" i="6"/>
  <c r="H84" i="6"/>
  <c r="H83" i="6"/>
  <c r="H82" i="6"/>
  <c r="H81" i="6"/>
  <c r="H80" i="6"/>
  <c r="H79" i="6"/>
  <c r="H78" i="6"/>
  <c r="H77" i="6"/>
  <c r="H63" i="6"/>
  <c r="H76" i="6"/>
  <c r="H75" i="6"/>
  <c r="H74" i="6"/>
  <c r="H73" i="6"/>
  <c r="H72" i="6"/>
  <c r="H71" i="6"/>
  <c r="H70" i="6"/>
  <c r="H69" i="6"/>
  <c r="H68" i="6"/>
  <c r="H67" i="6"/>
  <c r="H66" i="6"/>
  <c r="H65" i="6"/>
  <c r="H64" i="6"/>
  <c r="H62" i="6"/>
  <c r="H61" i="6"/>
  <c r="H60" i="6"/>
  <c r="H59" i="6"/>
  <c r="H56" i="6"/>
  <c r="H55" i="6"/>
  <c r="H54" i="6"/>
  <c r="H53" i="6"/>
  <c r="H50" i="6"/>
  <c r="H49" i="6"/>
  <c r="H48" i="6"/>
  <c r="H47" i="6"/>
  <c r="H46" i="6"/>
  <c r="H45" i="6"/>
  <c r="H40" i="6"/>
  <c r="H41" i="6"/>
  <c r="H30" i="6"/>
  <c r="H42" i="6"/>
  <c r="H39" i="6"/>
  <c r="H38" i="6"/>
  <c r="H37" i="6"/>
  <c r="H29" i="6"/>
  <c r="H34" i="6"/>
  <c r="H33" i="6"/>
  <c r="H28" i="6"/>
  <c r="H31" i="6" s="1"/>
  <c r="H35" i="6" l="1"/>
  <c r="K31" i="6"/>
  <c r="D4" i="3"/>
  <c r="F4" i="3" s="1"/>
  <c r="H43" i="6"/>
  <c r="D6" i="3" s="1"/>
  <c r="F6" i="3" s="1"/>
  <c r="D12" i="3"/>
  <c r="F12" i="3" s="1"/>
  <c r="K209" i="6"/>
  <c r="D16" i="3"/>
  <c r="F16" i="3" s="1"/>
  <c r="K374" i="6"/>
  <c r="D17" i="3"/>
  <c r="F17" i="3" s="1"/>
  <c r="K381" i="6"/>
  <c r="D5" i="3"/>
  <c r="F5" i="3" s="1"/>
  <c r="K35" i="6"/>
  <c r="D15" i="3"/>
  <c r="F15" i="3" s="1"/>
  <c r="K326" i="6"/>
  <c r="D14" i="3"/>
  <c r="F14" i="3" s="1"/>
  <c r="K310" i="6"/>
  <c r="D13" i="3"/>
  <c r="F13" i="3" s="1"/>
  <c r="K302" i="6"/>
  <c r="H51" i="6"/>
  <c r="H57" i="6"/>
  <c r="H89" i="6"/>
  <c r="H97" i="6"/>
  <c r="H144" i="6"/>
  <c r="K43" i="6"/>
  <c r="H7" i="6"/>
  <c r="H8" i="6"/>
  <c r="H9" i="6"/>
  <c r="H10" i="6"/>
  <c r="H11" i="6"/>
  <c r="H12" i="6"/>
  <c r="H13" i="6"/>
  <c r="H14" i="6"/>
  <c r="H15" i="6"/>
  <c r="H16" i="6"/>
  <c r="H17" i="6"/>
  <c r="H18" i="6"/>
  <c r="H19" i="6"/>
  <c r="H20" i="6"/>
  <c r="H21" i="6"/>
  <c r="H22" i="6"/>
  <c r="H23" i="6"/>
  <c r="H24" i="6"/>
  <c r="H25" i="6"/>
  <c r="H6" i="6"/>
  <c r="N8" i="4"/>
  <c r="D11" i="3" l="1"/>
  <c r="F11" i="3" s="1"/>
  <c r="K144" i="6"/>
  <c r="K89" i="6"/>
  <c r="D9" i="3"/>
  <c r="F9" i="3" s="1"/>
  <c r="K51" i="6"/>
  <c r="D7" i="3"/>
  <c r="F7" i="3" s="1"/>
  <c r="D10" i="3"/>
  <c r="F10" i="3" s="1"/>
  <c r="K97" i="6"/>
  <c r="K57" i="6"/>
  <c r="D8" i="3"/>
  <c r="F8" i="3" s="1"/>
  <c r="H26" i="6"/>
  <c r="D7" i="5"/>
  <c r="C7" i="5"/>
  <c r="K26" i="6" l="1"/>
  <c r="K1064" i="6" s="1"/>
  <c r="C3" i="9" s="1"/>
  <c r="C11" i="9" s="1"/>
  <c r="D3" i="3"/>
  <c r="F3" i="3" s="1"/>
  <c r="F31" i="3" s="1"/>
  <c r="AK56" i="4"/>
  <c r="AL56" i="4"/>
  <c r="AM56" i="4"/>
  <c r="AN56" i="4"/>
  <c r="AO56" i="4"/>
  <c r="AP56" i="4"/>
  <c r="AQ56" i="4"/>
  <c r="AG56" i="4" l="1"/>
  <c r="AH56" i="4"/>
  <c r="AI56" i="4"/>
  <c r="AJ56" i="4"/>
  <c r="AF16" i="4" l="1"/>
  <c r="AD17" i="4"/>
  <c r="AD79" i="4" l="1"/>
  <c r="AD78" i="4"/>
  <c r="AD80" i="4" s="1"/>
  <c r="AD76" i="4"/>
  <c r="AF56" i="4"/>
  <c r="Y17" i="4" l="1"/>
  <c r="Y36" i="4"/>
  <c r="Y10" i="4"/>
  <c r="Y34" i="4"/>
  <c r="Y33" i="4"/>
  <c r="Y31" i="4"/>
  <c r="Y30" i="4"/>
  <c r="Y25" i="4"/>
  <c r="Y14" i="4"/>
  <c r="Y12" i="4"/>
  <c r="AA37" i="4"/>
  <c r="AA20" i="4"/>
  <c r="AA19" i="4"/>
  <c r="AA15" i="4"/>
  <c r="AA13" i="4"/>
  <c r="AA11" i="4"/>
  <c r="Z56" i="4"/>
  <c r="X37" i="4"/>
  <c r="T37" i="4"/>
  <c r="M37" i="4"/>
  <c r="F37" i="4"/>
  <c r="U37" i="4"/>
  <c r="X11" i="4"/>
  <c r="M11" i="4"/>
  <c r="T11" i="4" s="1"/>
  <c r="F11" i="4"/>
  <c r="U11" i="4"/>
  <c r="X20" i="4"/>
  <c r="X19" i="4"/>
  <c r="X15" i="4"/>
  <c r="X13" i="4"/>
  <c r="W41" i="4"/>
  <c r="W40" i="4"/>
  <c r="W39" i="4"/>
  <c r="W38" i="4"/>
  <c r="W8" i="4"/>
  <c r="W56" i="4" s="1"/>
  <c r="V41" i="4"/>
  <c r="V40" i="4"/>
  <c r="V39" i="4"/>
  <c r="V38" i="4"/>
  <c r="V8" i="4"/>
  <c r="U5" i="4"/>
  <c r="U6" i="4"/>
  <c r="U7" i="4"/>
  <c r="U9" i="4"/>
  <c r="U10" i="4"/>
  <c r="U12" i="4"/>
  <c r="U13" i="4"/>
  <c r="U14" i="4"/>
  <c r="U15" i="4"/>
  <c r="U16" i="4"/>
  <c r="U17" i="4"/>
  <c r="U18" i="4"/>
  <c r="U19" i="4"/>
  <c r="U20" i="4"/>
  <c r="U21" i="4"/>
  <c r="U22" i="4"/>
  <c r="U23" i="4"/>
  <c r="U24" i="4"/>
  <c r="U25" i="4"/>
  <c r="U26" i="4"/>
  <c r="U27" i="4"/>
  <c r="U28" i="4"/>
  <c r="U29" i="4"/>
  <c r="U30" i="4"/>
  <c r="U31" i="4"/>
  <c r="U32" i="4"/>
  <c r="U33" i="4"/>
  <c r="U34" i="4"/>
  <c r="U35" i="4"/>
  <c r="U36" i="4"/>
  <c r="U42" i="4"/>
  <c r="U43" i="4"/>
  <c r="U44" i="4"/>
  <c r="U45" i="4"/>
  <c r="U46" i="4"/>
  <c r="U47" i="4"/>
  <c r="U48" i="4"/>
  <c r="U49" i="4"/>
  <c r="U50" i="4"/>
  <c r="U51" i="4"/>
  <c r="U52" i="4"/>
  <c r="U53" i="4"/>
  <c r="U54" i="4"/>
  <c r="U4" i="4"/>
  <c r="AB11" i="4" l="1"/>
  <c r="AC11" i="4"/>
  <c r="AA56" i="4"/>
  <c r="AC37" i="4"/>
  <c r="AB37" i="4"/>
  <c r="L54" i="4"/>
  <c r="AD54" i="4" s="1"/>
  <c r="T53" i="4"/>
  <c r="T48" i="4"/>
  <c r="Y90" i="4"/>
  <c r="Y89" i="4"/>
  <c r="Y88" i="4"/>
  <c r="Y87" i="4"/>
  <c r="Y86" i="4"/>
  <c r="T54" i="4" s="1"/>
  <c r="Y85" i="4"/>
  <c r="T51" i="4" s="1"/>
  <c r="Y84" i="4"/>
  <c r="Y83" i="4"/>
  <c r="Y82" i="4"/>
  <c r="T7" i="4"/>
  <c r="T47" i="4"/>
  <c r="S52" i="4"/>
  <c r="S51" i="4"/>
  <c r="S49" i="4"/>
  <c r="S39" i="4"/>
  <c r="S40" i="4"/>
  <c r="S41" i="4"/>
  <c r="S38" i="4"/>
  <c r="S27" i="4"/>
  <c r="S28" i="4"/>
  <c r="S29" i="4"/>
  <c r="S30" i="4"/>
  <c r="S31" i="4"/>
  <c r="S32" i="4"/>
  <c r="S33" i="4"/>
  <c r="S34" i="4"/>
  <c r="S26" i="4"/>
  <c r="S8" i="4"/>
  <c r="S7" i="4"/>
  <c r="S6" i="4"/>
  <c r="Q7" i="4"/>
  <c r="F7" i="4"/>
  <c r="R45" i="4"/>
  <c r="R44" i="4"/>
  <c r="R22" i="4"/>
  <c r="R23" i="4"/>
  <c r="R24" i="4"/>
  <c r="R21" i="4"/>
  <c r="R12" i="4"/>
  <c r="R9" i="4"/>
  <c r="R5" i="4"/>
  <c r="R14" i="4"/>
  <c r="R56" i="4"/>
  <c r="Y56" i="4"/>
  <c r="X56" i="4"/>
  <c r="V56" i="4"/>
  <c r="U56" i="4"/>
  <c r="Q5" i="4"/>
  <c r="Q6" i="4"/>
  <c r="Q8" i="4"/>
  <c r="Q9" i="4"/>
  <c r="Q10" i="4"/>
  <c r="Q12" i="4"/>
  <c r="Q14" i="4"/>
  <c r="Q16" i="4"/>
  <c r="Q17" i="4"/>
  <c r="Q18" i="4"/>
  <c r="Q21" i="4"/>
  <c r="Q22" i="4"/>
  <c r="Q23" i="4"/>
  <c r="Q24" i="4"/>
  <c r="Q25" i="4"/>
  <c r="Q26" i="4"/>
  <c r="Q27" i="4"/>
  <c r="Q28" i="4"/>
  <c r="Q29" i="4"/>
  <c r="Q30" i="4"/>
  <c r="Q31" i="4"/>
  <c r="Q32" i="4"/>
  <c r="Q33" i="4"/>
  <c r="Q34" i="4"/>
  <c r="Q35" i="4"/>
  <c r="Q36" i="4"/>
  <c r="Q38" i="4"/>
  <c r="Q39" i="4"/>
  <c r="Q40" i="4"/>
  <c r="Q41" i="4"/>
  <c r="Q42" i="4"/>
  <c r="Q43" i="4"/>
  <c r="Q44" i="4"/>
  <c r="Q45" i="4"/>
  <c r="Q46" i="4"/>
  <c r="Q47" i="4"/>
  <c r="Q48" i="4"/>
  <c r="Q49" i="4"/>
  <c r="Q50" i="4"/>
  <c r="Q51" i="4"/>
  <c r="Q52" i="4"/>
  <c r="Q53" i="4"/>
  <c r="Q54" i="4"/>
  <c r="Q4" i="4"/>
  <c r="P52" i="4"/>
  <c r="AE52" i="4" s="1"/>
  <c r="P51" i="4"/>
  <c r="AE51" i="4" s="1"/>
  <c r="P49" i="4"/>
  <c r="AE49" i="4" s="1"/>
  <c r="P48" i="4"/>
  <c r="AE48" i="4" s="1"/>
  <c r="P47" i="4"/>
  <c r="AE47" i="4" s="1"/>
  <c r="P46" i="4"/>
  <c r="AE46" i="4" s="1"/>
  <c r="P43" i="4"/>
  <c r="AE43" i="4" s="1"/>
  <c r="P42" i="4"/>
  <c r="AE42" i="4" s="1"/>
  <c r="P36" i="4"/>
  <c r="AE36" i="4" s="1"/>
  <c r="P34" i="4"/>
  <c r="AE34" i="4" s="1"/>
  <c r="P33" i="4"/>
  <c r="AE33" i="4" s="1"/>
  <c r="P32" i="4"/>
  <c r="AE32" i="4" s="1"/>
  <c r="P31" i="4"/>
  <c r="AE31" i="4" s="1"/>
  <c r="P30" i="4"/>
  <c r="AE30" i="4" s="1"/>
  <c r="P28" i="4"/>
  <c r="AE28" i="4" s="1"/>
  <c r="P27" i="4"/>
  <c r="AE27" i="4" s="1"/>
  <c r="P26" i="4"/>
  <c r="AE26" i="4" s="1"/>
  <c r="P25" i="4"/>
  <c r="AE25" i="4" s="1"/>
  <c r="P24" i="4"/>
  <c r="AE24" i="4" s="1"/>
  <c r="P23" i="4"/>
  <c r="AE23" i="4" s="1"/>
  <c r="P22" i="4"/>
  <c r="AE22" i="4" s="1"/>
  <c r="P21" i="4"/>
  <c r="AE21" i="4" s="1"/>
  <c r="P17" i="4"/>
  <c r="AE17" i="4" s="1"/>
  <c r="P14" i="4"/>
  <c r="P12" i="4"/>
  <c r="P10" i="4"/>
  <c r="AE10" i="4" s="1"/>
  <c r="P9" i="4"/>
  <c r="AE9" i="4" s="1"/>
  <c r="AC51" i="4" l="1"/>
  <c r="AB51" i="4"/>
  <c r="AB54" i="4"/>
  <c r="AC54" i="4"/>
  <c r="AE14" i="4"/>
  <c r="AE12" i="4"/>
  <c r="S56" i="4"/>
  <c r="AC7" i="4"/>
  <c r="AB7" i="4"/>
  <c r="AB48" i="4"/>
  <c r="AC48" i="4"/>
  <c r="AC53" i="4"/>
  <c r="AB53" i="4"/>
  <c r="AC47" i="4"/>
  <c r="AB47" i="4"/>
  <c r="T17" i="4"/>
  <c r="Q56" i="4"/>
  <c r="P4" i="4"/>
  <c r="O55" i="4"/>
  <c r="O52" i="4"/>
  <c r="T52" i="4" s="1"/>
  <c r="O50" i="4"/>
  <c r="T50" i="4" s="1"/>
  <c r="O49" i="4"/>
  <c r="K49" i="4"/>
  <c r="K46" i="4"/>
  <c r="T46" i="4" s="1"/>
  <c r="K45" i="4"/>
  <c r="K44" i="4"/>
  <c r="K43" i="4"/>
  <c r="K42" i="4"/>
  <c r="N41" i="4"/>
  <c r="N40" i="4"/>
  <c r="N39" i="4"/>
  <c r="N38" i="4"/>
  <c r="N56" i="4" s="1"/>
  <c r="L36" i="4"/>
  <c r="O35" i="4"/>
  <c r="K31" i="4"/>
  <c r="K32" i="4"/>
  <c r="T32" i="4" s="1"/>
  <c r="K33" i="4"/>
  <c r="K34" i="4"/>
  <c r="K30" i="4"/>
  <c r="K29" i="4"/>
  <c r="K28" i="4"/>
  <c r="K27" i="4"/>
  <c r="K26" i="4"/>
  <c r="K25" i="4"/>
  <c r="L22" i="4"/>
  <c r="L23" i="4"/>
  <c r="L24" i="4"/>
  <c r="L21" i="4"/>
  <c r="M20" i="4"/>
  <c r="T20" i="4" s="1"/>
  <c r="M19" i="4"/>
  <c r="T19" i="4" s="1"/>
  <c r="L18" i="4"/>
  <c r="L16" i="4"/>
  <c r="M15" i="4"/>
  <c r="T15" i="4" s="1"/>
  <c r="L14" i="4"/>
  <c r="AD14" i="4" s="1"/>
  <c r="M13" i="4"/>
  <c r="T13" i="4" s="1"/>
  <c r="L12" i="4"/>
  <c r="AD12" i="4" s="1"/>
  <c r="L10" i="4"/>
  <c r="K9" i="4"/>
  <c r="T9" i="4" s="1"/>
  <c r="K6" i="4"/>
  <c r="T6" i="4" s="1"/>
  <c r="K5" i="4"/>
  <c r="K4" i="4"/>
  <c r="K56" i="4" l="1"/>
  <c r="AB9" i="4"/>
  <c r="AC9" i="4"/>
  <c r="AD16" i="4"/>
  <c r="T16" i="4"/>
  <c r="AC5" i="4"/>
  <c r="AB5" i="4"/>
  <c r="AD10" i="4"/>
  <c r="T10" i="4"/>
  <c r="AC13" i="4"/>
  <c r="AB13" i="4"/>
  <c r="AB15" i="4"/>
  <c r="AC15" i="4"/>
  <c r="AD18" i="4"/>
  <c r="T18" i="4"/>
  <c r="AC20" i="4"/>
  <c r="AB20" i="4"/>
  <c r="AD24" i="4"/>
  <c r="AD22" i="4"/>
  <c r="AC26" i="4"/>
  <c r="AB26" i="4"/>
  <c r="AC28" i="4"/>
  <c r="AB28" i="4"/>
  <c r="AC30" i="4"/>
  <c r="AB30" i="4"/>
  <c r="AB33" i="4"/>
  <c r="AC33" i="4"/>
  <c r="AB31" i="4"/>
  <c r="AC31" i="4"/>
  <c r="AD36" i="4"/>
  <c r="T36" i="4"/>
  <c r="AC43" i="4"/>
  <c r="AB43" i="4"/>
  <c r="AC45" i="4"/>
  <c r="AB45" i="4"/>
  <c r="T49" i="4"/>
  <c r="AB50" i="4"/>
  <c r="AC50" i="4"/>
  <c r="AB12" i="4"/>
  <c r="AC14" i="4"/>
  <c r="AB6" i="4"/>
  <c r="AC6" i="4"/>
  <c r="AC19" i="4"/>
  <c r="AB19" i="4"/>
  <c r="AD21" i="4"/>
  <c r="AD23" i="4"/>
  <c r="AB25" i="4"/>
  <c r="AC25" i="4"/>
  <c r="AB27" i="4"/>
  <c r="AC27" i="4"/>
  <c r="AB29" i="4"/>
  <c r="AC29" i="4"/>
  <c r="AC34" i="4"/>
  <c r="AB34" i="4"/>
  <c r="AC32" i="4"/>
  <c r="AB32" i="4"/>
  <c r="O56" i="4"/>
  <c r="T35" i="4"/>
  <c r="AB42" i="4"/>
  <c r="AC42" i="4"/>
  <c r="AB44" i="4"/>
  <c r="AC44" i="4"/>
  <c r="AB46" i="4"/>
  <c r="AC46" i="4"/>
  <c r="AB52" i="4"/>
  <c r="AC52" i="4"/>
  <c r="P56" i="4"/>
  <c r="AE4" i="4"/>
  <c r="AE56" i="4" s="1"/>
  <c r="AB17" i="4"/>
  <c r="AC17" i="4"/>
  <c r="AC12" i="4"/>
  <c r="AB14" i="4"/>
  <c r="L56" i="4"/>
  <c r="M56" i="4"/>
  <c r="F54" i="4"/>
  <c r="F53" i="4"/>
  <c r="F52" i="4"/>
  <c r="F51" i="4"/>
  <c r="F50" i="4"/>
  <c r="F49" i="4"/>
  <c r="F48" i="4"/>
  <c r="F47" i="4"/>
  <c r="F46" i="4"/>
  <c r="F45" i="4"/>
  <c r="F44" i="4"/>
  <c r="F43" i="4"/>
  <c r="F42" i="4"/>
  <c r="F41" i="4"/>
  <c r="F40" i="4"/>
  <c r="F39" i="4"/>
  <c r="F38" i="4"/>
  <c r="F36" i="4"/>
  <c r="F35" i="4"/>
  <c r="F34" i="4"/>
  <c r="F33" i="4"/>
  <c r="F32" i="4"/>
  <c r="F31" i="4"/>
  <c r="F30" i="4"/>
  <c r="F29" i="4"/>
  <c r="F28" i="4"/>
  <c r="F27" i="4"/>
  <c r="F26" i="4"/>
  <c r="F25" i="4"/>
  <c r="F24" i="4"/>
  <c r="F23" i="4"/>
  <c r="F22" i="4"/>
  <c r="F21" i="4"/>
  <c r="F20" i="4"/>
  <c r="F19" i="4"/>
  <c r="F18" i="4"/>
  <c r="F17" i="4"/>
  <c r="F16" i="4"/>
  <c r="F15" i="4"/>
  <c r="F14" i="4"/>
  <c r="F13" i="4"/>
  <c r="F12" i="4"/>
  <c r="F10" i="4"/>
  <c r="F9" i="4"/>
  <c r="F8" i="4"/>
  <c r="F6" i="4"/>
  <c r="F5" i="4"/>
  <c r="F4" i="4"/>
  <c r="AC36" i="4" l="1"/>
  <c r="AB36" i="4"/>
  <c r="AC22" i="4"/>
  <c r="AB22" i="4"/>
  <c r="AC24" i="4"/>
  <c r="AB24" i="4"/>
  <c r="AC18" i="4"/>
  <c r="AB18" i="4"/>
  <c r="AC10" i="4"/>
  <c r="AB10" i="4"/>
  <c r="AC16" i="4"/>
  <c r="AB16" i="4"/>
  <c r="AC4" i="4"/>
  <c r="AB4" i="4"/>
  <c r="T56" i="4"/>
  <c r="AB35" i="4"/>
  <c r="AC35" i="4"/>
  <c r="AB23" i="4"/>
  <c r="AC23" i="4"/>
  <c r="AB21" i="4"/>
  <c r="AC21" i="4"/>
  <c r="AC49" i="4"/>
  <c r="AB49" i="4"/>
  <c r="AD56" i="4"/>
  <c r="F56" i="4"/>
  <c r="Q8" i="2"/>
  <c r="P8" i="2"/>
  <c r="Q4" i="2"/>
  <c r="Q5" i="2"/>
  <c r="Q6" i="2"/>
  <c r="Q7" i="2"/>
  <c r="Q3" i="2"/>
  <c r="P7" i="2"/>
  <c r="P6" i="2"/>
  <c r="P5" i="2"/>
  <c r="P4" i="2"/>
  <c r="P3" i="2"/>
  <c r="AB56" i="4" l="1"/>
  <c r="AC56" i="4"/>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3" i="2"/>
  <c r="F51" i="2" s="1"/>
</calcChain>
</file>

<file path=xl/comments1.xml><?xml version="1.0" encoding="utf-8"?>
<comments xmlns="http://schemas.openxmlformats.org/spreadsheetml/2006/main">
  <authors>
    <author>ASTA INFRA</author>
  </authors>
  <commentList>
    <comment ref="J26" authorId="0">
      <text>
        <r>
          <rPr>
            <b/>
            <sz val="9"/>
            <color indexed="81"/>
            <rFont val="Tahoma"/>
            <charset val="1"/>
          </rPr>
          <t>ASTA INFRA:</t>
        </r>
        <r>
          <rPr>
            <sz val="9"/>
            <color indexed="81"/>
            <rFont val="Tahoma"/>
            <charset val="1"/>
          </rPr>
          <t xml:space="preserve">
SOTC Rate</t>
        </r>
      </text>
    </comment>
    <comment ref="J326" authorId="0">
      <text>
        <r>
          <rPr>
            <b/>
            <sz val="9"/>
            <color indexed="81"/>
            <rFont val="Tahoma"/>
            <charset val="1"/>
          </rPr>
          <t>ASTA INFRA:</t>
        </r>
        <r>
          <rPr>
            <sz val="9"/>
            <color indexed="81"/>
            <rFont val="Tahoma"/>
            <charset val="1"/>
          </rPr>
          <t xml:space="preserve">
IVF Rate</t>
        </r>
      </text>
    </comment>
    <comment ref="J381" authorId="0">
      <text>
        <r>
          <rPr>
            <b/>
            <sz val="9"/>
            <color indexed="81"/>
            <rFont val="Tahoma"/>
            <charset val="1"/>
          </rPr>
          <t>ASTA INFRA:</t>
        </r>
        <r>
          <rPr>
            <sz val="9"/>
            <color indexed="81"/>
            <rFont val="Tahoma"/>
            <charset val="1"/>
          </rPr>
          <t xml:space="preserve">
SOTC Rate</t>
        </r>
      </text>
    </comment>
    <comment ref="J905" authorId="0">
      <text>
        <r>
          <rPr>
            <b/>
            <sz val="9"/>
            <color indexed="81"/>
            <rFont val="Tahoma"/>
            <charset val="1"/>
          </rPr>
          <t>ASTA INFRA:</t>
        </r>
        <r>
          <rPr>
            <sz val="9"/>
            <color indexed="81"/>
            <rFont val="Tahoma"/>
            <charset val="1"/>
          </rPr>
          <t xml:space="preserve">
IVF Rate</t>
        </r>
      </text>
    </comment>
    <comment ref="J914" authorId="0">
      <text>
        <r>
          <rPr>
            <b/>
            <sz val="9"/>
            <color indexed="81"/>
            <rFont val="Tahoma"/>
            <charset val="1"/>
          </rPr>
          <t>ASTA INFRA:</t>
        </r>
        <r>
          <rPr>
            <sz val="9"/>
            <color indexed="81"/>
            <rFont val="Tahoma"/>
            <charset val="1"/>
          </rPr>
          <t xml:space="preserve">
IVF Rate</t>
        </r>
      </text>
    </comment>
    <comment ref="J1048" authorId="0">
      <text>
        <r>
          <rPr>
            <b/>
            <sz val="9"/>
            <color indexed="81"/>
            <rFont val="Tahoma"/>
            <charset val="1"/>
          </rPr>
          <t>ASTA INFRA:</t>
        </r>
        <r>
          <rPr>
            <sz val="9"/>
            <color indexed="81"/>
            <rFont val="Tahoma"/>
            <charset val="1"/>
          </rPr>
          <t xml:space="preserve">
SOTC Rate</t>
        </r>
      </text>
    </comment>
  </commentList>
</comments>
</file>

<file path=xl/comments2.xml><?xml version="1.0" encoding="utf-8"?>
<comments xmlns="http://schemas.openxmlformats.org/spreadsheetml/2006/main">
  <authors>
    <author>ASTA INFRA</author>
  </authors>
  <commentList>
    <comment ref="J26" authorId="0">
      <text>
        <r>
          <rPr>
            <b/>
            <sz val="9"/>
            <color indexed="81"/>
            <rFont val="Tahoma"/>
            <charset val="1"/>
          </rPr>
          <t>ASTA INFRA:</t>
        </r>
        <r>
          <rPr>
            <sz val="9"/>
            <color indexed="81"/>
            <rFont val="Tahoma"/>
            <charset val="1"/>
          </rPr>
          <t xml:space="preserve">
SOTC Rate</t>
        </r>
      </text>
    </comment>
    <comment ref="J326" authorId="0">
      <text>
        <r>
          <rPr>
            <b/>
            <sz val="9"/>
            <color indexed="81"/>
            <rFont val="Tahoma"/>
            <charset val="1"/>
          </rPr>
          <t>ASTA INFRA:</t>
        </r>
        <r>
          <rPr>
            <sz val="9"/>
            <color indexed="81"/>
            <rFont val="Tahoma"/>
            <charset val="1"/>
          </rPr>
          <t xml:space="preserve">
IVF Rate</t>
        </r>
      </text>
    </comment>
    <comment ref="J381" authorId="0">
      <text>
        <r>
          <rPr>
            <b/>
            <sz val="9"/>
            <color indexed="81"/>
            <rFont val="Tahoma"/>
            <charset val="1"/>
          </rPr>
          <t>ASTA INFRA:</t>
        </r>
        <r>
          <rPr>
            <sz val="9"/>
            <color indexed="81"/>
            <rFont val="Tahoma"/>
            <charset val="1"/>
          </rPr>
          <t xml:space="preserve">
SOTC Rate</t>
        </r>
      </text>
    </comment>
    <comment ref="J905" authorId="0">
      <text>
        <r>
          <rPr>
            <b/>
            <sz val="9"/>
            <color indexed="81"/>
            <rFont val="Tahoma"/>
            <charset val="1"/>
          </rPr>
          <t>ASTA INFRA:</t>
        </r>
        <r>
          <rPr>
            <sz val="9"/>
            <color indexed="81"/>
            <rFont val="Tahoma"/>
            <charset val="1"/>
          </rPr>
          <t xml:space="preserve">
IVF Rate</t>
        </r>
      </text>
    </comment>
    <comment ref="J914" authorId="0">
      <text>
        <r>
          <rPr>
            <b/>
            <sz val="9"/>
            <color indexed="81"/>
            <rFont val="Tahoma"/>
            <charset val="1"/>
          </rPr>
          <t>ASTA INFRA:</t>
        </r>
        <r>
          <rPr>
            <sz val="9"/>
            <color indexed="81"/>
            <rFont val="Tahoma"/>
            <charset val="1"/>
          </rPr>
          <t xml:space="preserve">
IVF Rate</t>
        </r>
      </text>
    </comment>
    <comment ref="J1048" authorId="0">
      <text>
        <r>
          <rPr>
            <b/>
            <sz val="9"/>
            <color indexed="81"/>
            <rFont val="Tahoma"/>
            <charset val="1"/>
          </rPr>
          <t>ASTA INFRA:</t>
        </r>
        <r>
          <rPr>
            <sz val="9"/>
            <color indexed="81"/>
            <rFont val="Tahoma"/>
            <charset val="1"/>
          </rPr>
          <t xml:space="preserve">
SOTC Rate</t>
        </r>
      </text>
    </comment>
  </commentList>
</comments>
</file>

<file path=xl/sharedStrings.xml><?xml version="1.0" encoding="utf-8"?>
<sst xmlns="http://schemas.openxmlformats.org/spreadsheetml/2006/main" count="2214" uniqueCount="521">
  <si>
    <t>S.No</t>
  </si>
  <si>
    <t>Room Name</t>
  </si>
  <si>
    <t>Dimensions</t>
  </si>
  <si>
    <t>Length (mm)</t>
  </si>
  <si>
    <t>Breadth (mm)</t>
  </si>
  <si>
    <t>OT Stores/Instruments</t>
  </si>
  <si>
    <t>Theatre Pack Preparation</t>
  </si>
  <si>
    <t>Pre Operative Ward</t>
  </si>
  <si>
    <t>Duty Nurse Room</t>
  </si>
  <si>
    <t>Officer In Charge Room</t>
  </si>
  <si>
    <t>OT Reception</t>
  </si>
  <si>
    <t>OT Entrance Foyer/Patient Holding</t>
  </si>
  <si>
    <t>Toilet @ Duty Nurse Room</t>
  </si>
  <si>
    <t>Toilet @ Officer In Charge Room</t>
  </si>
  <si>
    <t>Toillet-01</t>
  </si>
  <si>
    <t>Toillet-02</t>
  </si>
  <si>
    <t>Change Room-01</t>
  </si>
  <si>
    <t>Change Room-02</t>
  </si>
  <si>
    <t>Change Room-03</t>
  </si>
  <si>
    <t>Anesthesia Room</t>
  </si>
  <si>
    <t>OT Lenin Stors</t>
  </si>
  <si>
    <t>OT Bood Stores</t>
  </si>
  <si>
    <t>OT Pharmacy Stoes</t>
  </si>
  <si>
    <t>Doctor's Work Room</t>
  </si>
  <si>
    <t>Anesthetist's Work Room</t>
  </si>
  <si>
    <t>Sterilization Room-01</t>
  </si>
  <si>
    <t>Sterilization Room-02</t>
  </si>
  <si>
    <t>Nurses Work Room</t>
  </si>
  <si>
    <t>Students Work Room</t>
  </si>
  <si>
    <t>Lobby</t>
  </si>
  <si>
    <t>Recovery Ward</t>
  </si>
  <si>
    <t>OT Equipment Store Room</t>
  </si>
  <si>
    <t>Electrical Room</t>
  </si>
  <si>
    <t>Class IV Room</t>
  </si>
  <si>
    <t>Dirty Linen Room-01</t>
  </si>
  <si>
    <t>Dirty Linen Room-02</t>
  </si>
  <si>
    <t>Corridor-A</t>
  </si>
  <si>
    <t>Corridor-B</t>
  </si>
  <si>
    <t>Corridor-C</t>
  </si>
  <si>
    <t>Corridor-D</t>
  </si>
  <si>
    <t>Corridor-E</t>
  </si>
  <si>
    <t>Corridor-F</t>
  </si>
  <si>
    <t>Corridor-G</t>
  </si>
  <si>
    <t>Corridor-H</t>
  </si>
  <si>
    <t>UPS &amp; electrical Room</t>
  </si>
  <si>
    <t>Sterilization Room-03</t>
  </si>
  <si>
    <t>Opthalmology OT-01</t>
  </si>
  <si>
    <t>Orthopedic OT-05</t>
  </si>
  <si>
    <t>Orthopedic OT-04</t>
  </si>
  <si>
    <t>ENT OT-03</t>
  </si>
  <si>
    <t>Gen Surgery OT-02</t>
  </si>
  <si>
    <t>Wide Passage at CH Rooms</t>
  </si>
  <si>
    <t>Room No</t>
  </si>
  <si>
    <t>7A</t>
  </si>
  <si>
    <t>8A</t>
  </si>
  <si>
    <t>11A</t>
  </si>
  <si>
    <t>11B</t>
  </si>
  <si>
    <t>11C</t>
  </si>
  <si>
    <t>11D</t>
  </si>
  <si>
    <t>11E</t>
  </si>
  <si>
    <t>11F</t>
  </si>
  <si>
    <t>A</t>
  </si>
  <si>
    <t>B</t>
  </si>
  <si>
    <t>C</t>
  </si>
  <si>
    <t>D</t>
  </si>
  <si>
    <t>E</t>
  </si>
  <si>
    <t>F</t>
  </si>
  <si>
    <t>G</t>
  </si>
  <si>
    <t>H</t>
  </si>
  <si>
    <r>
      <t>Area (m</t>
    </r>
    <r>
      <rPr>
        <b/>
        <vertAlign val="superscript"/>
        <sz val="11"/>
        <color theme="1"/>
        <rFont val="Calibri"/>
        <family val="2"/>
        <scheme val="minor"/>
      </rPr>
      <t>2</t>
    </r>
    <r>
      <rPr>
        <b/>
        <sz val="11"/>
        <color theme="1"/>
        <rFont val="Calibri"/>
        <family val="2"/>
        <scheme val="minor"/>
      </rPr>
      <t>)</t>
    </r>
  </si>
  <si>
    <r>
      <t>Ceiling &amp; Floor Area (m</t>
    </r>
    <r>
      <rPr>
        <b/>
        <vertAlign val="superscript"/>
        <sz val="11"/>
        <color theme="1"/>
        <rFont val="Calibri"/>
        <family val="2"/>
        <scheme val="minor"/>
      </rPr>
      <t>2</t>
    </r>
    <r>
      <rPr>
        <b/>
        <sz val="11"/>
        <color theme="1"/>
        <rFont val="Calibri"/>
        <family val="2"/>
        <scheme val="minor"/>
      </rPr>
      <t>)</t>
    </r>
  </si>
  <si>
    <t>Wall Area</t>
  </si>
  <si>
    <t>Wooden Doors</t>
  </si>
  <si>
    <t>WPC Doors</t>
  </si>
  <si>
    <t>Scientific Doors</t>
  </si>
  <si>
    <t>d1</t>
  </si>
  <si>
    <t>d2</t>
  </si>
  <si>
    <t>d3</t>
  </si>
  <si>
    <t>d4</t>
  </si>
  <si>
    <t>d5</t>
  </si>
  <si>
    <t>d6</t>
  </si>
  <si>
    <t>OTD1</t>
  </si>
  <si>
    <t>1800x2600</t>
  </si>
  <si>
    <t>1500x2600</t>
  </si>
  <si>
    <t>1200x2600</t>
  </si>
  <si>
    <t>1000x2600</t>
  </si>
  <si>
    <t>900x2600</t>
  </si>
  <si>
    <t>800x2100</t>
  </si>
  <si>
    <t>2000x2600</t>
  </si>
  <si>
    <t>HSSD Door</t>
  </si>
  <si>
    <t>FIRE Door</t>
  </si>
  <si>
    <t>QTY</t>
  </si>
  <si>
    <t>REMARKS</t>
  </si>
  <si>
    <t>EQUIPMENT &amp; FURNITURE</t>
  </si>
  <si>
    <t>EQUIPMENT/FURNITURE</t>
  </si>
  <si>
    <t>fd1</t>
  </si>
  <si>
    <t>fd2</t>
  </si>
  <si>
    <t>Main Corridor</t>
  </si>
  <si>
    <t>sw1</t>
  </si>
  <si>
    <t>1800x1800</t>
  </si>
  <si>
    <t>sw2</t>
  </si>
  <si>
    <t>1500x1800</t>
  </si>
  <si>
    <t>sw3</t>
  </si>
  <si>
    <t>1200x1800</t>
  </si>
  <si>
    <t>sw4</t>
  </si>
  <si>
    <t>900x1800</t>
  </si>
  <si>
    <t>Change Room-04</t>
  </si>
  <si>
    <t>DOORS (Sqm)</t>
  </si>
  <si>
    <t>UPVC Windows (Sqm)</t>
  </si>
  <si>
    <t>FLOORING (Sqm)</t>
  </si>
  <si>
    <t>SKIRTING (Rmt)</t>
  </si>
  <si>
    <t>OT Blood Stores</t>
  </si>
  <si>
    <t>Scrub Area</t>
  </si>
  <si>
    <t>3A</t>
  </si>
  <si>
    <t>VINYL FLOORING (Sqm)</t>
  </si>
  <si>
    <t>DADOING (Sqm)</t>
  </si>
  <si>
    <t>FALSE CEILING (Sqm)</t>
  </si>
  <si>
    <t>OT Lenin Stores</t>
  </si>
  <si>
    <t>Toilet @ POW</t>
  </si>
  <si>
    <t>Toilet @ RW</t>
  </si>
  <si>
    <t>HATCH WINDOW (NOS)</t>
  </si>
  <si>
    <t>VENTILATORS (Sqm)</t>
  </si>
  <si>
    <t>CEILING (Sqm)</t>
  </si>
  <si>
    <t>WALL (Sqm)</t>
  </si>
  <si>
    <t>BLINDS (Sqm)</t>
  </si>
  <si>
    <t>NON-SKID FLOORING (Sqm)</t>
  </si>
  <si>
    <t>TOTAL</t>
  </si>
  <si>
    <t>6A</t>
  </si>
  <si>
    <t>23A</t>
  </si>
  <si>
    <t>PANELING</t>
  </si>
  <si>
    <t>WALL PUTTY (Sqm)</t>
  </si>
  <si>
    <t>PAINTING (Sqm)</t>
  </si>
  <si>
    <t>PAINTING TO NEW WOOD WORK (Sqm)</t>
  </si>
  <si>
    <t>MS GRILLS TO  WINDOWS (Sqm)</t>
  </si>
  <si>
    <t>GRANITE WORK (Sqm)</t>
  </si>
  <si>
    <t>CIVIL</t>
  </si>
  <si>
    <t>EWC (Nos)</t>
  </si>
  <si>
    <t>PLUMBING</t>
  </si>
  <si>
    <t>ROOM NAME</t>
  </si>
  <si>
    <t>ROOM NO</t>
  </si>
  <si>
    <t>DIMENSIONS</t>
  </si>
  <si>
    <t>LENGTH (mm)</t>
  </si>
  <si>
    <t>BREADTH (mm)</t>
  </si>
  <si>
    <t>WASH BASIN (Nos)</t>
  </si>
  <si>
    <t>BIB TAP (Nos)</t>
  </si>
  <si>
    <t>MULTI FLOOR TRAP (Nos)</t>
  </si>
  <si>
    <t>HEALTH FAUCET (Nos)</t>
  </si>
  <si>
    <t>SOAP DISH (Nos)</t>
  </si>
  <si>
    <t>MIRROR (Nos)</t>
  </si>
  <si>
    <t>TOWEL RING (Nos)</t>
  </si>
  <si>
    <t>SELF CLOSING TAP (Nos)</t>
  </si>
  <si>
    <t>PLASTERING (Sqm)</t>
  </si>
  <si>
    <t>Description of item</t>
  </si>
  <si>
    <t>UOM</t>
  </si>
  <si>
    <t>Sqm</t>
  </si>
  <si>
    <t>Nos</t>
  </si>
  <si>
    <t>Description</t>
  </si>
  <si>
    <t>IVF</t>
  </si>
  <si>
    <t>SOTC</t>
  </si>
  <si>
    <t>Supply and installation of 20KVA 3ph in and 3ph out on line UPS system IGBT    based    rectifier    with    input    power    factor    correction    32    bit microprocessor based with isolation transformers double conversion, SNMP controls, LCD display, Pure sine wave output, with auto static switch three phase  input  /  Three  phase  output  and  modular  structure  for  better  thermal technology / cooling facility, with warranty up to three years.Makes: APC / Numeric / Emerson / Fuji Electric</t>
  </si>
  <si>
    <t xml:space="preserve">Supply and fixing of 12V 65 AH SMF battery including wire leads. Makes: Quanta / Racket / Exide. </t>
  </si>
  <si>
    <t>Supply and fixing of 12V, 120 AH  MF battery</t>
  </si>
  <si>
    <t>Supply and providing of UPS cum battery rack 20 batteries</t>
  </si>
  <si>
    <t>Rate (Rs.)</t>
  </si>
  <si>
    <t>Remarks</t>
  </si>
  <si>
    <t>4 hours backup time</t>
  </si>
  <si>
    <t>1 hour  backup time</t>
  </si>
  <si>
    <t>Civil Works</t>
  </si>
  <si>
    <t>Sl. no</t>
  </si>
  <si>
    <t xml:space="preserve">Description of work </t>
  </si>
  <si>
    <t xml:space="preserve">Measurements </t>
  </si>
  <si>
    <t>Rate</t>
  </si>
  <si>
    <t xml:space="preserve">Amount </t>
  </si>
  <si>
    <t>No.</t>
  </si>
  <si>
    <t>L (M)</t>
  </si>
  <si>
    <t>B (M)</t>
  </si>
  <si>
    <t>D (M)</t>
  </si>
  <si>
    <t>per</t>
  </si>
  <si>
    <t>RS</t>
  </si>
  <si>
    <r>
      <rPr>
        <b/>
        <sz val="11"/>
        <color theme="1"/>
        <rFont val="Arial"/>
        <family val="2"/>
      </rPr>
      <t>Clean room Doors</t>
    </r>
    <r>
      <rPr>
        <sz val="11"/>
        <color theme="1"/>
        <rFont val="Arial"/>
        <family val="2"/>
      </rPr>
      <t xml:space="preserve">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with 300 mm x 300 mm  View panel</t>
    </r>
  </si>
  <si>
    <t>Toilet @ Pre Operative Ward</t>
  </si>
  <si>
    <t>Toilet @ Recovery Ward</t>
  </si>
  <si>
    <r>
      <rPr>
        <b/>
        <sz val="11"/>
        <color theme="1"/>
        <rFont val="Arial"/>
        <family val="2"/>
      </rPr>
      <t>Providing skirting to internal walls to 10 cm height with Double charged / multi charged stain free full body porcelain vitrified tiles</t>
    </r>
    <r>
      <rPr>
        <sz val="11"/>
        <color theme="1"/>
        <rFont val="Arial"/>
        <family val="2"/>
      </rPr>
      <t xml:space="preserve"> with double layer pigment of size 600 x 600 mm and thickness between 8-10 mm 1st quality conforming to IS:15622 - 2017, IS:13630 (Parts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r>
  </si>
  <si>
    <t>door deduction</t>
  </si>
  <si>
    <t>Rmt</t>
  </si>
  <si>
    <t>deduction</t>
  </si>
  <si>
    <r>
      <rPr>
        <b/>
        <sz val="11"/>
        <color theme="1"/>
        <rFont val="Arial"/>
        <family val="2"/>
      </rPr>
      <t>Providing,  laying  of  scratch  proof  PVC/Vinyl  flooring  of  2mm  thickness</t>
    </r>
    <r>
      <rPr>
        <sz val="11"/>
        <color theme="1"/>
        <rFont val="Arial"/>
        <family val="2"/>
      </rPr>
      <t xml:space="preserve"> with proper welded joints air tight, along with leveling compound to match the existing flooring levels as per engineer in charge instructions. Sub floor preparation with self leveling compound. After the sub floor preparation, it should be suitable for ESD flooring. Rate inclusive of sifting of material and labour charges</t>
    </r>
  </si>
  <si>
    <t>Supply of Sun Control film to the glazed windows (For Windows &amp; Door view Windows)</t>
  </si>
  <si>
    <t>window deduction</t>
  </si>
  <si>
    <t>ventilator deduction</t>
  </si>
  <si>
    <t>dado deduction</t>
  </si>
  <si>
    <t>Frames</t>
  </si>
  <si>
    <t>Reception Table at OT Reception</t>
  </si>
  <si>
    <t>Others</t>
  </si>
  <si>
    <r>
      <rPr>
        <b/>
        <sz val="11"/>
        <color theme="1"/>
        <rFont val="Arial"/>
        <family val="2"/>
      </rPr>
      <t xml:space="preserve">Providing and fixing Aluminium Extruded Section Body Tubular Type Hydraulic Door Closer </t>
    </r>
    <r>
      <rPr>
        <sz val="11"/>
        <color theme="1"/>
        <rFont val="Arial"/>
        <family val="2"/>
      </rPr>
      <t>(IS: 3564) with double speed adjustment with necessary accessories and screws etc. complete.</t>
    </r>
  </si>
  <si>
    <r>
      <rPr>
        <b/>
        <sz val="11"/>
        <color theme="1"/>
        <rFont val="Arial"/>
        <family val="2"/>
      </rPr>
      <t xml:space="preserve">Supply of Sun Control film to the glazed windows </t>
    </r>
    <r>
      <rPr>
        <sz val="11"/>
        <color theme="1"/>
        <rFont val="Arial"/>
        <family val="2"/>
      </rPr>
      <t>(For Windows &amp; Door view Windows)</t>
    </r>
  </si>
  <si>
    <t>For door view windows</t>
  </si>
  <si>
    <t>For windows</t>
  </si>
  <si>
    <r>
      <rPr>
        <b/>
        <sz val="11"/>
        <color theme="1"/>
        <rFont val="Arial"/>
        <family val="2"/>
      </rPr>
      <t>Supply and installation of Under-deck Thermocol insulation sheets of 40 mm thick</t>
    </r>
    <r>
      <rPr>
        <sz val="11"/>
        <color theme="1"/>
        <rFont val="Arial"/>
        <family val="2"/>
      </rPr>
      <t xml:space="preserve"> having more than 30 Kg/m3 density to ceiling by brush application of bituminous adhesive to the sheets and secured with screw along with washer at the centre of the sheet supported with GI wire running diagonally to the sheet of 2mm dia. </t>
    </r>
  </si>
  <si>
    <t>Toilet-1</t>
  </si>
  <si>
    <t>Toilet-2</t>
  </si>
  <si>
    <t>Cum</t>
  </si>
  <si>
    <t xml:space="preserve">Rate as per SSR  TBSC-L.I-17 </t>
  </si>
  <si>
    <t>rm</t>
  </si>
  <si>
    <t>Rate per 1 sqm</t>
  </si>
  <si>
    <t>Say</t>
  </si>
  <si>
    <r>
      <rPr>
        <b/>
        <sz val="11"/>
        <color theme="1"/>
        <rFont val="Calibri"/>
        <family val="2"/>
        <scheme val="minor"/>
      </rPr>
      <t>Providing and fixing factory made solid Wood Polymer Composite (WPC) single extruded Door Frame section of 100*65 MM</t>
    </r>
    <r>
      <rPr>
        <sz val="11"/>
        <color theme="1"/>
        <rFont val="Calibri"/>
        <family val="2"/>
        <scheme val="minor"/>
      </rPr>
      <t xml:space="preserve"> with encapsulation of 6 MM rigid layer on all external surfaces. The door frame will have a rebate of 32MM/ 37 MM. The two Vertical members are to be joined together with the horizontal member using 8x75 MM long MS Star full thread screws to be used with reverse forward speed control hand drilling machine. The ready/assembled door frame is fixed to wall</t>
    </r>
  </si>
  <si>
    <t>Rate as per SSR  TBSC-L.I-18</t>
  </si>
  <si>
    <t>Cost of Alumimium tower bolt 150mm long TBSC-P.I-09</t>
  </si>
  <si>
    <t>Each</t>
  </si>
  <si>
    <t>Cost of Alumimium butt hinges 150mm long 
TBSC-P.II-08</t>
  </si>
  <si>
    <t>Nos.</t>
  </si>
  <si>
    <t>Cost of Alumimium aldrop 250mm long TBSC-P.IV-06</t>
  </si>
  <si>
    <t>Cost of Alumimium handle 125mm long TBSC-P.III-04</t>
  </si>
  <si>
    <r>
      <rPr>
        <b/>
        <sz val="11"/>
        <color theme="1"/>
        <rFont val="Calibri"/>
        <family val="2"/>
        <scheme val="minor"/>
      </rPr>
      <t>Supplying and fixing of 30mm thick Wood Plastic Composite (WPC) Door shutter</t>
    </r>
    <r>
      <rPr>
        <sz val="11"/>
        <color theme="1"/>
        <rFont val="Calibri"/>
        <family val="2"/>
        <scheme val="minor"/>
      </rPr>
      <t>, comprising of 70% virgin polymer, 15% wood powder (fiber), and the remaining 15% additives, the door shutter shall be water resistant, fire resistant and termite resistant, with Tensile Strength not less than 170 Kgf/cm2 and the door shutters surface finished deco paint etc., complete excluding cost of hinges, latches, aldrops etc.,</t>
    </r>
  </si>
  <si>
    <t>Rate as per SSR TBSC-M.II-11</t>
  </si>
  <si>
    <t>Overheads &amp; Contractors Profit @ 13.615%</t>
  </si>
  <si>
    <t>Rate for 1 Sqm</t>
  </si>
  <si>
    <r>
      <rPr>
        <b/>
        <sz val="11"/>
        <color theme="1"/>
        <rFont val="Arial"/>
        <family val="2"/>
      </rPr>
      <t xml:space="preserve">Supply and fixing of doors as per approved drawings with medium teak wood </t>
    </r>
    <r>
      <rPr>
        <sz val="11"/>
        <color theme="1"/>
        <rFont val="Arial"/>
        <family val="2"/>
      </rPr>
      <t xml:space="preserve">frame of section 100mm x 65 mm with fixed fan light of 500mm at the top fixed with 4mm thick pin headed glass using 12mm x 12mm Teak Wood beading and 2 Nos. of 10mm MS Square bars and ISI marked flush door shutter of 30mm thick double shutters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fixing 6 Nos. MS Z  hold fasts of size 300 mm x 40 mm x 5mm including cost of ISI marked Aluminium fixtures of 6 Nos. butt hinges (IS:205) 150mm long, 1 No. aldrop (IS:2681) 300mm long, 2 Nos. tower bolts - 10mm  (IS:204) of 200 mm long at top,  2 Nos. 150mm long handles (IS:208), 2 Nos. door stoppers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1"/>
        <color theme="1"/>
        <rFont val="Arial"/>
        <family val="2"/>
      </rPr>
      <t>(1800mm x 2600mm).</t>
    </r>
  </si>
  <si>
    <t>(BLD-CSTN-13-16)</t>
  </si>
  <si>
    <t>Size :</t>
  </si>
  <si>
    <t>1.80m x 2.60m</t>
  </si>
  <si>
    <t>sqm</t>
  </si>
  <si>
    <t>Quantity analysis</t>
  </si>
  <si>
    <t>Outer frame  -  Vertical</t>
  </si>
  <si>
    <t xml:space="preserve">2 x 2.61 </t>
  </si>
  <si>
    <t xml:space="preserve">= 5.22 x 0.10 x 0.065 </t>
  </si>
  <si>
    <t>cum</t>
  </si>
  <si>
    <t>Outer frame  -  Horizontal</t>
  </si>
  <si>
    <t>2 x 1.80 + 0.50</t>
  </si>
  <si>
    <t xml:space="preserve">= 4.10 x 0.10 x 0.065 </t>
  </si>
  <si>
    <t xml:space="preserve">4 mm thick pin headed glass </t>
  </si>
  <si>
    <t>2x0.9 x 0.50</t>
  </si>
  <si>
    <t xml:space="preserve">Teak wood beading </t>
  </si>
  <si>
    <t xml:space="preserve"> 2 x 2 (0.90+0.50)</t>
  </si>
  <si>
    <t>RM</t>
  </si>
  <si>
    <t>30 mm thick flush shutter</t>
  </si>
  <si>
    <t>2 x 0.85 x 2.05</t>
  </si>
  <si>
    <t>10 mm MS square bars</t>
  </si>
  <si>
    <t>2 x 1.80 x 0.785</t>
  </si>
  <si>
    <t>Kgs</t>
  </si>
  <si>
    <t>Cost analysis</t>
  </si>
  <si>
    <t>Cost of medium TW frame  2 m to 3m length</t>
  </si>
  <si>
    <t>Cost of medium TW frame up to 2 m length</t>
  </si>
  <si>
    <t>Cost of 4 mm thick pin headed glass TBSC-F.II-01</t>
  </si>
  <si>
    <t>Cost of TW beading (Non SSR)</t>
  </si>
  <si>
    <t>Cost of 30 mm thick flush shutter TBSC-L.II-05</t>
  </si>
  <si>
    <t>Cost of Z hold fasts TBSC-P.IX-08</t>
  </si>
  <si>
    <t>Cost of Alumimium tower bolt 200mm long TBSC-P.I-09</t>
  </si>
  <si>
    <t>Cost of Alumimium aldrop 300mm long TBSC-P.IV-06</t>
  </si>
  <si>
    <t>Cost of Alumimium handle 150mm long TBSC-P.III-04</t>
  </si>
  <si>
    <t>Cost of Alumimium door stopper TBSC-P.IX-03</t>
  </si>
  <si>
    <t>Cost of rubber bush TBSC-P.IX-04</t>
  </si>
  <si>
    <t>Cost of 10mm MS square bars</t>
  </si>
  <si>
    <t>Labour charges for frame work</t>
  </si>
  <si>
    <t>Add for MA @ 40%</t>
  </si>
  <si>
    <t>Labour charges for fixing flush door shutter to the frame, fixing the fixtures to the shutter TBSC-T.I-25</t>
  </si>
  <si>
    <t>Labour charges for fixing glass TBSC-T.I-26</t>
  </si>
  <si>
    <t xml:space="preserve">Add for nails &amp; screws etc. </t>
  </si>
  <si>
    <t>Rate for 4.68 sqm</t>
  </si>
  <si>
    <t>Rate for 1 sqm</t>
  </si>
  <si>
    <t xml:space="preserve"> Or Say</t>
  </si>
  <si>
    <r>
      <rPr>
        <b/>
        <sz val="11"/>
        <color theme="1"/>
        <rFont val="Calibri"/>
        <family val="2"/>
        <scheme val="minor"/>
      </rPr>
      <t xml:space="preserve">Supply and fixing of doors as per approved drawings with medium teak wood </t>
    </r>
    <r>
      <rPr>
        <sz val="11"/>
        <color theme="1"/>
        <rFont val="Calibri"/>
        <family val="2"/>
        <scheme val="minor"/>
      </rPr>
      <t xml:space="preserve">frame of section 100mm x 65 mm with fixed fan light of 500mm at the top fixed with 4mm thick pin headed glass using 12mm x 12mm Teak Wood beading and 2 Nos. of 10mm MS Square bars and ISI marked flush door shutter of 30mm thick double shutters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fixing 6 Nos. MS Z  hold fasts of size 300 mm x 40 mm x 5mm including cost of ISI marked Aluminium fixtures of 6 Nos. butt hinges (IS:205) 150mm long, 1 No. aldrop (IS:2681) 300mm long, 2 Nos. tower bolts - 10mm  (IS:204) of 200 mm long at top,  2 Nos. 150mm long handles (IS:208), 2 Nos. door stoppers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1"/>
        <color theme="1"/>
        <rFont val="Calibri"/>
        <family val="2"/>
        <scheme val="minor"/>
      </rPr>
      <t>(1800mm x 2600mm).</t>
    </r>
    <r>
      <rPr>
        <sz val="11"/>
        <color theme="1"/>
        <rFont val="Calibri"/>
        <family val="2"/>
        <scheme val="minor"/>
      </rPr>
      <t xml:space="preserve"> </t>
    </r>
  </si>
  <si>
    <r>
      <rPr>
        <b/>
        <sz val="11"/>
        <color theme="1"/>
        <rFont val="Arial"/>
        <family val="2"/>
      </rPr>
      <t>Supply and fixing of doors as per approved drawings with medium teak wood</t>
    </r>
    <r>
      <rPr>
        <sz val="11"/>
        <color theme="1"/>
        <rFont val="Arial"/>
        <family val="2"/>
      </rPr>
      <t xml:space="preserve"> frame of section 100mm x 65 mm with split type fan light of 500mm at the top fixed with 4mm thick pin headed glass using 12mm x 12mm Teak Wood beading and 2 Nos. of 10mm MS Square bars and ISI marked flush door shutter of 30mm thick single shutter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fixing 6 Nos. MS Z hold fasts of size 300 mm x 40 mm x 5mm including cost of ISI marked Aluminium fixtures of   3 Nos. butt hinges (IS:205) 150mm long , 1 No. aldrop (IS:2681) 300mm long, 1 No. tower bolt (IS:204) of 200 mm x 10 mm dia at top, 2 Nos. 150mm long handles (IS:208), 1 No. door stopper and 1 No. rubber bush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1"/>
        <color theme="1"/>
        <rFont val="Arial"/>
        <family val="2"/>
      </rPr>
      <t xml:space="preserve">(900mm x 2600mm) </t>
    </r>
  </si>
  <si>
    <t>1.00m x 2.60m</t>
  </si>
  <si>
    <t>2 x 1.00</t>
  </si>
  <si>
    <t xml:space="preserve">= 2.00 x 0.10 x 0.065 </t>
  </si>
  <si>
    <t>1.00 x 0.50</t>
  </si>
  <si>
    <t xml:space="preserve"> 2 x (1+ 0.50)</t>
  </si>
  <si>
    <t>1 x 0.90 x 2.05</t>
  </si>
  <si>
    <t>2 x 1.00 x 0.785</t>
  </si>
  <si>
    <t>Labour charges for fixing flush door shutter to the frame ,  fixing the fixtures to the shutter TBSC-T.I-25</t>
  </si>
  <si>
    <t>Labour charges for fixing glass  TBSC-T.I-26</t>
  </si>
  <si>
    <t>Rate for 2.60 sqm</t>
  </si>
  <si>
    <t xml:space="preserve"> </t>
  </si>
  <si>
    <r>
      <rPr>
        <b/>
        <sz val="11"/>
        <color theme="1"/>
        <rFont val="Calibri"/>
        <family val="2"/>
        <scheme val="minor"/>
      </rPr>
      <t>Supply and fixing of doors as per approved drawings with medium teak wood</t>
    </r>
    <r>
      <rPr>
        <sz val="11"/>
        <color theme="1"/>
        <rFont val="Calibri"/>
        <family val="2"/>
        <scheme val="minor"/>
      </rPr>
      <t xml:space="preserve"> frame of section 100mm x 65 mm with split type fan light of 500mm at the top fixed with 4mm thick pin headed glass using 12mm x 12mm Teak Wood beading and 2 Nos. of 10mm MS Square bars and ISI marked flush door shutter of 30mm thick single shutter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fixing 6 Nos. MS Z hold fasts of size 300 mm x 40 mm x 5mm including cost of ISI marked Aluminium fixtures of 3 Nos. butt hinges (IS:205) 150mm long ,  1 No. aldrop (IS:2681) 300mm long, 1 No. tower bolt (IS:204) of 200 mm x 10 mm dia at top, 2 Nos. 150mm long handles (IS:208), 1 No. door stopper and 1 No. rubber bush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1"/>
        <color theme="1"/>
        <rFont val="Calibri"/>
        <family val="2"/>
        <scheme val="minor"/>
      </rPr>
      <t xml:space="preserve">(1000mm x 2600mm). </t>
    </r>
  </si>
  <si>
    <r>
      <rPr>
        <b/>
        <sz val="11"/>
        <color theme="1"/>
        <rFont val="Arial"/>
        <family val="2"/>
      </rPr>
      <t>Supply and fixing of doors as per approved drawings with medium teak wood</t>
    </r>
    <r>
      <rPr>
        <sz val="11"/>
        <color theme="1"/>
        <rFont val="Arial"/>
        <family val="2"/>
      </rPr>
      <t xml:space="preserve"> frame of section 100mm x 65 mm with split type fan light of 500mm at the top fixed with 4mm thick pin headed glass using 12mm x 12mm Teak Wood beading and 2 Nos. of 10mm MS Square bars and ISI marked flush door shutter of 30mm thick single shutter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fixing 6 Nos. MS Z hold fasts of size 300 mm x 40 mm x 5mm including cost of ISI marked Aluminium fixtures of 3 Nos. butt hinges (IS:205) 150mm long ,  1 No. aldrop (IS:2681) 300mm long, 1 No. tower bolt (IS:204) of 200 mm x 10 mm dia at top, 2 Nos. 150mm long handles (IS:208), 1 No. door stopper and 1 No. rubber bush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1"/>
        <color theme="1"/>
        <rFont val="Arial"/>
        <family val="2"/>
      </rPr>
      <t xml:space="preserve">(1000mm x 2600mm). </t>
    </r>
  </si>
  <si>
    <t>0.90m x 2.60m</t>
  </si>
  <si>
    <t>= 5.22 x 0.10 x 0.065   =</t>
  </si>
  <si>
    <t>2 x 0.90</t>
  </si>
  <si>
    <t>= 1.80 x 0.10 x 0.065  =</t>
  </si>
  <si>
    <t>0.90 x 0.50  =</t>
  </si>
  <si>
    <t xml:space="preserve"> 2 x (0.90+0.50)  =</t>
  </si>
  <si>
    <t>1 x 0.80 x 2.05  =</t>
  </si>
  <si>
    <t>2 x 0.90 x 0.785  =</t>
  </si>
  <si>
    <t>Cost of 4 mm thick pin headed glass    TBSC-F.II-01</t>
  </si>
  <si>
    <t>Cost of TW beading                                   ( Non SSR)</t>
  </si>
  <si>
    <t>Cost of 30 mm thick flush shutter            TBSC-L.II-05</t>
  </si>
  <si>
    <t>Cost of Z hold fasts                                     TBSC-P.IX-08</t>
  </si>
  <si>
    <t>Cost of Alumimium aldrop 300mm long    TBSC-P.IV-06</t>
  </si>
  <si>
    <t>Cost of Alumimium handle 150mm long    TBSC-P.III-04</t>
  </si>
  <si>
    <t>Cost of rubber bush                                        TBSC-P.IX-04</t>
  </si>
  <si>
    <t>Rate for 2.34 sqm</t>
  </si>
  <si>
    <r>
      <rPr>
        <b/>
        <sz val="11"/>
        <color theme="1"/>
        <rFont val="Calibri"/>
        <family val="2"/>
        <scheme val="minor"/>
      </rPr>
      <t>Supply and fixing of doors as per approved drawings with medium teak wood</t>
    </r>
    <r>
      <rPr>
        <sz val="11"/>
        <color theme="1"/>
        <rFont val="Calibri"/>
        <family val="2"/>
        <scheme val="minor"/>
      </rPr>
      <t xml:space="preserve"> frame of section 100mm x 65 mm with split type fan light of 500mm at the top fixed with 4mm thick pin headed glass using 12mm x 12mm Teak Wood beading and 2 Nos. of 10mm MS Square bars and ISI marked flush door shutter of 30mm thick single shutter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fixing 6 Nos. MS Z hold fasts of size 300 mm x 40 mm x 5mm including cost of ISI marked Aluminium fixtures of   3 Nos. butt hinges (IS:205) 150mm long , 1 No. aldrop (IS:2681) 300mm long, 1 No. tower bolt (IS:204) of 200 mm x 10 mm dia at top, 2 Nos. 150mm long handles (IS:208), 1 No. door stopper and 1 No. rubber bush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t>
    </r>
    <r>
      <rPr>
        <b/>
        <sz val="11"/>
        <color theme="1"/>
        <rFont val="Calibri"/>
        <family val="2"/>
        <scheme val="minor"/>
      </rPr>
      <t xml:space="preserve"> (900mm x 2600mm) </t>
    </r>
  </si>
  <si>
    <t>Cost of Alumimium door stopper             TBSC-P.IX-03</t>
  </si>
  <si>
    <r>
      <t xml:space="preserve">Supply and fixing of </t>
    </r>
    <r>
      <rPr>
        <b/>
        <sz val="11"/>
        <color theme="1"/>
        <rFont val="Arial"/>
        <family val="2"/>
      </rPr>
      <t>doors as per approved drawings with (WPC)</t>
    </r>
    <r>
      <rPr>
        <sz val="11"/>
        <color theme="1"/>
        <rFont val="Arial"/>
        <family val="2"/>
      </rPr>
      <t xml:space="preserve"> single extruded Door Frame section of 100*65 MM  and30mm thick Wood Plastic Composite (WPC) Door shutter, comprising of 70% virgin polymer, 15% wood powder (fiber), and the remaining 15% additives, the door shutter shall be water resistant, fire resistant and termite resistant,with Tensile Strength not less than 170Kgf/cm2 and the door shutters surface finished deco paint including cost and conveyance to site of teak  wood frame,  WPC shutter including  supply and fixing 6 nos MS Z  hold fasts of size 300 mm x 40 mm x 5mm including cost of ISI marked  brass fixtures of 6 Nos butt hinges (IS:205) 150mm long , 1 No. aldrop (IS:2681) 300mm long, 2 Nos tower bolts- 10mm (IS:204) of 200 mm long at top, 1 No. tower bolt- 10mm bolt (IS:204) 150mm long at bottom, 2 Nos. 150mm long fancy handles (IS:208), 2 Nos door stopper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1"/>
        <color theme="1"/>
        <rFont val="Arial"/>
        <family val="2"/>
      </rPr>
      <t>(800mm x 2100mm) (For Wash Rooms).</t>
    </r>
  </si>
  <si>
    <r>
      <rPr>
        <b/>
        <sz val="11"/>
        <color theme="1"/>
        <rFont val="Arial"/>
        <family val="2"/>
      </rPr>
      <t>Emergency  Fire  Doors</t>
    </r>
    <r>
      <rPr>
        <sz val="11"/>
        <color theme="1"/>
        <rFont val="Arial"/>
        <family val="2"/>
      </rPr>
      <t xml:space="preserve">  :  Supply &amp; Fixing of Powder Coated Fire Rated doors, frames &amp; shutters made of Skin pass galvanized Iron sheet conforming to Base Steel as per IS 513 “D” Quality, Galvanized as per IS 277 with Hot Zinc Coating of 120 grams / Sq.Mtr with powder coating of thickness 60-65 Microns, frame with 1.2mm thick Skin pass Galvanized Iron sheet formed to double rebate profile of size 143 mm X 58 mm with maximum bending radius of 1.4 mm and filled with in-fill Polyurethane foam, the Door Shutters are with 0.80 mm thick Skin pass Galvanized Iron Sheet formed to provide a 46 mm thick fully flush,double skin door shell with Lock Seam joints at stile edges, fitted with in-fill of Honeycomb Kraft Paper and coated with polyester powders of Pure polyester/ epoxy polyester or polyurethane powder for powder coating of thickness 60 – 65 microns and are coated with Zinc Phosphate Primer to receive any paint on site or finished with Thermosetting Polyurethane paint of Aliphatic Grade providing high levels of scratch resistance and durability, the Shutter provided with 6 MM clear float vision glass in Circular, Square or Rectangular shapes, Stainless Steel Ball Bearing Butt Hinges 3 mm thick fixed flush to the frame and shutter (Profile 102x76x3mm thick).Mortise Sash Lock with Lever Handles, Mortise Dead Bolt, etc for 120 minutes Fire Rated door conforming to IS:3614 (Part2) 1992 including overheads and contractor profit etc., complete for finished item of work</t>
    </r>
  </si>
  <si>
    <t>Rate as per SSR TBSC-L.III-22</t>
  </si>
  <si>
    <t>Or Say</t>
  </si>
  <si>
    <r>
      <rPr>
        <b/>
        <sz val="11"/>
        <color theme="1"/>
        <rFont val="Calibri"/>
        <family val="2"/>
        <scheme val="minor"/>
      </rPr>
      <t>Supply &amp; Fixing of Powder Coated Fire Rated door</t>
    </r>
    <r>
      <rPr>
        <sz val="11"/>
        <color theme="1"/>
        <rFont val="Calibri"/>
        <family val="2"/>
        <scheme val="minor"/>
      </rPr>
      <t>s, frames &amp; shutters made of Skin pass galvanized Iron sheet conforming to Base Steel as per IS 513 “D” Quality, Galvanized as per IS 277 with Hot Zinc Coating of 120 grams / Sq.Mtr with powder coating of thickness 60-65 Microns, frame with 1.2mm thick Skin pass Galvanized Iron sheet formed to double rebate profile of size 143 mm X 58 mm with maximum bending radius of 1.4 mm and filled with in-fill Polyurethane foam, the Door Shutters are with 0.80 mm thick Skin pass Galvanized Iron Sheet formed to provide a 46 mm thick fully flush,double skin door shell with Lock Seam joints at stile edges, fitted with in-fill of Honeycomb Kraft Paper and coated with polyester powders of Pure polyester/ epoxy polyester or polyurethane powder for powder coating of thickness 60 – 65 microns and are coated with Zinc Phosphate Primer to receive any paint on site or finished with Thermosetting Polyurethane paint of Aliphatic Grade providing high levels of scratch resistance and durability, the Shutter provided with 6 MM clear float vision glass in Circular, Square or Rectangular shapes, Stainless Steel Ball Bearing Butt Hinges 3 mm thick fixed flush to the frame and shutter (Profile 102x76x3mm thick).Mortise Sash Lock with Lever Handles, Mortise Dead Bolt, etc for 120 minutes Fire Rated door conforming to IS:3614 (Part2) 1992 including overheads and contractor profit etc., complete for finished item of work</t>
    </r>
  </si>
  <si>
    <r>
      <t xml:space="preserve">Supplying and fixing of </t>
    </r>
    <r>
      <rPr>
        <b/>
        <sz val="11"/>
        <color theme="1"/>
        <rFont val="Arial"/>
        <family val="2"/>
      </rPr>
      <t>Unplasticised Poly Vinyl Chloride (UPVC) 3 track sliding windows</t>
    </r>
    <r>
      <rPr>
        <sz val="11"/>
        <color theme="1"/>
        <rFont val="Arial"/>
        <family val="2"/>
      </rPr>
      <t xml:space="preserve"> with mesh shutter – (2-glass shutters and 1-mesh shutter) duly manufactured using UPVC reinforced profiles (Composition of profile shall consists a minimum of 5.5 PHR of TiO2 and not more than 12 PHR of CaCo3 for every 100 parts of PVC resin) of (94mm x 45 mm)/(80 mm x 52 mm) x 2.20 mm for outer frames, (58 mm x 39 mm)/(54 mm x 38 mm) x 2.20mm for sliding shutter frames capable of mounting single glazing system structurally reinforced with hot dip galvanized up to 50 microns of minimum thickness of 1.0/1.2 mm prefabricated &amp; welded through fusion welding. The window sash shall be fitted with 5 mm thick clear float glass of reputed make and mesh shutter frame shall be (42 mm x 25mm)/(52 mm x 21.5 mm) x 2.0 mm fitted with Vinyl Coated Fiber mesh- on rollers/ pulley duly fixed with Grey colour TPV Gasket for sash &amp; Glazing bead shall be co-extruded with Grey colour soft PVC. System shall have single point locking with Touch Lock and the system is to be installed at the site using anchor fasteners, silicon rubber sealant, easy glazing/deglazing at site etc., including cost and conveyance of all materials, accessories, labour charges for transportation, erection at site including  overheads and contractors profit etc., complete for finished item of work.</t>
    </r>
  </si>
  <si>
    <r>
      <t xml:space="preserve">Supplying and fixing of </t>
    </r>
    <r>
      <rPr>
        <b/>
        <sz val="11"/>
        <color theme="1"/>
        <rFont val="Calibri"/>
        <family val="2"/>
        <scheme val="minor"/>
      </rPr>
      <t>Unplasticised Poly Vinyl Chloride (UPVC) 3 track sliding windows</t>
    </r>
    <r>
      <rPr>
        <sz val="11"/>
        <color theme="1"/>
        <rFont val="Calibri"/>
        <family val="2"/>
        <scheme val="minor"/>
      </rPr>
      <t xml:space="preserve"> with mesh shutter – (2-glass shutters and 1-mesh shutter) duly manufactured using UPVC reinforced profiles (Composition of profile shall consists a minimum of 5.5 PHR of TiO2 and not more than 12 PHR of CaCo3 for every 100 parts of PVC resin) of (94mm x 45 mm)/(80 mm x 52 mm) x 2.20 mm for outer frames, (58 mm x 39 mm)/(54 mm x 38 mm) x 2.20mm for sliding shutter frames capable of mounting single glazing system structurally reinforced with hot dip galvanized up to 50 microns of minimum thickness of 1.0/1.2 mm prefabricated &amp; welded through fusion welding. The window sash shall be fitted with 5 mm thick clear float glass of reputed make and mesh shutter frame shall be (42 mm x 25mm)/(52 mm x 21.5 mm) x 2.0 mm fitted with Vinyl Coated Fiber mesh- on rollers/ pulley duly fixed with Grey colour TPV Gasket for sash &amp; Glazing bead shall be co-extruded with Grey colour soft PVC. System shall have single point locking with Touch Lock and the system is to be installed at the site using anchor fasteners, silicon rubber sealant, easy glazing/deglazing at site etc., including cost and conveyance of all materials, accessories, labour charges for transportation, erection at site including  overheads and contractors profit etc., complete for finished item of work.</t>
    </r>
  </si>
  <si>
    <r>
      <rPr>
        <b/>
        <sz val="11"/>
        <color theme="1"/>
        <rFont val="Arial"/>
        <family val="2"/>
      </rPr>
      <t>Providing, supplying &amp; fixing of Fixed Louvered Ventilator made out of multi chambered uPVC</t>
    </r>
    <r>
      <rPr>
        <sz val="11"/>
        <color theme="1"/>
        <rFont val="Arial"/>
        <family val="2"/>
      </rPr>
      <t xml:space="preserve"> sections with Glazing bead shall be co-extruded with Grey colour soft PVC. having isolated drainage and reinforced with Galvanized Iron profiles throughout the window. The outer frame having an overall size of 60 mm x 55 mm x 2.40 with reinforcement of 1 mm thickness and Mullion with overall size of 74 mm x 60 mm x 2.40 mm with reinforcement of 1 mm thickness. (Composition of profile shall consists a minimum of 5.5 PHR of TiO2 and not more than 12 PHR of CaCo3 for every 100 parts of PVC resin). Ventilator shall be provided with 4.5 mm Pin Head glass, standard hardware. Wall thickness of frame &amp; Mullion shall be 2.4 mm., including cost and conveyance of all materials, accessories, labour charges for transportation, erection at site including overheads and contractor profit etc., complete for finished item of work.</t>
    </r>
  </si>
  <si>
    <t>Rate as per SSR TBSC-M.III-07</t>
  </si>
  <si>
    <r>
      <rPr>
        <b/>
        <sz val="11"/>
        <color theme="1"/>
        <rFont val="Calibri"/>
        <family val="2"/>
        <scheme val="minor"/>
      </rPr>
      <t>Providing, supplying &amp; fixing of Fixed Louvered Ventilator made out of multi chambered uPVC sections</t>
    </r>
    <r>
      <rPr>
        <sz val="11"/>
        <color theme="1"/>
        <rFont val="Calibri"/>
        <family val="2"/>
        <scheme val="minor"/>
      </rPr>
      <t xml:space="preserve"> with Glazing bead shall be co-extruded with Grey colour soft PVC. having isolated drainage and reinforced with Galvanized Iron profiles throughout the window. The outer frame having an overall size of 60 mm x 55 mm x 2.40 with reinforcement of 1 mm thickness and Mullion with overall size of 74 mm x 60 mm x 2.40 mm with reinforcement of 1 mm thickness. (Composition of profile shall consists a minimum of 5.5 PHR of TiO2 and not more than 12 PHR of CaCo3 for every 100 parts of PVC resin). Ventilator shall be provided with 4.5 mm Pin Head glass, standard hardware. Wall thickness of frame &amp; Mullion shall be 2.4 mm., including cost and conveyance of all materials, accessories, labour charges for transportation, erection at site including overheads and contractor profit etc., complete for finished item of work.</t>
    </r>
  </si>
  <si>
    <r>
      <rPr>
        <b/>
        <sz val="11"/>
        <color theme="1"/>
        <rFont val="Arial"/>
        <family val="2"/>
      </rPr>
      <t>Flooring with Double charged / multi charged  stain free full body porcelain vitrified tiles</t>
    </r>
    <r>
      <rPr>
        <sz val="11"/>
        <color theme="1"/>
        <rFont val="Arial"/>
        <family val="2"/>
      </rPr>
      <t xml:space="preserve">  with double layer pigment of size 600 x 600 mm and thickness between 8-10 mm 1st  quality conforming to IS:15622 - 2017,  IS:13630 (Parts 1 to 15) of any colour and  finish in all shades and designs as per the approved flooring pattern as directed by the Engineer-In -Charge, laying tiles using spacers of 2mm thick,  set over  a base coat  of CM  (1:8) prop. 12mm thick  using screened sand over CC bed already laid or RCC roof slab , including neat cement slurry   of honey  like consistancy spread @ 3.3 kgs per  Sqm. and jointed neately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in-charge  etc.,and overheads &amp; contractors profit complete for finished item of work. (APSS No.701 &amp; 707). </t>
    </r>
  </si>
  <si>
    <t>(BLD-CSTN-9-5)</t>
  </si>
  <si>
    <t>Unit = 10 sqm.</t>
  </si>
  <si>
    <t>A. MATERIALS:</t>
  </si>
  <si>
    <t xml:space="preserve">Cost of Double charged vitrified tiles 
TBSC-C.II-05 </t>
  </si>
  <si>
    <t>Cement for CM(1:8)proportion for base coat</t>
  </si>
  <si>
    <t>Cement for slurry</t>
  </si>
  <si>
    <t>White Cement</t>
  </si>
  <si>
    <t>Kg</t>
  </si>
  <si>
    <t>Sand for CM(1:8)</t>
  </si>
  <si>
    <t>B .LABOUR</t>
  </si>
  <si>
    <t>Mason 1st class</t>
  </si>
  <si>
    <t>Mason 2nd class</t>
  </si>
  <si>
    <t>Mazdoor(un skilled)</t>
  </si>
  <si>
    <t xml:space="preserve">Add water charges 1% </t>
  </si>
  <si>
    <t>Rate for 10sqm</t>
  </si>
  <si>
    <t>Rate for other Floors</t>
  </si>
  <si>
    <t>FF (G.F)</t>
  </si>
  <si>
    <t>SF</t>
  </si>
  <si>
    <t>TF</t>
  </si>
  <si>
    <t>4 F</t>
  </si>
  <si>
    <t>5 F</t>
  </si>
  <si>
    <t>6 F</t>
  </si>
  <si>
    <t>Rate as worked out above</t>
  </si>
  <si>
    <t>Lift charges ( Page 131 of Std. Data )</t>
  </si>
  <si>
    <t>Gravel</t>
  </si>
  <si>
    <t>Rate per 10 Sqm</t>
  </si>
  <si>
    <t>Rate per 1 Sqm</t>
  </si>
  <si>
    <r>
      <rPr>
        <b/>
        <sz val="11"/>
        <color theme="1"/>
        <rFont val="Calibri"/>
        <family val="2"/>
        <scheme val="minor"/>
      </rPr>
      <t xml:space="preserve">Flooring with Double charged / multi charged  stain free full body porcelain vitrified tiles </t>
    </r>
    <r>
      <rPr>
        <sz val="11"/>
        <color theme="1"/>
        <rFont val="Calibri"/>
        <family val="2"/>
        <scheme val="minor"/>
      </rPr>
      <t xml:space="preserve"> with double layer pigment of size 600 x 600 mm and thickness between 8-10 mm 1st  quality conforming to IS:15622 - 2017,  IS:13630 (Parts 1 to 15) of any colour and  finish in all shades and designs as per the approved flooring pattern as directed by the Engineer-In -Charge, laying tiles using spacers of 2mm thick,  set over  a base coat  of CM  (1:8) prop. 12mm thick  using screened sand over CC bed already laid or RCC roof slab , including neat cement slurry   of honey  like consistancy spread @ 3.3 kgs per  Sqm. and jointed neately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in-charge  etc.,and overheads &amp; contractors profit complete for finished item of work. (APSS No.701 &amp; 707). </t>
    </r>
  </si>
  <si>
    <t>(BLD-CSTN-9-20)</t>
  </si>
  <si>
    <t>Unit = 10 sqm</t>
  </si>
  <si>
    <t>Cost of vitrified tiles 8-10mm thick</t>
  </si>
  <si>
    <t>Sand for CM(1:5) base coat</t>
  </si>
  <si>
    <t>Cement for CM(1:5) base coat</t>
  </si>
  <si>
    <t>White cement for jointing &amp; pointing</t>
  </si>
  <si>
    <t>B.LABOUR</t>
  </si>
  <si>
    <t>Mazdoor(unskilled)</t>
  </si>
  <si>
    <t>Rate for 10 sqm</t>
  </si>
  <si>
    <t>Rate per 1 RM</t>
  </si>
  <si>
    <r>
      <rPr>
        <b/>
        <sz val="11"/>
        <color theme="1"/>
        <rFont val="Calibri"/>
        <family val="2"/>
        <scheme val="minor"/>
      </rPr>
      <t xml:space="preserve">Providing skirting to internal walls to 10 cm height with soluble salt porcelain vitrified tiles </t>
    </r>
    <r>
      <rPr>
        <sz val="11"/>
        <color theme="1"/>
        <rFont val="Calibri"/>
        <family val="2"/>
        <scheme val="minor"/>
      </rPr>
      <t>screen printed and polished of thickness between 8 to 10mm 1st quality conforming to IS: 13711, IS: 13712, IS: 13630(Parts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r>
  </si>
  <si>
    <r>
      <rPr>
        <b/>
        <sz val="11"/>
        <color theme="1"/>
        <rFont val="Arial"/>
        <family val="2"/>
      </rPr>
      <t>Providing dadooing to walls with Double charged / multi charged  stain free full body porcelain vitrified tiles</t>
    </r>
    <r>
      <rPr>
        <sz val="11"/>
        <color theme="1"/>
        <rFont val="Arial"/>
        <family val="2"/>
      </rPr>
      <t xml:space="preserve">  with double layer pigment of size 600 x 600 mm and thickness between 8-10 mm 1st  quality conforming to IS:13711, IS:13712, IS:13630 (Parts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r>
  </si>
  <si>
    <r>
      <rPr>
        <b/>
        <sz val="11"/>
        <color theme="1"/>
        <rFont val="Arial"/>
        <family val="2"/>
      </rPr>
      <t>Flooring with non-skid full body ceramic floor tiles of size 300mm x 300mm</t>
    </r>
    <r>
      <rPr>
        <sz val="11"/>
        <color theme="1"/>
        <rFont val="Arial"/>
        <family val="2"/>
      </rPr>
      <t xml:space="preserve"> and thickness between 7 - 8mm 1st quality conforming to IS: 13711, IS: 13712, IS: 13630(Part 1 to 15) of any colour and finish in all shades and designs as approved by  Engineer-in-charge, set over base coat of cement mortar (1:8), 12mm thick using screened sandover CC bed already laid or RCC roof slab, including neat cement slurry of honey like consistency spread @ 3.3 Kgs per Sqm &amp; jointed epoxy emulsion grout/ synthetic /resin adhesive in width of 3-5 mm with Nylonspacers excluding cost of tiles neatly with to full depth mixed with pigment of matching shade, including cost of all materials like cement, screened sand , water and tiles etc., and overheads &amp; contractors profit complete for finished item of work.</t>
    </r>
    <r>
      <rPr>
        <b/>
        <sz val="11"/>
        <color theme="1"/>
        <rFont val="Arial"/>
        <family val="2"/>
      </rPr>
      <t xml:space="preserve"> (In toilets) </t>
    </r>
    <r>
      <rPr>
        <sz val="11"/>
        <color theme="1"/>
        <rFont val="Arial"/>
        <family val="2"/>
      </rPr>
      <t>(APSS No.701 &amp; 707) .</t>
    </r>
  </si>
  <si>
    <t>(BLD-CSTN-9-6)</t>
  </si>
  <si>
    <t>Ceramic tiles 7 to 8mm thick (300mm x 300mm)</t>
  </si>
  <si>
    <t>Cement for CM(1:8) proportion for base coat</t>
  </si>
  <si>
    <t xml:space="preserve">Providing and fixing flooring with full depth jointing and pointing to the Vitrified/ CeramicTile flooring in specified thick for tiles of any sizes with epoxy emulsion grout/ synthetic /resin adhesive in width of 3-5 mm with Nylonspacers excluding cost of tiles. </t>
  </si>
  <si>
    <t>SQM</t>
  </si>
  <si>
    <r>
      <rPr>
        <b/>
        <sz val="11"/>
        <color theme="1"/>
        <rFont val="Calibri"/>
        <family val="2"/>
        <scheme val="minor"/>
      </rPr>
      <t>Flooring with non-skid full body ceramic floor tiles of size 300mm x 300mm</t>
    </r>
    <r>
      <rPr>
        <sz val="11"/>
        <color theme="1"/>
        <rFont val="Calibri"/>
        <family val="2"/>
        <scheme val="minor"/>
      </rPr>
      <t xml:space="preserve"> and thickness between 7 - 8mm 1st quality conforming to IS: 13711, IS: 13712, IS: 13630(Part 1 to 15) of any colour and finish in all shades and designs as approved by  Engineer-in-charge, set over base coat of cement mortar (1:8), 12mm thick using screened sandover CC bed already laid or RCC roof slab, including neat cement slurry of honey like consistency spread @ 3.3 Kgs per Sqm &amp; jointed epoxy emulsion grout/ synthetic /resin adhesive in width of 3-5 mm with Nylonspacers excluding cost of tiles neatly with to full depth mixed with pigment of matching shade, including cost of all materials like cement, screened sand , water and tiles etc., and overheads &amp; contractors profit complete for finished item of work. </t>
    </r>
    <r>
      <rPr>
        <b/>
        <sz val="11"/>
        <color theme="1"/>
        <rFont val="Calibri"/>
        <family val="2"/>
        <scheme val="minor"/>
      </rPr>
      <t>(In toilets)</t>
    </r>
    <r>
      <rPr>
        <sz val="11"/>
        <color theme="1"/>
        <rFont val="Calibri"/>
        <family val="2"/>
        <scheme val="minor"/>
      </rPr>
      <t xml:space="preserve"> (APSS No.701 &amp; 707) . </t>
    </r>
  </si>
  <si>
    <r>
      <rPr>
        <b/>
        <sz val="11"/>
        <color theme="1"/>
        <rFont val="Arial"/>
        <family val="2"/>
      </rPr>
      <t xml:space="preserve">Providing and fixing in true horizontal level 14 mm - Mineral Fiber sheet 600 x 600 </t>
    </r>
    <r>
      <rPr>
        <sz val="11"/>
        <color theme="1"/>
        <rFont val="Arial"/>
        <family val="2"/>
      </rPr>
      <t>(Square / Tegular) edge tiles with a Humidity Resistance of 90% RH,Average NRC 0.50, Light Reflectance &gt;80%, Thermal Conductivity λ= 0.052 to 0.057 w/mk, Fire Performance Class 0/Class 1 using hot dipped Galvanized Steel section exposed surface with pre-coated capping, main Tee of size 24 x 32 mm at every 1200 mm c/c maximum and rotary stitched cross tee of size 24 x 27 mm at every 600 mm c/c and sub-cross tee of size 24 mm x 25 mm at 1200 mm c/c and wall angle of size 19 x 19 mm fixed to periphery of the wall and the above grid is suspended at every 1200 mm c/c in both directions using 2.0 mm thick pre-straightened GI Wire including cost and conveyance of all materials and labour charges such as cutting , fixing of standing of frame work exposing roof making, overheads &amp; contractor profit etc., complete for finished item of work in all floor in all floors.</t>
    </r>
  </si>
  <si>
    <t>(BLD-CSTN-10-33 &amp; vide Page No. 391 of SoR 2011-12)</t>
  </si>
  <si>
    <t>Unit 1 Sqm</t>
  </si>
  <si>
    <t>A) Material requirement</t>
  </si>
  <si>
    <t>14mm Mineral Fiber sheet 600 x 600  TBSC-K.I- 05</t>
  </si>
  <si>
    <t xml:space="preserve">Hotdipped GI Angle - Precoated - Grid - 19mmx19mmX0.7mm </t>
  </si>
  <si>
    <t xml:space="preserve">Polyster painted GI - T section - 1200mm -  24x32mm and 24x25mm (sub-cross Tee) </t>
  </si>
  <si>
    <t>Polyster painted GI-T Section - 300mm - 24mm x 27mm</t>
  </si>
  <si>
    <t xml:space="preserve">GI Rod - prestraightened - 2.0mm dia -Connecting Rod </t>
  </si>
  <si>
    <t xml:space="preserve">6mm Nylon Rawl Plug </t>
  </si>
  <si>
    <t>B) Labour charges</t>
  </si>
  <si>
    <t>1st Class Carpenter</t>
  </si>
  <si>
    <t>2nd Class Carpenter</t>
  </si>
  <si>
    <t>1st Class Painter</t>
  </si>
  <si>
    <t>2nd Class Painter</t>
  </si>
  <si>
    <t>Power Saw cutter - Hand Operated - Operator</t>
  </si>
  <si>
    <t>Power Drill - Hand Operated - Operator</t>
  </si>
  <si>
    <t>Unskilled Mazdoor</t>
  </si>
  <si>
    <t>C) Machinery</t>
  </si>
  <si>
    <t>Power Saw cutter - Hand Operated - Hire Charges</t>
  </si>
  <si>
    <t>Hours</t>
  </si>
  <si>
    <t xml:space="preserve">Power Drill - Hand Operated - Hire Charges </t>
  </si>
  <si>
    <t>Scaffolding charges  1%</t>
  </si>
  <si>
    <t>Basic Cost per 1 sqm</t>
  </si>
  <si>
    <r>
      <rPr>
        <b/>
        <sz val="11"/>
        <color theme="1"/>
        <rFont val="Arial"/>
        <family val="2"/>
      </rPr>
      <t xml:space="preserve">Electro conductive Flooring </t>
    </r>
    <r>
      <rPr>
        <sz val="11"/>
        <color theme="1"/>
        <rFont val="Arial"/>
        <family val="2"/>
      </rPr>
      <t>inside MOTs</t>
    </r>
  </si>
  <si>
    <r>
      <rPr>
        <b/>
        <sz val="11"/>
        <color theme="1"/>
        <rFont val="Arial"/>
        <family val="2"/>
      </rPr>
      <t>Providing and applying Wall putty of White Cement or Polymer or Cement based of average 1 to 2 mm thickness</t>
    </r>
    <r>
      <rPr>
        <sz val="11"/>
        <color theme="1"/>
        <rFont val="Arial"/>
        <family val="2"/>
      </rPr>
      <t xml:space="preserve"> over plastered surface to prepare the surface even and smooth after thoroughly brushing the surface to remove all dirt and remains of loose powdered materials, applying emery paper, Sand the surface, clean &amp; wipe off loose dust, applying knifing paste filler by putty knife / muslin pad, air dry for 2 - 3 hrs, sand with 180 and 320 No., emery paper for the surface preparation including cost and conveyance of all materials to work site and all operational, incidental, labour charges, over heads and contractors profit etc., complete for finished item of work in all floors </t>
    </r>
    <r>
      <rPr>
        <b/>
        <sz val="11"/>
        <color theme="1"/>
        <rFont val="Arial"/>
        <family val="2"/>
      </rPr>
      <t>for Internal walls.</t>
    </r>
  </si>
  <si>
    <t xml:space="preserve"> (As per Amendment in SoR 2011-12)</t>
  </si>
  <si>
    <t>Unit = 10 Sqm</t>
  </si>
  <si>
    <t>Wall putty      TBSC-G.I-03</t>
  </si>
  <si>
    <t>Painter 1st class</t>
  </si>
  <si>
    <t>Painter 2nd class</t>
  </si>
  <si>
    <t>Mazdoor</t>
  </si>
  <si>
    <t>Sundries for emery papers, fillers, knife etc., @ 1%</t>
  </si>
  <si>
    <t>Rate per 10 sqm</t>
  </si>
  <si>
    <r>
      <rPr>
        <b/>
        <sz val="11"/>
        <color theme="1"/>
        <rFont val="Calibri"/>
        <family val="2"/>
        <scheme val="minor"/>
      </rPr>
      <t>Providing and applying Wall putty of White Cement or Polymer or Cement based of average 1 to 2 mm thickness</t>
    </r>
    <r>
      <rPr>
        <sz val="11"/>
        <color theme="1"/>
        <rFont val="Calibri"/>
        <family val="2"/>
        <scheme val="minor"/>
      </rPr>
      <t xml:space="preserve"> over plastered surface to prepare the surface even and smooth after thoroughly brushing the surface to remove all dirt and remains of loose powdered materials, applying emery paper, Sand the surface, clean &amp; wipe off loose dust, applying knifing paste filler by putty knife / muslin pad, air dry for 2 - 3 hrs, sand with 180 and 320 No., emery paper for the surface preparation including cost and conveyance of all materials to work site and all operational, incidental, labour charges, over heads and contractors profit etc., complete for finished item of work in all floors</t>
    </r>
    <r>
      <rPr>
        <b/>
        <sz val="11"/>
        <color theme="1"/>
        <rFont val="Calibri"/>
        <family val="2"/>
        <scheme val="minor"/>
      </rPr>
      <t xml:space="preserve"> for Internal walls.</t>
    </r>
  </si>
  <si>
    <r>
      <rPr>
        <b/>
        <sz val="11"/>
        <color theme="1"/>
        <rFont val="Arial"/>
        <family val="2"/>
      </rPr>
      <t xml:space="preserve">Supply &amp; application of one coat water based cement primer of interior grade I and two coats of  acrylic emulsion paint </t>
    </r>
    <r>
      <rPr>
        <sz val="11"/>
        <color theme="1"/>
        <rFont val="Arial"/>
        <family val="2"/>
      </rPr>
      <t>having VOC (Volatile Organic Compound) content less than 50 grams/litre for internal walls including cost and conveyance of all materials to site, sales &amp; other taxes, incidental, operational and all labour charges etc., and overheads &amp; contractors profit complete for finished item of work in all floors.</t>
    </r>
  </si>
  <si>
    <t xml:space="preserve"> (BLD-CSTN-12-2&amp; Amendment in SoR 2011-12)</t>
  </si>
  <si>
    <t>Unit 10 Sqm.</t>
  </si>
  <si>
    <t>A. Materials:-</t>
  </si>
  <si>
    <t xml:space="preserve">Cost of cement primer interior grade I  TBSC-G.I-01 </t>
  </si>
  <si>
    <t>Acrylic emulsion  paint       TBSC-G.III-01</t>
  </si>
  <si>
    <t>Ltrs</t>
  </si>
  <si>
    <t>Sundries including brushes, ladders etc., @ 1%</t>
  </si>
  <si>
    <r>
      <rPr>
        <b/>
        <sz val="11"/>
        <color theme="1"/>
        <rFont val="Calibri"/>
        <family val="2"/>
        <scheme val="minor"/>
      </rPr>
      <t>Supply &amp; application of one coat water based cement primer of interior grade I and two coats of  acrylic emulsion paint</t>
    </r>
    <r>
      <rPr>
        <sz val="11"/>
        <color theme="1"/>
        <rFont val="Calibri"/>
        <family val="2"/>
        <scheme val="minor"/>
      </rPr>
      <t xml:space="preserve"> having VOC (Volatile Organic Compound) content less than 50 grams/litre for internal walls including cost and conveyance of all materials to site, sales &amp; other taxes, incidental, operational and all labour charges etc., and overheads &amp; contractors profit complete for finished item of work in all floors.</t>
    </r>
  </si>
  <si>
    <r>
      <rPr>
        <b/>
        <sz val="11"/>
        <color theme="1"/>
        <rFont val="Arial"/>
        <family val="2"/>
      </rPr>
      <t>Painting to new wood work and flush shutters with lappam finish, over a primary coat  and painting two coats of synthetic enamel paint</t>
    </r>
    <r>
      <rPr>
        <sz val="11"/>
        <color theme="1"/>
        <rFont val="Arial"/>
        <family val="2"/>
      </rPr>
      <t xml:space="preserve"> Grade-II VOC (Volatile Organic Compound) content less than 50 grams/litre of approved shade including cost and conveyance of all materials to site cost of primer coat and all labour charges etc. complete including applying sand paper on lappam coats for neat finish including sales &amp; other taxes on cost of all materials etc., and overheads &amp; contractors profit complete  in all floors (APSS No.1200, 1207 &amp; 1211).</t>
    </r>
  </si>
  <si>
    <t>(BLD-CSTN-12-6 &amp; 12-12-195)</t>
  </si>
  <si>
    <t>Cost of Putty for wood work</t>
  </si>
  <si>
    <t>Primer Coat</t>
  </si>
  <si>
    <t>Cost of Wood Primer</t>
  </si>
  <si>
    <t>Ltr</t>
  </si>
  <si>
    <t>2 coats of Enamel painting</t>
  </si>
  <si>
    <t>Cost of Synthetic Enamel Paint</t>
  </si>
  <si>
    <t>Sundries including brushes , ladders etc., @ 1%</t>
  </si>
  <si>
    <r>
      <rPr>
        <b/>
        <sz val="11"/>
        <color theme="1"/>
        <rFont val="Calibri"/>
        <family val="2"/>
        <scheme val="minor"/>
      </rPr>
      <t xml:space="preserve">Painting to new wood work and flush shutters with lappam finish, over a primary coat  and painting two coats of synthetic enamel paint </t>
    </r>
    <r>
      <rPr>
        <sz val="11"/>
        <color theme="1"/>
        <rFont val="Calibri"/>
        <family val="2"/>
        <scheme val="minor"/>
      </rPr>
      <t>Grade-II VOC (Volatile Organic Compound) content less than 50 grams/litre of approved shade including cost and conveyance of all materials to site cost of primer coat and all labour charges etc. complete including applying sand paper on lappam coats for neat finish including sales &amp; other taxes on cost of all materials etc., and overheads &amp; contractors profit complete  in all floors (APSS No.1200, 1207 &amp; 1211).</t>
    </r>
  </si>
  <si>
    <t>(BLD-CSTN-9-7)</t>
  </si>
  <si>
    <t>Cement for CM(1:8) for base coat</t>
  </si>
  <si>
    <t>White cement for jointing</t>
  </si>
  <si>
    <r>
      <rPr>
        <b/>
        <sz val="11"/>
        <color theme="1"/>
        <rFont val="Arial"/>
        <family val="2"/>
      </rPr>
      <t>Flooring with 16 to 18 mm  thick high polished granite stone slabs black colour</t>
    </r>
    <r>
      <rPr>
        <sz val="11"/>
        <color theme="1"/>
        <rFont val="Arial"/>
        <family val="2"/>
      </rPr>
      <t xml:space="preserve"> as approved by the Engineer-in-Charge of length not less than 2.43 mts set over base coat of cement mortar (1:8) , 20mm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half rounding the edge , polishing charges and all other taxes on all materials, cost of base coat and overheads &amp; contractors profit complete for finished item of work </t>
    </r>
    <r>
      <rPr>
        <b/>
        <sz val="11"/>
        <color theme="1"/>
        <rFont val="Arial"/>
        <family val="2"/>
      </rPr>
      <t xml:space="preserve">for platforms </t>
    </r>
    <r>
      <rPr>
        <sz val="11"/>
        <color theme="1"/>
        <rFont val="Arial"/>
        <family val="2"/>
      </rPr>
      <t xml:space="preserve">(S.S.701 &amp; special) </t>
    </r>
  </si>
  <si>
    <t>High polished granite slabs black 16 to 18mm thick</t>
  </si>
  <si>
    <t>Machine cutting charges</t>
  </si>
  <si>
    <t>Half rounding the edges</t>
  </si>
  <si>
    <r>
      <rPr>
        <b/>
        <sz val="11"/>
        <color theme="1"/>
        <rFont val="Calibri"/>
        <family val="2"/>
        <scheme val="minor"/>
      </rPr>
      <t xml:space="preserve">Flooring with 16 to 18 mm  thick high polished granite stone slabs black colour </t>
    </r>
    <r>
      <rPr>
        <sz val="11"/>
        <color theme="1"/>
        <rFont val="Calibri"/>
        <family val="2"/>
        <scheme val="minor"/>
      </rPr>
      <t xml:space="preserve">as approved by the Engineer-in-Charge of length not less than 2.43 mts set over base coat of cement mortar (1:8) , 20mm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half rounding the edge , polishing charges and all other taxes on all materials, cost of base coat and overheads &amp; contractors profit complete for finished item of work </t>
    </r>
    <r>
      <rPr>
        <b/>
        <sz val="11"/>
        <color theme="1"/>
        <rFont val="Calibri"/>
        <family val="2"/>
        <scheme val="minor"/>
      </rPr>
      <t>for platforms</t>
    </r>
    <r>
      <rPr>
        <sz val="11"/>
        <color theme="1"/>
        <rFont val="Calibri"/>
        <family val="2"/>
        <scheme val="minor"/>
      </rPr>
      <t xml:space="preserve"> (S.S.701 &amp; special) </t>
    </r>
  </si>
  <si>
    <r>
      <rPr>
        <b/>
        <sz val="11"/>
        <color theme="1"/>
        <rFont val="Arial"/>
        <family val="2"/>
      </rPr>
      <t>Supply  and fixing of Venetian blinds Vertical blinds 100 mm wide</t>
    </r>
    <r>
      <rPr>
        <sz val="11"/>
        <color theme="1"/>
        <rFont val="Arial"/>
        <family val="2"/>
      </rPr>
      <t xml:space="preserve"> with all accessories including cost and conveynace of materials, labour charges  and overheads &amp; contractor profit etc., for complete finished item of work</t>
    </r>
    <r>
      <rPr>
        <b/>
        <sz val="11"/>
        <color theme="1"/>
        <rFont val="Arial"/>
        <family val="2"/>
      </rPr>
      <t>.</t>
    </r>
  </si>
  <si>
    <t>Cost of material (Rate as per SSR                   Sl.No. 758 - P.No. 138 TBSC-R.I-10)</t>
  </si>
  <si>
    <t>Rate per 1 SQM</t>
  </si>
  <si>
    <r>
      <rPr>
        <b/>
        <sz val="11"/>
        <color theme="1"/>
        <rFont val="Calibri"/>
        <family val="2"/>
        <scheme val="minor"/>
      </rPr>
      <t>Supply  and fixing of Venetian blinds Vertical blinds 100 mm wide</t>
    </r>
    <r>
      <rPr>
        <sz val="11"/>
        <color theme="1"/>
        <rFont val="Calibri"/>
        <family val="2"/>
        <scheme val="minor"/>
      </rPr>
      <t xml:space="preserve"> with all accessories including cost and conveynace of materials, labour charges  and overheads &amp; contractor profit etc., for complete finished item of work. </t>
    </r>
  </si>
  <si>
    <r>
      <rPr>
        <b/>
        <sz val="11"/>
        <color theme="1"/>
        <rFont val="Arial"/>
        <family val="2"/>
      </rPr>
      <t>Name Plates</t>
    </r>
    <r>
      <rPr>
        <sz val="11"/>
        <color theme="1"/>
        <rFont val="Arial"/>
        <family val="2"/>
      </rPr>
      <t xml:space="preserve"> (Room Names) as approved by the Engineer In-charge.</t>
    </r>
  </si>
  <si>
    <t>For1.80mx1.70m size</t>
  </si>
  <si>
    <t>Quantity  Anailysis</t>
  </si>
  <si>
    <t>Cost of 25mm x 6mm MS flat alround</t>
  </si>
  <si>
    <t>2 ( 1.80+ 1.70 )</t>
  </si>
  <si>
    <t>7.00 RM @ 1.20 Kgs/RM</t>
  </si>
  <si>
    <t>Cost of 10mm M.S square bars @0.785 kg /RM</t>
  </si>
  <si>
    <t>Vertical bars  6</t>
  </si>
  <si>
    <t>6 x 1.70</t>
  </si>
  <si>
    <t xml:space="preserve">Horizontal bars    13 </t>
  </si>
  <si>
    <t>13 x 1.80</t>
  </si>
  <si>
    <t>Cost Analysis</t>
  </si>
  <si>
    <t>Cost of 10mm MS squre bars                 (RMR)</t>
  </si>
  <si>
    <t>Cost of  25X 6mm MS Flat                  (RMR)</t>
  </si>
  <si>
    <t>Labour charges for fabrication of steel   TBSC-T.I-16</t>
  </si>
  <si>
    <t>Labour charges for fixing                            TBSC-T.I-17</t>
  </si>
  <si>
    <t>Rate per 3.06 Sqm</t>
  </si>
  <si>
    <r>
      <rPr>
        <b/>
        <sz val="11"/>
        <color theme="1"/>
        <rFont val="Calibri"/>
        <family val="2"/>
        <scheme val="minor"/>
      </rPr>
      <t>Supplying and fixing of MS Grill to windows</t>
    </r>
    <r>
      <rPr>
        <sz val="11"/>
        <color theme="1"/>
        <rFont val="Calibri"/>
        <family val="2"/>
        <scheme val="minor"/>
      </rPr>
      <t xml:space="preserve"> / in open court yards using 25mm x 6mm MS flat alround and 10mm MS square bars horizontally at 125mm centre to centre and vertically at 300mm centre to centre including fixing with 4 Nos of MS  Z holdfasts (2 on each side) duly making cutting brick masonry, fixing and making to original surface neatly and painting grill with one coat of red oxide primer including cost all taxes and conveyance of all materials including cutting, bending, welding including all operational charges and all labour charges etc., complete for finished item of work. </t>
    </r>
  </si>
  <si>
    <r>
      <rPr>
        <b/>
        <sz val="11"/>
        <color theme="1"/>
        <rFont val="Arial"/>
        <family val="2"/>
      </rPr>
      <t>Supplying and fixing of MS Grill to windows</t>
    </r>
    <r>
      <rPr>
        <sz val="11"/>
        <color theme="1"/>
        <rFont val="Arial"/>
        <family val="2"/>
      </rPr>
      <t xml:space="preserve"> / in open court yards using 25mm x 6mm MS flat alround and 10mm MS square bars horizontally at 125mm centre to centre and vertically at 300mm centre to centre including fixing with 4 Nos of MS  Z holdfasts (2 on each side) duly making cutting brick masonry, fixing and making to original surface neatly and painting grill with one coat of red oxide primer including cost all taxes and conveyance of all materials including cutting, bending, welding including all operational charges and all labour charges etc., complete for finished item of work. </t>
    </r>
  </si>
  <si>
    <t>Rate as per SSR  TBSC-R.I-07</t>
  </si>
  <si>
    <t>Rate per Sqm</t>
  </si>
  <si>
    <t>say</t>
  </si>
  <si>
    <r>
      <t xml:space="preserve">Supply of </t>
    </r>
    <r>
      <rPr>
        <b/>
        <sz val="11"/>
        <color theme="1"/>
        <rFont val="Calibri"/>
        <family val="2"/>
        <scheme val="minor"/>
      </rPr>
      <t>Sun Control film</t>
    </r>
    <r>
      <rPr>
        <sz val="11"/>
        <color theme="1"/>
        <rFont val="Calibri"/>
        <family val="2"/>
        <scheme val="minor"/>
      </rPr>
      <t xml:space="preserve"> to the glazed windows (For Windows &amp; Door view Windows)</t>
    </r>
  </si>
  <si>
    <t>(BLD-CSTN-10-25)</t>
  </si>
  <si>
    <t>Unit : 10 sqm</t>
  </si>
  <si>
    <t>A.MATERIALS :</t>
  </si>
  <si>
    <t xml:space="preserve">Cement </t>
  </si>
  <si>
    <t>Fine aggregate (Sand)</t>
  </si>
  <si>
    <t>Integral cement waterproofing liquid</t>
  </si>
  <si>
    <t>B.LABOUR :</t>
  </si>
  <si>
    <t>1st Class Mason</t>
  </si>
  <si>
    <t>2nd Class Mason</t>
  </si>
  <si>
    <t>Mazdoor (Unskilled)</t>
  </si>
  <si>
    <t>water charges @ 1%</t>
  </si>
  <si>
    <r>
      <rPr>
        <b/>
        <sz val="11"/>
        <color theme="1"/>
        <rFont val="Arial"/>
        <family val="2"/>
      </rPr>
      <t>Providing impervious coat to exposed RCC roof slab surfaces</t>
    </r>
    <r>
      <rPr>
        <sz val="11"/>
        <color theme="1"/>
        <rFont val="Arial"/>
        <family val="2"/>
      </rPr>
      <t xml:space="preserve"> to required slopes with CM (1:3) prop. using screened sand 20mm thick (average) mixed with integral cement water proofing liquid confirming to IS: 2645-2003 manufactured by reputed manufacturers as approved by Engineer-in-charge at 1 Kg per one bag of cement, laid over roof slab when it is green, finished smooth with a floating coat of neat cement and thread lining at regular intervals of 45cmx45cm including cost and conveyance of all materials like cement, sand, water proofing compound, water etc., to site, including sales &amp; other taxes on all materials and operational, incidental, and labour charges for mixing mortar, laying, lift charges, rendering smooth and thread lining, curing including rounding off junctions of wall and slab etc., and overheads &amp; contractors profit  complete for finished item of work. (APSS No. 901 &amp; 903). (For Toilets)</t>
    </r>
  </si>
  <si>
    <r>
      <rPr>
        <b/>
        <sz val="11"/>
        <color theme="1"/>
        <rFont val="Calibri"/>
        <family val="2"/>
        <scheme val="minor"/>
      </rPr>
      <t>Providing impervious coat to exposed RCC roof slab surfaces</t>
    </r>
    <r>
      <rPr>
        <sz val="11"/>
        <color theme="1"/>
        <rFont val="Calibri"/>
        <family val="2"/>
        <scheme val="minor"/>
      </rPr>
      <t xml:space="preserve"> to required slopes with CM (1:3) prop. using screened sand 20mm thick (average) mixed with integral cement water proofing liquid confirming to IS: 2645-2003 manufactured by reputed manufacturers as approved by Engineer-in-charge at 1 Kg per one bag of cement, laid over roof slab when it is green, finished smooth with a floating coat of neat cement and thread lining at regular intervals of 45cmx45cm including cost and conveyance of all materials like cement, sand, water proofing compound, water etc., to site, including sales &amp; other taxes on all materials and operational, incidental, and labour charges for mixing mortar, laying, lift charges, rendering smooth and thread lining, curing including rounding off junctions of wall and slab etc., and overheads &amp; contractors profit  complete for finished item of work. (APSS No. 901 &amp; 903). (For Toilets)</t>
    </r>
  </si>
  <si>
    <t>Amount</t>
  </si>
  <si>
    <t xml:space="preserve">Name of Work: </t>
  </si>
  <si>
    <t>Plumbing Works</t>
  </si>
  <si>
    <t>Electrical Works</t>
  </si>
  <si>
    <t>Equipment</t>
  </si>
  <si>
    <t>Air Conditioninh Works</t>
  </si>
  <si>
    <t>ELV Works</t>
  </si>
  <si>
    <t>Fire Fighting Woks</t>
  </si>
  <si>
    <t>MGPS Works</t>
  </si>
  <si>
    <t>SSR</t>
  </si>
  <si>
    <t>DCA</t>
  </si>
  <si>
    <t>(BLD-CSTN-8-9)</t>
  </si>
  <si>
    <t>Base coat in CM(1:6) , 16mm thick</t>
  </si>
  <si>
    <t>Top coat in CM(1:4), 4mm thick</t>
  </si>
  <si>
    <t>Walls in superstructure :</t>
  </si>
  <si>
    <t xml:space="preserve">Hire charges for Access Scaffolding </t>
  </si>
  <si>
    <t>Labour charges for scaffolding</t>
  </si>
  <si>
    <r>
      <rPr>
        <b/>
        <sz val="11"/>
        <color theme="1"/>
        <rFont val="Calibri"/>
        <family val="2"/>
        <scheme val="minor"/>
      </rPr>
      <t>Plastering 20mm thick in two coats</t>
    </r>
    <r>
      <rPr>
        <sz val="11"/>
        <color theme="1"/>
        <rFont val="Calibri"/>
        <family val="2"/>
        <scheme val="minor"/>
      </rPr>
      <t xml:space="preserve"> using screened sand with base coat of 16mm thick in CM(1:6) and top coat of 4mm thick in CM(1:4) with dubara sponge finishing including cost and conveyance of all materials like cement, sand, water etc., to site, including sales &amp; other taxes on all materials, and all operational, incidental charges on materials and including cost of all labour charges for mixing mortar, finishing, scaffolding, lift charges, curing, including cutting grooves as directed by Engineer-in-charge etc., and overheads &amp; contractors profit complete for finished item of work .(SS 901,903 &amp; 904). </t>
    </r>
  </si>
  <si>
    <t>( BLD-CSTN-8-10)</t>
  </si>
  <si>
    <t>Base coat in CM(1:6) , 8mm thick</t>
  </si>
  <si>
    <t>Top coat in CM(1:4) , 4mm thick</t>
  </si>
  <si>
    <t>Lift charges (Page 131 of Std. Data)</t>
  </si>
  <si>
    <r>
      <rPr>
        <b/>
        <sz val="11"/>
        <color theme="1"/>
        <rFont val="Calibri"/>
        <family val="2"/>
        <scheme val="minor"/>
      </rPr>
      <t xml:space="preserve">Plastering 12mm thick in two coats </t>
    </r>
    <r>
      <rPr>
        <sz val="11"/>
        <color theme="1"/>
        <rFont val="Calibri"/>
        <family val="2"/>
        <scheme val="minor"/>
      </rPr>
      <t xml:space="preserve">using screened sand with base coat of 8mm thick in CM (1:6) and top coat of 4mm thick in CM (1:4) with dubara sponge finishing including cost and conveyance of all materials like cement, sand, water etc., to site, including sales &amp; other taxes on all materials, and all operational, incidental charges on materials and including cost of all labour charges for mixing mortar, finishing, scaffolding, lift charges, curing, including cutting grooves as directed by Engineer-in-charge etc., and overheads &amp; contractors profit complete  for finished item of work. (SS 901,903 &amp; 904). </t>
    </r>
  </si>
  <si>
    <r>
      <rPr>
        <b/>
        <sz val="10"/>
        <color theme="1"/>
        <rFont val="Arial"/>
        <family val="2"/>
      </rPr>
      <t>Supply and fixing of doors as per approved drawings with medium teak wood</t>
    </r>
    <r>
      <rPr>
        <sz val="10"/>
        <color theme="1"/>
        <rFont val="Arial"/>
        <family val="2"/>
      </rPr>
      <t xml:space="preserve"> frame of section 100mm x 65 mm with split type fan light of 500mm at the top fixed with 4mm thick pin headed glass using 12mm x 12mm Teak Wood beading and 2 Nos. of 10mm MS Square bars and ISI marked flush door shutter of 30mm thick single shutter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fixing 6 Nos. MS Z hold fasts of size 300 mm x 40 mm x 5mm including cost of ISI marked Aluminium fixtures of   3 Nos. butt hinges (IS:205) 150mm long , 1 No. aldrop (IS:2681) 300mm long, 1 No. tower bolt (IS:204) of 200 mm x 10 mm dia at top, 2 Nos. 150mm long handles (IS:208), 1 No. door stopper and 1 No. rubber bush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color theme="1"/>
        <rFont val="Arial"/>
        <family val="2"/>
      </rPr>
      <t>(900mm x 2600mm)</t>
    </r>
    <r>
      <rPr>
        <sz val="10"/>
        <color theme="1"/>
        <rFont val="Arial"/>
        <family val="2"/>
      </rPr>
      <t xml:space="preserve"> </t>
    </r>
  </si>
  <si>
    <r>
      <rPr>
        <b/>
        <sz val="10"/>
        <color theme="1"/>
        <rFont val="Arial"/>
        <family val="2"/>
      </rPr>
      <t>Supply and fixing of doors as per approved drawings with medium teak wood</t>
    </r>
    <r>
      <rPr>
        <sz val="10"/>
        <color theme="1"/>
        <rFont val="Arial"/>
        <family val="2"/>
      </rPr>
      <t xml:space="preserve"> frame of section 100mm x 65 mm with fixed fan light of 500mm at the top fixed with 4mm thick pin headed glass using 12mm x 12mm Teak Wood beading and 2 Nos. of 10mm MS Square bars and ISI marked flush door shutter of 30mm thick double shutters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fixing 6 Nos. MS Z  hold fasts of size 300 mm x 40 mm x 5mm including cost of ISI marked Aluminium fixtures of 6 Nos. butt hinges (IS:205) 150mm long, 1 No. aldrop (IS:2681) 300mm long, 2 Nos. tower bolts - 10mm  (IS:204) of 200 mm long at top,  2 Nos. 150mm long handles (IS:208), 2 Nos. door stoppers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color theme="1"/>
        <rFont val="Arial"/>
        <family val="2"/>
      </rPr>
      <t>(1800mm x 2600mm).</t>
    </r>
  </si>
  <si>
    <r>
      <rPr>
        <b/>
        <sz val="10"/>
        <color theme="1"/>
        <rFont val="Arial"/>
        <family val="2"/>
      </rPr>
      <t>Clean room Doors</t>
    </r>
    <r>
      <rPr>
        <sz val="10"/>
        <color theme="1"/>
        <rFont val="Arial"/>
        <family val="2"/>
      </rPr>
      <t xml:space="preserve">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with 300 mm x 300 mm  View panel</t>
    </r>
  </si>
  <si>
    <r>
      <rPr>
        <b/>
        <sz val="10"/>
        <color theme="1"/>
        <rFont val="Arial"/>
        <family val="2"/>
      </rPr>
      <t xml:space="preserve">Supply and fixing of doors as per approved drawings with (WPC) single extruded Door </t>
    </r>
    <r>
      <rPr>
        <sz val="10"/>
        <color theme="1"/>
        <rFont val="Arial"/>
        <family val="2"/>
      </rPr>
      <t xml:space="preserve">Frame section of 100*65 MM  and30mm thick Wood Plastic Composite (WPC) Door shutter, comprising of 70% virgin polymer, 15% wood powder (fiber), and the remaining 15% additives, the door shutter shall be water resistant, fire resistant and termite resistant,with Tensile Strength not less than 170Kgf/cm2 and the door shutters surface finished deco paint including cost and conveyance to site of teak  wood frame,  WPC shutter including  supply and fixing 6 nos MS Z  hold fasts of size 300 mm x 40 mm x 5mm including cost of ISI marked  brass fixtures of 6 Nos butt hinges (IS:205) 150mm long , 1 No. aldrop (IS:2681) 300mm long, 2 Nos tower bolts- 10mm (IS:204) of 200 mm long at top, 1 No. tower bolt- 10mm bolt (IS:204) 150mm long at bottom, 2 Nos. 150mm long fancy handles (IS:208), 2 Nos door stopper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color theme="1"/>
        <rFont val="Arial"/>
        <family val="2"/>
      </rPr>
      <t>(800mm x 2100mm) (For Wash Rooms).</t>
    </r>
  </si>
  <si>
    <r>
      <rPr>
        <b/>
        <sz val="10"/>
        <color theme="1"/>
        <rFont val="Arial"/>
        <family val="2"/>
      </rPr>
      <t xml:space="preserve">Emergency  Fire  Doors </t>
    </r>
    <r>
      <rPr>
        <sz val="10"/>
        <color theme="1"/>
        <rFont val="Arial"/>
        <family val="2"/>
      </rPr>
      <t xml:space="preserve"> :  Supply &amp; Fixing of Powder Coated Fire Rated doors, frames &amp; shutters made of Skin pass galvanized Iron sheet conforming to Base Steel as per IS 513 “D” Quality, Galvanized as per IS 277 with Hot Zinc Coating of 120 grams / Sq.Mtr with powder coating of thickness 60-65 Microns, frame with 1.2mm thick Skin pass Galvanized Iron sheet formed to double rebate profile of size 143 mm X 58 mm with maximum bending radius of 1.4 mm and filled with in-fill Polyurethane foam, the Door Shutters are with 0.80 mm thick Skin pass Galvanized Iron Sheet formed to provide a 46 mm thick fully flush,double skin door shell with Lock Seam joints at stile edges, fitted with in-fill of Honeycomb Kraft Paper and coated with polyester powders of Pure polyester/ epoxy polyester or polyurethane powder for powder coating of thickness 60 – 65 microns and are coated with Zinc Phosphate Primer to receive any paint on site or finished with Thermosetting Polyurethane paint of Aliphatic Grade providing high levels of scratch resistance and durability, the Shutter provided with 6 MM clear float vision glass in Circular, Square or Rectangular shapes, Stainless Steel Ball Bearing Butt Hinges 3 mm thick fixed flush to the frame and shutter (Profile 102x76x3mm thick).Mortise Sash Lock with Lever Handles, Mortise Dead Bolt, etc for 120 minutes Fire Rated door conforming to IS:3614 (Part2) 1992 including overheads and contractor profit etc., complete for finished item of work</t>
    </r>
  </si>
  <si>
    <r>
      <rPr>
        <b/>
        <sz val="10"/>
        <color theme="1"/>
        <rFont val="Arial"/>
        <family val="2"/>
      </rPr>
      <t xml:space="preserve">Supplying and fixing of Unplasticised Poly Vinyl Chloride (UPVC) 3 track sliding windows </t>
    </r>
    <r>
      <rPr>
        <sz val="10"/>
        <color theme="1"/>
        <rFont val="Arial"/>
        <family val="2"/>
      </rPr>
      <t>with mesh shutter – (2-glass shutters and 1-mesh shutter) duly manufactured using UPVC reinforced profiles (Composition of profile shall consists a minimum of 5.5 PHR of TiO2 and not more than 12 PHR of CaCo3 for every 100 parts of PVC resin) of (94mm x 45 mm)/(80 mm x 52 mm) x 2.20 mm for outer frames, (58 mm x 39 mm)/(54 mm x 38 mm) x 2.20mm for sliding shutter frames capable of mounting single glazing system structurally reinforced with hot dip galvanized up to 50 microns of minimum thickness of 1.0/1.2 mm prefabricated &amp; welded through fusion welding. The window sash shall be fitted with 5 mm thick clear float glass of reputed make and mesh shutter frame shall be (42 mm x 25mm)/(52 mm x 21.5 mm) x 2.0 mm fitted with Vinyl Coated Fiber mesh- on rollers/ pulley duly fixed with Grey colour TPV Gasket for sash &amp; Glazing bead shall be co-extruded with Grey colour soft PVC. System shall have single point locking with Touch Lock and the system is to be installed at the site using anchor fasteners, silicon rubber sealant, easy glazing/deglazing at site etc., including cost and conveyance of all materials, accessories, labour charges for transportation, erection at site including  overheads and contractors profit etc., complete for finished item of work.</t>
    </r>
  </si>
  <si>
    <r>
      <rPr>
        <b/>
        <sz val="10"/>
        <color theme="1"/>
        <rFont val="Arial"/>
        <family val="2"/>
      </rPr>
      <t>Providing, supplying &amp; fixing of Fixed Louvered Ventilator</t>
    </r>
    <r>
      <rPr>
        <sz val="10"/>
        <color theme="1"/>
        <rFont val="Arial"/>
        <family val="2"/>
      </rPr>
      <t xml:space="preserve"> made out of multi chambered uPVC sections with Glazing bead shall be co-extruded with Grey colour soft PVC. having isolated drainage and reinforced with Galvanized Iron profiles throughout the window. The outer frame having an overall size of 60 mm x 55 mm x 2.40 with reinforcement of 1 mm thickness and Mullion with overall size of 74 mm x 60 mm x 2.40 mm with reinforcement of 1 mm thickness. (Composition of profile shall consists a minimum of 5.5 PHR of TiO2 and not more than 12 PHR of CaCo3 for every 100 parts of PVC resin). Ventilator shall be provided with 4.5 mm Pin Head glass, standard hardware. Wall thickness of frame &amp; Mullion shall be 2.4 mm., including cost and conveyance of all materials, accessories, labour charges for transportation, erection at site including overheads and contractor profit etc., complete for finished item of work.</t>
    </r>
  </si>
  <si>
    <r>
      <rPr>
        <b/>
        <sz val="10"/>
        <color theme="1"/>
        <rFont val="Arial"/>
        <family val="2"/>
      </rPr>
      <t xml:space="preserve">Flooring with Double charged / multi charged  stain free full body porcelain vitrified tiles  </t>
    </r>
    <r>
      <rPr>
        <sz val="10"/>
        <color theme="1"/>
        <rFont val="Arial"/>
        <family val="2"/>
      </rPr>
      <t>with double layer pigment of size 600 x 600 mm and thickness between 8-10 mm 1st  quality conforming to IS:15622 - 2017,  IS:13630 (Parts 1 to 15) of any colour and  finish in all shades and designs as per the approved flooring pattern as directed by the Engineer-In -Charge, laying tiles using spacers of 2mm thick,  set over  a base coat  of CM  (1:8) prop. 12mm thick  using screened sand over CC bed already laid or RCC roof slab , including neat cement slurry   of honey  like consistancy spread @ 3.3 kgs per  Sqm. and jointed neately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in-charge  etc.,and overheads &amp; contractors profit complete for finished item of work. (APSS No.701 &amp; 707).</t>
    </r>
  </si>
  <si>
    <r>
      <rPr>
        <b/>
        <sz val="10"/>
        <color theme="1"/>
        <rFont val="Arial"/>
        <family val="2"/>
      </rPr>
      <t>Providing skirting to internal walls to 10 cm height with Double charged / multi charged stain free full body porcelain vitrified tiles</t>
    </r>
    <r>
      <rPr>
        <sz val="10"/>
        <color theme="1"/>
        <rFont val="Arial"/>
        <family val="2"/>
      </rPr>
      <t xml:space="preserve"> with double layer pigment of size 600 x 600 mm and thickness between 8-10 mm 1st quality conforming to IS:15622 - 2017, IS:13630 (Parts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r>
  </si>
  <si>
    <r>
      <rPr>
        <b/>
        <sz val="10"/>
        <color theme="1"/>
        <rFont val="Arial"/>
        <family val="2"/>
      </rPr>
      <t>Providing dadooing to walls with Double charged / multi charged  stain free full body porcelain vitrified tiles</t>
    </r>
    <r>
      <rPr>
        <sz val="10"/>
        <color theme="1"/>
        <rFont val="Arial"/>
        <family val="2"/>
      </rPr>
      <t xml:space="preserve">  with double layer pigment of size 600 x 600 mm and thickness between 8-10 mm 1st  quality conforming to IS:13711, IS:13712, IS:13630 (Parts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r>
  </si>
  <si>
    <r>
      <rPr>
        <b/>
        <sz val="10"/>
        <color theme="1"/>
        <rFont val="Arial"/>
        <family val="2"/>
      </rPr>
      <t xml:space="preserve">Flooring with non-skid full body ceramic floor tiles of size 300mm x 300mm </t>
    </r>
    <r>
      <rPr>
        <sz val="10"/>
        <color theme="1"/>
        <rFont val="Arial"/>
        <family val="2"/>
      </rPr>
      <t>and thickness between 7 - 8mm 1st quality conforming to IS: 13711, IS: 13712, IS: 13630(Part 1 to 15) of any colour and finish in all shades and designs as approved by  Engineer-in-charge, set over base coat of cement mortar (1:8), 12mm thick using screened sandover CC bed already laid or RCC roof slab, including neat cement slurry of honey like consistency spread @ 3.3 Kgs per Sqm &amp; jointed epoxy emulsion grout/ synthetic /resin adhesive in width of 3-5 mm with Nylonspacers excluding cost of tiles neatly with to full depth mixed with pigment of matching shade, including cost of all materials like cement, screened sand , water and tiles etc., and overheads &amp; contractors profit complete for finished item of work. (In toilets) (APSS No.701 &amp; 707) .</t>
    </r>
  </si>
  <si>
    <r>
      <rPr>
        <b/>
        <sz val="10"/>
        <color theme="1"/>
        <rFont val="Arial"/>
        <family val="2"/>
      </rPr>
      <t>Providing,  laying  of  scratch  proof  PVC/Vinyl  flooring  of  2mm  thickness</t>
    </r>
    <r>
      <rPr>
        <sz val="10"/>
        <color theme="1"/>
        <rFont val="Arial"/>
        <family val="2"/>
      </rPr>
      <t xml:space="preserve"> with proper welded joints air tight, along with leveling compound to match the existing flooring levels as per engineer in charge instructions. Sub floor preparation with self leveling compound. After the sub floor preparation, it should be suitable for ESD flooring. Rate inclusive of sifting of material and labour charges</t>
    </r>
  </si>
  <si>
    <r>
      <rPr>
        <b/>
        <sz val="10"/>
        <color theme="1"/>
        <rFont val="Arial"/>
        <family val="2"/>
      </rPr>
      <t>Providing and fixing in true horizontal level 14 mm - Mineral Fiber sheet 600 x 600</t>
    </r>
    <r>
      <rPr>
        <sz val="10"/>
        <color theme="1"/>
        <rFont val="Arial"/>
        <family val="2"/>
      </rPr>
      <t xml:space="preserve"> (Square / Tegular) edge tiles with a Humidity Resistance of 90% RH,Average NRC 0.50, Light Reflectance &gt;80%, Thermal Conductivity λ= 0.052 to 0.057 w/mk, Fire Performance Class 0/Class 1 using hot dipped Galvanized Steel section exposed surface with pre-coated capping, main Tee of size 24 x 32 mm at every 1200 mm c/c maximum and rotary stitched cross tee of size 24 x 27 mm at every 600 mm c/c and sub-cross tee of size 24 mm x 25 mm at 1200 mm c/c and wall angle of size 19 x 19 mm fixed to periphery of the wall and the above grid is suspended at every 1200 mm c/c in both directions using 2.0 mm thick pre-straightened GI Wire including cost and conveyance of all materials and labour charges such as cutting , fixing of standing of frame work exposing roof making, overheads &amp; contractor profit etc., complete for finished item of work in all floor in all floors.</t>
    </r>
  </si>
  <si>
    <r>
      <rPr>
        <b/>
        <sz val="10"/>
        <color theme="1"/>
        <rFont val="Arial"/>
        <family val="2"/>
      </rPr>
      <t xml:space="preserve">Electro conductive Flooring </t>
    </r>
    <r>
      <rPr>
        <sz val="10"/>
        <color theme="1"/>
        <rFont val="Arial"/>
        <family val="2"/>
      </rPr>
      <t>inside MOTs</t>
    </r>
  </si>
  <si>
    <r>
      <rPr>
        <b/>
        <sz val="10"/>
        <color theme="1"/>
        <rFont val="Arial"/>
        <family val="2"/>
      </rPr>
      <t>Providing and applying Wall putty of White Cement</t>
    </r>
    <r>
      <rPr>
        <sz val="10"/>
        <color theme="1"/>
        <rFont val="Arial"/>
        <family val="2"/>
      </rPr>
      <t xml:space="preserve"> or Polymer or Cement based of average 1 to 2 mm thickness over plastered surface to prepare the surface even and smooth after thoroughly brushing the surface to remove all dirt and remains of loose powdered materials, applying emery paper, Sand the surface, clean &amp; wipe off loose dust, applying knifing paste filler by putty knife / muslin pad, air dry for 2 - 3 hrs, sand with 180 and 320 No., emery paper for the surface preparation including cost and conveyance of all materials to work site and all operational, incidental, labour charges, over heads and contractors profit etc., complete for finished item of work in all floors</t>
    </r>
    <r>
      <rPr>
        <b/>
        <sz val="10"/>
        <color theme="1"/>
        <rFont val="Arial"/>
        <family val="2"/>
      </rPr>
      <t xml:space="preserve"> for Internal walls.</t>
    </r>
  </si>
  <si>
    <r>
      <rPr>
        <b/>
        <sz val="10"/>
        <color theme="1"/>
        <rFont val="Arial"/>
        <family val="2"/>
      </rPr>
      <t>Supply &amp; application of one coat water based cement primer of interior grade I and two coats of  acrylic emulsion paint</t>
    </r>
    <r>
      <rPr>
        <sz val="10"/>
        <color theme="1"/>
        <rFont val="Arial"/>
        <family val="2"/>
      </rPr>
      <t xml:space="preserve"> having VOC (Volatile Organic Compound) content less than 50 grams/litre for internal walls including cost and conveyance of all materials to site, sales &amp; other taxes, incidental, operational and all labour charges etc., and overheads &amp; contractors profit complete for finished item of work in all floors.</t>
    </r>
  </si>
  <si>
    <r>
      <rPr>
        <b/>
        <sz val="10"/>
        <color theme="1"/>
        <rFont val="Arial"/>
        <family val="2"/>
      </rPr>
      <t xml:space="preserve">Painting to new wood work and flush shutters with lappam finish, over a primary coat  and painting two coats of synthetic enamel paint </t>
    </r>
    <r>
      <rPr>
        <sz val="10"/>
        <color theme="1"/>
        <rFont val="Arial"/>
        <family val="2"/>
      </rPr>
      <t>Grade-II VOC (Volatile Organic Compound) content less than 50 grams/litre of approved shade including cost and conveyance of all materials to site cost of primer coat and all labour charges etc. complete including applying sand paper on lappam coats for neat finish including sales &amp; other taxes on cost of all materials etc., and overheads &amp; contractors profit complete  in all floors (APSS No.1200, 1207 &amp; 1211).</t>
    </r>
  </si>
  <si>
    <r>
      <rPr>
        <b/>
        <sz val="10"/>
        <color theme="1"/>
        <rFont val="Arial"/>
        <family val="2"/>
      </rPr>
      <t>Flooring with 16 to 18 mm  thick high polished granite stone slabs black colour</t>
    </r>
    <r>
      <rPr>
        <sz val="10"/>
        <color theme="1"/>
        <rFont val="Arial"/>
        <family val="2"/>
      </rPr>
      <t xml:space="preserve"> as approved by the Engineer-in-Charge of length not less than 2.43 mts set over base coat of cement mortar (1:8) , 20mm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half rounding the edge , polishing charges and all other taxes on all materials, cost of base coat and overheads &amp; contractors profit complete for finished item of work for platforms (S.S.701 &amp; special) </t>
    </r>
  </si>
  <si>
    <r>
      <rPr>
        <b/>
        <sz val="10"/>
        <color theme="1"/>
        <rFont val="Arial"/>
        <family val="2"/>
      </rPr>
      <t>Supply  and fixing of Venetian blinds Vertical blinds</t>
    </r>
    <r>
      <rPr>
        <sz val="10"/>
        <color theme="1"/>
        <rFont val="Arial"/>
        <family val="2"/>
      </rPr>
      <t xml:space="preserve"> 100 mm wide with all accessories including cost and conveynace of materials, labour charges  and overheads &amp; contractor profit etc., for complete finished item of work.</t>
    </r>
  </si>
  <si>
    <r>
      <rPr>
        <b/>
        <sz val="10"/>
        <color theme="1"/>
        <rFont val="Arial"/>
        <family val="2"/>
      </rPr>
      <t>Name Plates</t>
    </r>
    <r>
      <rPr>
        <sz val="10"/>
        <color theme="1"/>
        <rFont val="Arial"/>
        <family val="2"/>
      </rPr>
      <t xml:space="preserve"> (Room Names) as approved by the Engineer In-charge.</t>
    </r>
  </si>
  <si>
    <r>
      <rPr>
        <b/>
        <sz val="10"/>
        <color theme="1"/>
        <rFont val="Arial"/>
        <family val="2"/>
      </rPr>
      <t>Providing and fixing Aluminium Extruded Section Body Tubular Type Hydraulic Door Closer</t>
    </r>
    <r>
      <rPr>
        <sz val="10"/>
        <color theme="1"/>
        <rFont val="Arial"/>
        <family val="2"/>
      </rPr>
      <t xml:space="preserve"> (IS: 3564) with double speed adjustment with necessary accessories and screws etc. complete.</t>
    </r>
  </si>
  <si>
    <r>
      <rPr>
        <b/>
        <sz val="10"/>
        <color theme="1"/>
        <rFont val="Arial"/>
        <family val="2"/>
      </rPr>
      <t>Supplying and fixing of MS Grill to windows / in open court yards using 25mm x 6mm MS flat alround and 10mm MS square bars</t>
    </r>
    <r>
      <rPr>
        <sz val="10"/>
        <color theme="1"/>
        <rFont val="Arial"/>
        <family val="2"/>
      </rPr>
      <t xml:space="preserve"> horizontally at 125mm centre to centre and vertically at 300mm centre to centre including fixing with 4 Nos of MS  Z holdfasts (2 on each side) duly making cutting brick masonry, fixing and making to original surface neatly and painting grill with one coat of red oxide primer including cost all taxes and conveyance of all materials including cutting, bending, welding including all operational charges and all labour charges etc., complete for finished item of work. </t>
    </r>
  </si>
  <si>
    <r>
      <rPr>
        <b/>
        <sz val="10"/>
        <color theme="1"/>
        <rFont val="Arial"/>
        <family val="2"/>
      </rPr>
      <t>Supply and installation of Under-deck Thermocol insulation sheets of 40 mm thick</t>
    </r>
    <r>
      <rPr>
        <sz val="10"/>
        <color theme="1"/>
        <rFont val="Arial"/>
        <family val="2"/>
      </rPr>
      <t xml:space="preserve"> having more than 30 Kg/m3 density to ceiling by brush application of bituminous adhesive to the sheets and secured with screw along with washer at the centre of the sheet supported with GI wire running diagonally to the sheet of 2mm dia. </t>
    </r>
  </si>
  <si>
    <r>
      <rPr>
        <b/>
        <sz val="10"/>
        <color theme="1"/>
        <rFont val="Arial"/>
        <family val="2"/>
      </rPr>
      <t>Providing impervious coat to exposed RCC roof slab surfaces to required slopes</t>
    </r>
    <r>
      <rPr>
        <sz val="10"/>
        <color theme="1"/>
        <rFont val="Arial"/>
        <family val="2"/>
      </rPr>
      <t xml:space="preserve"> with CM (1:3) prop. using screened sand 20mm thick (average) mixed with integral cement water proofing liquid confirming to IS: 2645-2003 manufactured by reputed manufacturers as approved by Engineer-in-charge at 1 Kg per one bag of cement, laid over roof slab when it is green, finished smooth with a floating coat of neat cement and thread lining at regular intervals of 45cmx45cm including cost and conveyance of all materials like cement, sand, water proofing compound, water etc., to site, including sales &amp; other taxes on all materials and operational, incidental, and labour charges for mixing mortar, laying, lift charges, rendering smooth and thread lining, curing including rounding off junctions of wall and slab etc., and overheads &amp; contractors profit  complete for finished item of work. (APSS No. 901 &amp; 903). </t>
    </r>
    <r>
      <rPr>
        <b/>
        <sz val="10"/>
        <color theme="1"/>
        <rFont val="Arial"/>
        <family val="2"/>
      </rPr>
      <t>(For Toilets)</t>
    </r>
  </si>
  <si>
    <r>
      <rPr>
        <b/>
        <sz val="10"/>
        <color theme="1"/>
        <rFont val="Arial"/>
        <family val="2"/>
      </rPr>
      <t>Plastering  20mm  thick  in  two  coats</t>
    </r>
    <r>
      <rPr>
        <sz val="10"/>
        <color theme="1"/>
        <rFont val="Arial"/>
        <family val="2"/>
      </rPr>
      <t xml:space="preserve">  using  screened  sand  with  base  coat  of 16mm  thick  in  CM1:6  and  top  coat  of  4mm  thick  in  CM1:4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complete for finished item of work .SS 901,903and 904</t>
    </r>
  </si>
  <si>
    <r>
      <rPr>
        <b/>
        <sz val="10"/>
        <color theme="1"/>
        <rFont val="Arial"/>
        <family val="2"/>
      </rPr>
      <t>Plastering  12mm  thick  in  two  coats</t>
    </r>
    <r>
      <rPr>
        <sz val="10"/>
        <color theme="1"/>
        <rFont val="Arial"/>
        <family val="2"/>
      </rPr>
      <t xml:space="preserve">  using  screened  sand  with  base  coat  of 8mm  thick  in  CM  1:6  and  top  coat  of  4mm  thick  in  CM  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and complete for finished item of work. SS 901,903 and 904. 5th Floor at Gandhi Hospital</t>
    </r>
  </si>
  <si>
    <r>
      <rPr>
        <b/>
        <sz val="11"/>
        <color theme="1"/>
        <rFont val="Arial"/>
        <family val="2"/>
      </rPr>
      <t>Plastering  20mm  thick  in  two  coats</t>
    </r>
    <r>
      <rPr>
        <sz val="11"/>
        <color theme="1"/>
        <rFont val="Arial"/>
        <family val="2"/>
      </rPr>
      <t xml:space="preserve">  using  screened  sand  with  base  coat  of 16mm  thick  in  CM1:6  and  top  coat  of  4mm  thick  in  CM1:4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complete for finished item of work .SS 901,903and 904</t>
    </r>
  </si>
  <si>
    <t>Miscellaneous</t>
  </si>
  <si>
    <r>
      <rPr>
        <b/>
        <sz val="11"/>
        <color theme="1"/>
        <rFont val="Arial"/>
        <family val="2"/>
      </rPr>
      <t xml:space="preserve">Plastering  12mm  thick  in  two  coats  </t>
    </r>
    <r>
      <rPr>
        <sz val="11"/>
        <color theme="1"/>
        <rFont val="Arial"/>
        <family val="2"/>
      </rPr>
      <t>using  screened  sand  with  base  coat  of 8mm  thick  in  CM  1:6  and  top  coat  of  4mm  thick  in  CM  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and complete for finished item of work. SS 901,903 and 904. 5th Floor at Gandhi Hospital</t>
    </r>
  </si>
  <si>
    <t>Total</t>
  </si>
  <si>
    <t>Amount (Rs.)</t>
  </si>
  <si>
    <t>SSR 2023-24</t>
  </si>
  <si>
    <r>
      <t xml:space="preserve">Supply and fixing of doors as per approved drawings with medium teak wood frame of section 100mm x 65 mm with split type fan light of 500mm at the top fixed with 4mm thick pin headed glass using 12mm x 12mm Teak Wood beading and 2 Nos. of 10mm MS Square bars and ISI marked flush door shutter of 30mm thick single shutter with bond wood solid block board type core having cross bands and face veneers, hot pressed bonded with water proof phenol formaldehyde synthetic resin factory made conforming to IS 2202-1991 (Part-I) both sides commercial ply with internal lipping on all sides including cost and conveyance to site of teak wood frame, flush shutter including supply and fixing 6 Nos. MS Z hold fasts of size 300 mm x 40 mm x 5mm including cost of ISI marked Aluminium fixtures of 3 Nos. butt hinges (IS:205) 150mm long ,  1 No. aldrop (IS:2681) 300mm long, 1 No. tower bolt (IS:204) of 200 mm x 10 mm dia at top, 2 Nos. 150mm long handles (IS:208), 1 No. door stopper and 1 No. rubber bush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t>
    </r>
    <r>
      <rPr>
        <b/>
        <sz val="10"/>
        <color theme="1"/>
        <rFont val="Arial"/>
        <family val="2"/>
      </rPr>
      <t xml:space="preserve">(1000mm x 2600mm). </t>
    </r>
  </si>
  <si>
    <t xml:space="preserve"> (BLD-CSTN-9-18)</t>
  </si>
  <si>
    <t>cost of glazed full body porcelain wall tiles of size 300 x 600 mm</t>
  </si>
  <si>
    <r>
      <rPr>
        <b/>
        <sz val="11"/>
        <color theme="1"/>
        <rFont val="Calibri"/>
        <family val="2"/>
        <scheme val="minor"/>
      </rPr>
      <t>Providing dadooing to walls with  glazed full body porcelain wall tiles of size 300 x 600 mm</t>
    </r>
    <r>
      <rPr>
        <sz val="11"/>
        <color theme="1"/>
        <rFont val="Calibri"/>
        <family val="2"/>
        <scheme val="minor"/>
      </rPr>
      <t xml:space="preserve"> with any type of design texture such as marble finish, wooden, bamboo, stone finishes etc., scratch less, stain free and thickness between 6-8 mm 1st quality conforming to IS:13711, IS:13712, IS:13630 (Parts 1 to 15) of any colour and finish in all shades and designs with borders as approved by Engineer-in-Charge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complete overheads &amp; contractors profit complete for finished item of work.</t>
    </r>
  </si>
  <si>
    <r>
      <rPr>
        <b/>
        <sz val="11"/>
        <color theme="1"/>
        <rFont val="Calibri"/>
        <family val="2"/>
        <scheme val="minor"/>
      </rPr>
      <t>Providing and fixing in true horizontal level 14 mm - Mineral Fiber sheet 600 x 600</t>
    </r>
    <r>
      <rPr>
        <sz val="11"/>
        <color theme="1"/>
        <rFont val="Calibri"/>
        <family val="2"/>
        <scheme val="minor"/>
      </rPr>
      <t xml:space="preserve"> (Square / Tegular) edge tiles with a Humidity Resistance of 90% RH,Average NRC 0.50, Light Reflectance &gt;80%, Thermal Conductivity λ= 0.052 to 0.057 w/mk, Fire Performance Class 0/Class 1 using hot dipped Galvanized Steel section exposed surface with pre-coated capping, main Tee of size 24 x 32 mm at every 1200 mm c/c maximum and rotary stitched cross tee of size 24 x 27 mm at every 600 mm c/c and sub-cross tee of size 24 mm x 25 mm at 1200 mm c/c and wall angle of size 19 x 19 mm fixed to periphery of the wall and the above grid is suspended at every 1200 mm c/c in both directions using 2.0 mm thick pre-straightened GI Wire including cost and conveyance of all materials and labour charges such as cutting , fixing of standing of frame work exposing roof making, overheads &amp; contractor profit etc., complete for finished item of work in all floor in all floors.</t>
    </r>
  </si>
  <si>
    <t>Rmarks</t>
  </si>
  <si>
    <t>Wash Basin</t>
  </si>
  <si>
    <t>Toilet @ Officer In-Charge Room</t>
  </si>
  <si>
    <t>EWC</t>
  </si>
  <si>
    <t>Bib Tap</t>
  </si>
  <si>
    <t>Multi Floor Trap</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</si>
</sst>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 #,##0.00_ ;_ * \-#,##0.00_ ;_ * &quot;-&quot;??_ ;_ @_ "/>
    <numFmt numFmtId="164" formatCode="_ * #,##0_ ;_ * \-#,##0_ ;_ * &quot;-&quot;??_ ;_ @_ "/>
    <numFmt numFmtId="165" formatCode="0.00000"/>
  </numFmts>
  <fonts count="16" x14ac:knownFonts="1">
    <font>
      <sz val="11"/>
      <color theme="1"/>
      <name val="Calibri"/>
      <family val="2"/>
      <scheme val="minor"/>
    </font>
    <font>
      <b/>
      <sz val="11"/>
      <color theme="1"/>
      <name val="Calibri"/>
      <family val="2"/>
      <scheme val="minor"/>
    </font>
    <font>
      <b/>
      <vertAlign val="superscript"/>
      <sz val="11"/>
      <color theme="1"/>
      <name val="Calibri"/>
      <family val="2"/>
      <scheme val="minor"/>
    </font>
    <font>
      <b/>
      <sz val="10"/>
      <color theme="1"/>
      <name val="Calibri"/>
      <family val="2"/>
      <scheme val="minor"/>
    </font>
    <font>
      <sz val="11"/>
      <color theme="1"/>
      <name val="Calibri"/>
      <family val="2"/>
      <scheme val="minor"/>
    </font>
    <font>
      <sz val="10"/>
      <color theme="1"/>
      <name val="Arial"/>
      <family val="2"/>
    </font>
    <font>
      <b/>
      <sz val="10"/>
      <color theme="1"/>
      <name val="Arial"/>
      <family val="2"/>
    </font>
    <font>
      <b/>
      <sz val="12"/>
      <color theme="1"/>
      <name val="Calibri"/>
      <family val="2"/>
      <scheme val="minor"/>
    </font>
    <font>
      <b/>
      <sz val="11"/>
      <name val="Arial"/>
      <family val="2"/>
    </font>
    <font>
      <sz val="11"/>
      <color theme="1"/>
      <name val="Arial"/>
      <family val="2"/>
    </font>
    <font>
      <b/>
      <sz val="11"/>
      <color theme="1"/>
      <name val="Arial"/>
      <family val="2"/>
    </font>
    <font>
      <sz val="10"/>
      <name val="Arial"/>
      <family val="2"/>
    </font>
    <font>
      <sz val="11"/>
      <name val="Arial"/>
      <family val="2"/>
    </font>
    <font>
      <sz val="9"/>
      <color indexed="81"/>
      <name val="Tahoma"/>
      <charset val="1"/>
    </font>
    <font>
      <b/>
      <sz val="9"/>
      <color indexed="81"/>
      <name val="Tahoma"/>
      <charset val="1"/>
    </font>
    <font>
      <b/>
      <sz val="14"/>
      <color theme="1"/>
      <name val="Calibri"/>
      <family val="2"/>
      <scheme val="minor"/>
    </font>
  </fonts>
  <fills count="2">
    <fill>
      <patternFill patternType="none"/>
    </fill>
    <fill>
      <patternFill patternType="gray125"/>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s>
  <cellStyleXfs count="6">
    <xf numFmtId="0" fontId="0" fillId="0" borderId="0"/>
    <xf numFmtId="43" fontId="4" fillId="0" borderId="0" applyFont="0" applyFill="0" applyBorder="0" applyAlignment="0" applyProtection="0"/>
    <xf numFmtId="0" fontId="4" fillId="0" borderId="0"/>
    <xf numFmtId="0" fontId="4" fillId="0" borderId="0"/>
    <xf numFmtId="0" fontId="11" fillId="0" borderId="0"/>
    <xf numFmtId="43" fontId="4" fillId="0" borderId="0" applyFont="0" applyFill="0" applyBorder="0" applyAlignment="0" applyProtection="0"/>
  </cellStyleXfs>
  <cellXfs count="162">
    <xf numFmtId="0" fontId="0" fillId="0" borderId="0" xfId="0"/>
    <xf numFmtId="0" fontId="0" fillId="0" borderId="0" xfId="0" applyAlignment="1">
      <alignment horizontal="center"/>
    </xf>
    <xf numFmtId="0" fontId="0" fillId="0" borderId="0" xfId="0"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0" borderId="1" xfId="0" applyBorder="1" applyAlignment="1">
      <alignment horizontal="center"/>
    </xf>
    <xf numFmtId="0" fontId="0" fillId="0" borderId="0" xfId="0" applyAlignment="1">
      <alignment horizontal="center" vertical="center"/>
    </xf>
    <xf numFmtId="0" fontId="1" fillId="0" borderId="1" xfId="0" applyFont="1" applyBorder="1" applyAlignment="1">
      <alignment horizontal="center" vertical="center"/>
    </xf>
    <xf numFmtId="2" fontId="0" fillId="0" borderId="1" xfId="0" applyNumberFormat="1" applyBorder="1" applyAlignment="1">
      <alignment horizontal="center"/>
    </xf>
    <xf numFmtId="2" fontId="1" fillId="0" borderId="1" xfId="0" applyNumberFormat="1" applyFont="1" applyBorder="1" applyAlignment="1">
      <alignment horizontal="center"/>
    </xf>
    <xf numFmtId="0" fontId="0" fillId="0" borderId="1" xfId="0" applyBorder="1"/>
    <xf numFmtId="2" fontId="1" fillId="0" borderId="1" xfId="0" applyNumberFormat="1" applyFont="1" applyBorder="1"/>
    <xf numFmtId="0" fontId="1" fillId="0" borderId="1" xfId="0" applyFont="1" applyBorder="1"/>
    <xf numFmtId="0" fontId="0" fillId="0" borderId="1" xfId="0" applyBorder="1" applyAlignment="1">
      <alignment horizontal="center"/>
    </xf>
    <xf numFmtId="0" fontId="0" fillId="0" borderId="1" xfId="0" applyFont="1" applyBorder="1" applyAlignment="1">
      <alignment horizontal="center" vertical="center" wrapText="1"/>
    </xf>
    <xf numFmtId="0" fontId="0" fillId="0" borderId="2" xfId="0" applyFont="1" applyBorder="1" applyAlignment="1">
      <alignment horizontal="center" vertical="center" wrapText="1"/>
    </xf>
    <xf numFmtId="2" fontId="0" fillId="0" borderId="1" xfId="0" applyNumberFormat="1" applyBorder="1" applyAlignment="1">
      <alignment horizontal="center" vertical="center"/>
    </xf>
    <xf numFmtId="2" fontId="1" fillId="0" borderId="1" xfId="0" applyNumberFormat="1" applyFont="1" applyBorder="1" applyAlignment="1">
      <alignment horizontal="center" vertical="center"/>
    </xf>
    <xf numFmtId="0" fontId="0" fillId="0" borderId="2" xfId="0" applyBorder="1" applyAlignment="1">
      <alignment horizontal="center" vertical="center" wrapText="1"/>
    </xf>
    <xf numFmtId="0" fontId="0" fillId="0" borderId="1" xfId="0" applyFill="1" applyBorder="1" applyAlignment="1">
      <alignment horizontal="center" vertical="center" wrapText="1"/>
    </xf>
    <xf numFmtId="0" fontId="1" fillId="0" borderId="1" xfId="0" applyFont="1" applyBorder="1" applyAlignment="1">
      <alignment horizontal="right" vertical="center"/>
    </xf>
    <xf numFmtId="0" fontId="3" fillId="0" borderId="1" xfId="0" applyFont="1" applyBorder="1" applyAlignment="1">
      <alignment horizontal="center" vertical="center" wrapText="1"/>
    </xf>
    <xf numFmtId="0" fontId="5" fillId="0" borderId="1" xfId="0" applyFont="1" applyBorder="1" applyAlignment="1">
      <alignment horizontal="center" vertical="center"/>
    </xf>
    <xf numFmtId="0" fontId="5" fillId="0" borderId="0" xfId="0" applyFont="1" applyAlignment="1">
      <alignment horizontal="center" vertical="center"/>
    </xf>
    <xf numFmtId="0" fontId="5" fillId="0" borderId="1" xfId="0" applyFont="1" applyBorder="1" applyAlignment="1">
      <alignment horizontal="left" vertical="top" wrapText="1"/>
    </xf>
    <xf numFmtId="0" fontId="6" fillId="0" borderId="1" xfId="0" applyFont="1" applyBorder="1" applyAlignment="1">
      <alignment horizontal="center" vertical="center"/>
    </xf>
    <xf numFmtId="164" fontId="0" fillId="0" borderId="0" xfId="1" applyNumberFormat="1" applyFont="1" applyAlignment="1">
      <alignment horizontal="center" vertical="center"/>
    </xf>
    <xf numFmtId="0" fontId="0" fillId="0" borderId="1" xfId="0" applyBorder="1" applyAlignment="1">
      <alignment wrapText="1"/>
    </xf>
    <xf numFmtId="164" fontId="4" fillId="0" borderId="1" xfId="1" applyNumberFormat="1" applyFont="1" applyBorder="1" applyAlignment="1">
      <alignment horizontal="center" vertical="center"/>
    </xf>
    <xf numFmtId="164" fontId="0" fillId="0" borderId="1" xfId="1" applyNumberFormat="1" applyFont="1" applyBorder="1" applyAlignment="1">
      <alignment horizontal="center" vertical="center"/>
    </xf>
    <xf numFmtId="0" fontId="0" fillId="0" borderId="1" xfId="0" applyBorder="1" applyAlignment="1">
      <alignment vertical="top" wrapText="1"/>
    </xf>
    <xf numFmtId="0" fontId="0" fillId="0" borderId="1" xfId="0" applyBorder="1" applyAlignment="1">
      <alignment vertical="top"/>
    </xf>
    <xf numFmtId="164" fontId="7" fillId="0" borderId="1" xfId="1" applyNumberFormat="1" applyFont="1" applyBorder="1" applyAlignment="1">
      <alignment horizontal="center" vertical="center"/>
    </xf>
    <xf numFmtId="0" fontId="0" fillId="0" borderId="1" xfId="0" applyBorder="1" applyAlignment="1">
      <alignment horizontal="left" vertical="top" wrapText="1"/>
    </xf>
    <xf numFmtId="2" fontId="8" fillId="0" borderId="1" xfId="0" applyNumberFormat="1" applyFont="1" applyBorder="1" applyAlignment="1">
      <alignment horizontal="center" vertical="center" wrapText="1"/>
    </xf>
    <xf numFmtId="0" fontId="9" fillId="0" borderId="0" xfId="0" applyFont="1"/>
    <xf numFmtId="0" fontId="9" fillId="0" borderId="1" xfId="0" applyFont="1" applyBorder="1" applyAlignment="1">
      <alignment vertical="center"/>
    </xf>
    <xf numFmtId="0" fontId="9" fillId="0" borderId="0" xfId="0" applyFont="1" applyAlignment="1">
      <alignment vertical="center"/>
    </xf>
    <xf numFmtId="0" fontId="9" fillId="0" borderId="1" xfId="0" applyFont="1" applyBorder="1" applyAlignment="1">
      <alignment horizontal="center" vertical="center"/>
    </xf>
    <xf numFmtId="0" fontId="9" fillId="0" borderId="0" xfId="0" applyFont="1" applyAlignment="1">
      <alignment horizontal="center" vertical="center"/>
    </xf>
    <xf numFmtId="0" fontId="10" fillId="0" borderId="1" xfId="0" applyFont="1" applyBorder="1" applyAlignment="1">
      <alignment horizontal="center" vertical="center"/>
    </xf>
    <xf numFmtId="2" fontId="9" fillId="0" borderId="1" xfId="0" applyNumberFormat="1" applyFont="1" applyBorder="1" applyAlignment="1">
      <alignment horizontal="center" vertical="center"/>
    </xf>
    <xf numFmtId="2" fontId="10" fillId="0" borderId="1" xfId="0" applyNumberFormat="1" applyFont="1" applyBorder="1" applyAlignment="1">
      <alignment horizontal="center" vertical="center"/>
    </xf>
    <xf numFmtId="0" fontId="1" fillId="0" borderId="1" xfId="0" applyFont="1" applyBorder="1" applyAlignment="1">
      <alignment horizontal="center" vertical="center"/>
    </xf>
    <xf numFmtId="0" fontId="9" fillId="0" borderId="6" xfId="0" applyFont="1" applyBorder="1" applyAlignment="1">
      <alignment horizontal="left" vertical="top" wrapText="1"/>
    </xf>
    <xf numFmtId="0" fontId="9" fillId="0" borderId="1" xfId="0" applyFont="1" applyBorder="1" applyAlignment="1">
      <alignment horizontal="left" vertical="top" wrapText="1"/>
    </xf>
    <xf numFmtId="2" fontId="0" fillId="0" borderId="1" xfId="0" applyNumberFormat="1" applyBorder="1"/>
    <xf numFmtId="0" fontId="1" fillId="0" borderId="1" xfId="0" applyFont="1" applyBorder="1" applyAlignment="1">
      <alignment horizontal="center" vertical="center"/>
    </xf>
    <xf numFmtId="0" fontId="9" fillId="0" borderId="2" xfId="0" applyFont="1" applyBorder="1" applyAlignment="1">
      <alignment horizontal="center" vertical="center"/>
    </xf>
    <xf numFmtId="0" fontId="9" fillId="0" borderId="2" xfId="0" applyFont="1" applyBorder="1" applyAlignment="1">
      <alignment vertical="center"/>
    </xf>
    <xf numFmtId="2" fontId="9" fillId="0" borderId="2" xfId="0" applyNumberFormat="1" applyFont="1" applyBorder="1" applyAlignment="1">
      <alignment horizontal="center" vertical="center"/>
    </xf>
    <xf numFmtId="0" fontId="9" fillId="0" borderId="1" xfId="0" applyFont="1" applyBorder="1" applyAlignment="1"/>
    <xf numFmtId="0" fontId="9" fillId="0" borderId="1" xfId="0" applyFont="1" applyBorder="1" applyAlignment="1">
      <alignment horizontal="left" wrapText="1"/>
    </xf>
    <xf numFmtId="0" fontId="5" fillId="0" borderId="0" xfId="0" applyFont="1" applyBorder="1" applyAlignment="1">
      <alignment horizontal="center" vertical="center"/>
    </xf>
    <xf numFmtId="0" fontId="5" fillId="0" borderId="0" xfId="0" applyFont="1" applyBorder="1" applyAlignment="1">
      <alignment horizontal="left" vertical="top" wrapText="1"/>
    </xf>
    <xf numFmtId="0" fontId="6" fillId="0" borderId="0" xfId="0" applyFont="1" applyAlignment="1">
      <alignment horizontal="center" vertical="center"/>
    </xf>
    <xf numFmtId="164" fontId="9" fillId="0" borderId="1" xfId="1" applyNumberFormat="1" applyFont="1" applyBorder="1"/>
    <xf numFmtId="164" fontId="9" fillId="0" borderId="2" xfId="1" applyNumberFormat="1" applyFont="1" applyBorder="1"/>
    <xf numFmtId="164" fontId="9" fillId="0" borderId="0" xfId="1" applyNumberFormat="1" applyFont="1"/>
    <xf numFmtId="164" fontId="8" fillId="0" borderId="1" xfId="1" applyNumberFormat="1" applyFont="1" applyBorder="1" applyAlignment="1">
      <alignment horizontal="center" vertical="center" wrapText="1"/>
    </xf>
    <xf numFmtId="164" fontId="9" fillId="0" borderId="1" xfId="1" applyNumberFormat="1" applyFont="1" applyBorder="1" applyAlignment="1">
      <alignment horizontal="center" vertical="center"/>
    </xf>
    <xf numFmtId="164" fontId="9" fillId="0" borderId="2" xfId="1" applyNumberFormat="1" applyFont="1" applyBorder="1" applyAlignment="1">
      <alignment horizontal="center" vertical="center"/>
    </xf>
    <xf numFmtId="164" fontId="9" fillId="0" borderId="0" xfId="1" applyNumberFormat="1" applyFont="1" applyAlignment="1">
      <alignment horizontal="center" vertical="center"/>
    </xf>
    <xf numFmtId="2" fontId="0" fillId="0" borderId="1" xfId="0" applyNumberFormat="1" applyBorder="1" applyAlignment="1">
      <alignment vertical="center"/>
    </xf>
    <xf numFmtId="2" fontId="0" fillId="0" borderId="1" xfId="0" applyNumberFormat="1" applyBorder="1" applyAlignment="1">
      <alignment horizontal="right" vertical="center"/>
    </xf>
    <xf numFmtId="2" fontId="1" fillId="0" borderId="1" xfId="0" applyNumberFormat="1" applyFont="1" applyBorder="1" applyAlignment="1">
      <alignment horizontal="right" vertical="center"/>
    </xf>
    <xf numFmtId="2" fontId="1" fillId="0" borderId="1" xfId="0" applyNumberFormat="1" applyFont="1" applyBorder="1" applyAlignment="1">
      <alignment vertical="center"/>
    </xf>
    <xf numFmtId="2" fontId="0" fillId="0" borderId="1" xfId="0" applyNumberFormat="1" applyFont="1" applyBorder="1"/>
    <xf numFmtId="0" fontId="1" fillId="0" borderId="1" xfId="0" applyFont="1" applyBorder="1" applyAlignment="1">
      <alignment horizontal="center" vertical="center"/>
    </xf>
    <xf numFmtId="0" fontId="1" fillId="0" borderId="1" xfId="0" applyFont="1" applyBorder="1" applyAlignment="1">
      <alignment horizontal="center"/>
    </xf>
    <xf numFmtId="0" fontId="0" fillId="0" borderId="1" xfId="0" applyBorder="1" applyAlignment="1">
      <alignment horizontal="left" vertical="center"/>
    </xf>
    <xf numFmtId="2" fontId="12" fillId="0" borderId="1" xfId="4" applyNumberFormat="1" applyFont="1" applyBorder="1"/>
    <xf numFmtId="165" fontId="0" fillId="0" borderId="1" xfId="0" applyNumberFormat="1" applyBorder="1" applyAlignment="1">
      <alignment horizontal="center" vertical="center"/>
    </xf>
    <xf numFmtId="0" fontId="5" fillId="0" borderId="3" xfId="0" applyFont="1" applyBorder="1" applyAlignment="1">
      <alignment horizontal="center" vertical="center"/>
    </xf>
    <xf numFmtId="0" fontId="5" fillId="0" borderId="3" xfId="0" applyFont="1" applyBorder="1" applyAlignment="1">
      <alignment horizontal="left" vertical="top" wrapText="1"/>
    </xf>
    <xf numFmtId="2" fontId="5" fillId="0" borderId="1" xfId="0" applyNumberFormat="1" applyFont="1" applyBorder="1" applyAlignment="1">
      <alignment horizontal="center" vertical="center"/>
    </xf>
    <xf numFmtId="2" fontId="5" fillId="0" borderId="3" xfId="0" applyNumberFormat="1" applyFont="1" applyBorder="1" applyAlignment="1">
      <alignment horizontal="center" vertical="center"/>
    </xf>
    <xf numFmtId="164" fontId="10" fillId="0" borderId="1" xfId="1" applyNumberFormat="1" applyFont="1" applyBorder="1" applyAlignment="1">
      <alignment horizontal="center" vertical="center"/>
    </xf>
    <xf numFmtId="164" fontId="10" fillId="0" borderId="1" xfId="1" applyNumberFormat="1" applyFont="1" applyBorder="1"/>
    <xf numFmtId="0" fontId="9" fillId="0" borderId="1" xfId="0" applyFont="1" applyBorder="1"/>
    <xf numFmtId="0" fontId="10" fillId="0" borderId="1" xfId="0" applyFont="1" applyBorder="1" applyAlignment="1">
      <alignment horizontal="right"/>
    </xf>
    <xf numFmtId="164" fontId="10" fillId="0" borderId="1" xfId="0" applyNumberFormat="1" applyFont="1" applyBorder="1"/>
    <xf numFmtId="0" fontId="0" fillId="0" borderId="1" xfId="0" applyFont="1" applyBorder="1" applyAlignment="1">
      <alignment horizontal="center" vertical="center"/>
    </xf>
    <xf numFmtId="2" fontId="0" fillId="0" borderId="1" xfId="0" applyNumberFormat="1" applyFont="1" applyBorder="1" applyAlignment="1">
      <alignment horizontal="center" vertical="center"/>
    </xf>
    <xf numFmtId="164" fontId="6" fillId="0" borderId="1" xfId="1" applyNumberFormat="1" applyFont="1" applyBorder="1" applyAlignment="1">
      <alignment vertical="center"/>
    </xf>
    <xf numFmtId="164" fontId="5" fillId="0" borderId="1" xfId="1" applyNumberFormat="1" applyFont="1" applyBorder="1" applyAlignment="1">
      <alignment horizontal="center" vertical="center"/>
    </xf>
    <xf numFmtId="164" fontId="5" fillId="0" borderId="0" xfId="1" applyNumberFormat="1" applyFont="1" applyAlignment="1">
      <alignment horizontal="center" vertical="center"/>
    </xf>
    <xf numFmtId="0" fontId="6" fillId="0" borderId="1" xfId="0" applyFont="1" applyBorder="1" applyAlignment="1">
      <alignment horizontal="left" vertical="top" wrapText="1"/>
    </xf>
    <xf numFmtId="164" fontId="6" fillId="0" borderId="1" xfId="1" applyNumberFormat="1" applyFont="1" applyBorder="1" applyAlignment="1">
      <alignment horizontal="right" vertical="center"/>
    </xf>
    <xf numFmtId="164" fontId="6" fillId="0" borderId="1" xfId="1" applyNumberFormat="1" applyFont="1" applyBorder="1" applyAlignment="1">
      <alignment horizontal="center" vertical="center"/>
    </xf>
    <xf numFmtId="164" fontId="5" fillId="0" borderId="0" xfId="1" applyNumberFormat="1" applyFont="1" applyBorder="1" applyAlignment="1">
      <alignment horizontal="center" vertical="center"/>
    </xf>
    <xf numFmtId="164" fontId="6" fillId="0" borderId="0" xfId="1" applyNumberFormat="1" applyFont="1" applyBorder="1" applyAlignment="1">
      <alignment vertical="center"/>
    </xf>
    <xf numFmtId="164" fontId="6" fillId="0" borderId="0" xfId="1" applyNumberFormat="1" applyFont="1" applyBorder="1" applyAlignment="1">
      <alignment horizontal="center" vertical="center"/>
    </xf>
    <xf numFmtId="0" fontId="0" fillId="0" borderId="0" xfId="0" applyBorder="1" applyAlignment="1">
      <alignment horizontal="center" vertical="center"/>
    </xf>
    <xf numFmtId="0" fontId="0" fillId="0" borderId="0" xfId="0" applyBorder="1"/>
    <xf numFmtId="2" fontId="0" fillId="0" borderId="0" xfId="0" applyNumberFormat="1" applyBorder="1"/>
    <xf numFmtId="0" fontId="9" fillId="0" borderId="1" xfId="0" applyFont="1" applyBorder="1" applyAlignment="1">
      <alignment horizontal="left" vertical="top" wrapText="1"/>
    </xf>
    <xf numFmtId="2" fontId="8" fillId="0" borderId="1" xfId="0" applyNumberFormat="1" applyFont="1" applyBorder="1" applyAlignment="1">
      <alignment horizontal="center" vertical="center" wrapText="1"/>
    </xf>
    <xf numFmtId="0" fontId="10" fillId="0" borderId="1" xfId="0" applyFont="1" applyBorder="1" applyAlignment="1">
      <alignment horizontal="center" vertical="center"/>
    </xf>
    <xf numFmtId="2" fontId="0" fillId="0" borderId="0" xfId="0" applyNumberFormat="1"/>
    <xf numFmtId="0" fontId="0" fillId="0" borderId="1" xfId="0" applyBorder="1" applyAlignment="1">
      <alignment horizontal="center" vertical="center" wrapText="1"/>
    </xf>
    <xf numFmtId="0" fontId="1" fillId="0" borderId="1" xfId="0" applyFont="1" applyBorder="1" applyAlignment="1">
      <alignment horizontal="center"/>
    </xf>
    <xf numFmtId="0" fontId="0" fillId="0" borderId="2" xfId="0" applyFont="1" applyBorder="1" applyAlignment="1">
      <alignment horizontal="center" vertical="center" wrapText="1"/>
    </xf>
    <xf numFmtId="0" fontId="0" fillId="0" borderId="3" xfId="0" applyFont="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1" xfId="0" applyFill="1" applyBorder="1" applyAlignment="1">
      <alignment horizontal="center" vertical="center" wrapText="1"/>
    </xf>
    <xf numFmtId="0" fontId="1" fillId="0" borderId="1"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164" fontId="6" fillId="0" borderId="8" xfId="1" applyNumberFormat="1" applyFont="1" applyBorder="1" applyAlignment="1">
      <alignment horizontal="center" vertical="center"/>
    </xf>
    <xf numFmtId="164" fontId="6" fillId="0" borderId="7" xfId="1" applyNumberFormat="1" applyFont="1" applyBorder="1" applyAlignment="1">
      <alignment horizontal="center" vertical="center"/>
    </xf>
    <xf numFmtId="164" fontId="6" fillId="0" borderId="9" xfId="1" applyNumberFormat="1" applyFont="1" applyBorder="1" applyAlignment="1">
      <alignment horizontal="center" vertical="center"/>
    </xf>
    <xf numFmtId="164" fontId="6" fillId="0" borderId="10" xfId="1" applyNumberFormat="1" applyFont="1" applyBorder="1" applyAlignment="1">
      <alignment horizontal="center" vertical="center"/>
    </xf>
    <xf numFmtId="164" fontId="6" fillId="0" borderId="1" xfId="1" applyNumberFormat="1" applyFont="1" applyBorder="1" applyAlignment="1">
      <alignment horizontal="center" vertical="center"/>
    </xf>
    <xf numFmtId="0" fontId="6" fillId="0" borderId="1" xfId="0" applyFont="1" applyBorder="1" applyAlignment="1">
      <alignment horizontal="center" vertical="center"/>
    </xf>
    <xf numFmtId="0" fontId="6" fillId="0" borderId="1" xfId="0" applyFont="1" applyBorder="1" applyAlignment="1">
      <alignment horizontal="center" vertical="center" wrapText="1"/>
    </xf>
    <xf numFmtId="0" fontId="9" fillId="0" borderId="1" xfId="0" applyFont="1" applyBorder="1" applyAlignment="1">
      <alignment horizontal="left" vertical="top" wrapText="1"/>
    </xf>
    <xf numFmtId="0" fontId="9" fillId="0" borderId="4" xfId="0" applyFont="1" applyBorder="1" applyAlignment="1">
      <alignment horizontal="left" vertical="top" wrapText="1"/>
    </xf>
    <xf numFmtId="0" fontId="9" fillId="0" borderId="5" xfId="0" applyFont="1" applyBorder="1" applyAlignment="1">
      <alignment horizontal="left" vertical="top" wrapText="1"/>
    </xf>
    <xf numFmtId="0" fontId="9" fillId="0" borderId="6" xfId="0" applyFont="1" applyBorder="1" applyAlignment="1">
      <alignment horizontal="left" vertical="top" wrapText="1"/>
    </xf>
    <xf numFmtId="0" fontId="8" fillId="0" borderId="4" xfId="2" applyFont="1" applyBorder="1" applyAlignment="1">
      <alignment horizontal="center" vertical="center" wrapText="1"/>
    </xf>
    <xf numFmtId="0" fontId="8" fillId="0" borderId="5" xfId="2" applyFont="1" applyBorder="1" applyAlignment="1">
      <alignment horizontal="center" vertical="center" wrapText="1"/>
    </xf>
    <xf numFmtId="0" fontId="8" fillId="0" borderId="6" xfId="2" applyFont="1" applyBorder="1" applyAlignment="1">
      <alignment horizontal="center" vertical="center" wrapText="1"/>
    </xf>
    <xf numFmtId="0" fontId="8" fillId="0" borderId="4" xfId="0" applyFont="1" applyBorder="1" applyAlignment="1">
      <alignment horizontal="center" vertical="center" wrapText="1"/>
    </xf>
    <xf numFmtId="0" fontId="8" fillId="0" borderId="5" xfId="0" applyFont="1" applyBorder="1" applyAlignment="1">
      <alignment horizontal="center" vertical="center" wrapText="1"/>
    </xf>
    <xf numFmtId="0" fontId="8" fillId="0" borderId="6" xfId="0" applyFont="1" applyBorder="1" applyAlignment="1">
      <alignment horizontal="center" vertical="center" wrapText="1"/>
    </xf>
    <xf numFmtId="0" fontId="8"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3" xfId="0" applyFont="1" applyBorder="1" applyAlignment="1">
      <alignment horizontal="center" vertical="center" wrapText="1"/>
    </xf>
    <xf numFmtId="2" fontId="8" fillId="0" borderId="1" xfId="0" applyNumberFormat="1" applyFont="1" applyBorder="1" applyAlignment="1">
      <alignment horizontal="center" vertical="center" wrapText="1"/>
    </xf>
    <xf numFmtId="164" fontId="8" fillId="0" borderId="2" xfId="1" applyNumberFormat="1" applyFont="1" applyBorder="1" applyAlignment="1">
      <alignment horizontal="center" vertical="center" wrapText="1"/>
    </xf>
    <xf numFmtId="164" fontId="8" fillId="0" borderId="3" xfId="1" applyNumberFormat="1" applyFont="1" applyBorder="1" applyAlignment="1">
      <alignment horizontal="center" vertical="center" wrapText="1"/>
    </xf>
    <xf numFmtId="0" fontId="9" fillId="0" borderId="5" xfId="0" applyFont="1" applyBorder="1" applyAlignment="1">
      <alignment horizontal="left" vertical="top"/>
    </xf>
    <xf numFmtId="0" fontId="9" fillId="0" borderId="6" xfId="0" applyFont="1" applyBorder="1" applyAlignment="1">
      <alignment horizontal="left" vertical="top"/>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15" fillId="0" borderId="4" xfId="0" applyFont="1" applyBorder="1" applyAlignment="1">
      <alignment horizontal="center" vertical="center"/>
    </xf>
    <xf numFmtId="0" fontId="15" fillId="0" borderId="5" xfId="0" applyFont="1" applyBorder="1" applyAlignment="1">
      <alignment horizontal="center" vertical="center"/>
    </xf>
    <xf numFmtId="0" fontId="15" fillId="0" borderId="6" xfId="0" applyFont="1" applyBorder="1" applyAlignment="1">
      <alignment horizontal="center" vertical="center"/>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1" xfId="0" applyBorder="1" applyAlignment="1">
      <alignment horizontal="left" vertical="top" wrapText="1"/>
    </xf>
    <xf numFmtId="0" fontId="10" fillId="0" borderId="1" xfId="0" applyFont="1" applyBorder="1" applyAlignment="1">
      <alignment horizontal="center" vertical="center"/>
    </xf>
    <xf numFmtId="0" fontId="7" fillId="0" borderId="1" xfId="0" applyFont="1" applyBorder="1" applyAlignment="1">
      <alignment horizontal="center" vertical="center"/>
    </xf>
    <xf numFmtId="164" fontId="7" fillId="0" borderId="1" xfId="1" applyNumberFormat="1" applyFont="1" applyBorder="1" applyAlignment="1">
      <alignment horizontal="center" vertical="center"/>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9" fillId="0" borderId="6" xfId="0" applyFont="1" applyBorder="1" applyAlignment="1">
      <alignment horizontal="center" vertical="center"/>
    </xf>
    <xf numFmtId="0" fontId="9" fillId="0" borderId="4"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9" fillId="0" borderId="1" xfId="0" applyFont="1" applyBorder="1" applyAlignment="1">
      <alignment vertical="top" wrapText="1"/>
    </xf>
    <xf numFmtId="0" fontId="9" fillId="0" borderId="1" xfId="0" applyFont="1" applyBorder="1" applyAlignment="1">
      <alignment vertical="top"/>
    </xf>
  </cellXfs>
  <cellStyles count="6">
    <cellStyle name="20% - Accent6 23 4" xfId="4"/>
    <cellStyle name="Comma" xfId="1" builtinId="3"/>
    <cellStyle name="Comma 5" xfId="5"/>
    <cellStyle name="Normal" xfId="0" builtinId="0"/>
    <cellStyle name="Normal 53" xfId="2"/>
    <cellStyle name="Normal 7" xfId="3"/>
  </cellStyles>
  <dxfs count="1">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W96"/>
  <sheetViews>
    <sheetView view="pageBreakPreview" zoomScaleNormal="100" zoomScaleSheetLayoutView="100" workbookViewId="0">
      <pane xSplit="6" ySplit="3" topLeftCell="AB10" activePane="bottomRight" state="frozen"/>
      <selection pane="topRight" activeCell="G1" sqref="G1"/>
      <selection pane="bottomLeft" activeCell="A4" sqref="A4"/>
      <selection pane="bottomRight" activeCell="AJ2" sqref="AJ2:AJ3"/>
    </sheetView>
  </sheetViews>
  <sheetFormatPr defaultRowHeight="14.3" x14ac:dyDescent="0.25"/>
  <cols>
    <col min="1" max="1" width="4.875" style="6" customWidth="1"/>
    <col min="2" max="2" width="6.25" style="6" customWidth="1"/>
    <col min="3" max="3" width="29.625" style="2" bestFit="1" customWidth="1"/>
    <col min="4" max="6" width="8" style="1" customWidth="1"/>
    <col min="7" max="7" width="21.375" style="1" bestFit="1" customWidth="1"/>
    <col min="8" max="8" width="8" style="1" customWidth="1"/>
    <col min="9" max="9" width="8.75" style="1" bestFit="1" customWidth="1"/>
    <col min="10" max="10" width="11" style="1" customWidth="1"/>
    <col min="11" max="15" width="8.25" customWidth="1"/>
    <col min="17" max="17" width="9.5" bestFit="1" customWidth="1"/>
    <col min="19" max="19" width="9.875" customWidth="1"/>
    <col min="24" max="24" width="9.75" bestFit="1" customWidth="1"/>
    <col min="27" max="27" width="9.25" customWidth="1"/>
    <col min="28" max="29" width="9" style="6"/>
    <col min="30" max="30" width="13.25" style="6" customWidth="1"/>
    <col min="31" max="31" width="12.75" style="6" customWidth="1"/>
  </cols>
  <sheetData>
    <row r="1" spans="1:49" x14ac:dyDescent="0.25">
      <c r="J1" s="101" t="s">
        <v>135</v>
      </c>
      <c r="K1" s="101"/>
      <c r="L1" s="101"/>
      <c r="M1" s="101"/>
      <c r="N1" s="101"/>
      <c r="O1" s="101"/>
      <c r="P1" s="101"/>
      <c r="Q1" s="101"/>
      <c r="R1" s="101"/>
      <c r="S1" s="101"/>
      <c r="T1" s="101"/>
      <c r="U1" s="101"/>
      <c r="V1" s="101"/>
      <c r="W1" s="101"/>
      <c r="X1" s="101"/>
      <c r="Y1" s="101"/>
      <c r="Z1" s="101"/>
      <c r="AA1" s="101"/>
      <c r="AB1" s="101"/>
      <c r="AC1" s="101"/>
      <c r="AD1" s="101"/>
      <c r="AE1" s="101"/>
      <c r="AF1" s="101"/>
      <c r="AG1" s="101" t="s">
        <v>137</v>
      </c>
      <c r="AH1" s="101"/>
      <c r="AI1" s="101"/>
      <c r="AJ1" s="101"/>
      <c r="AK1" s="101"/>
      <c r="AL1" s="101"/>
      <c r="AM1" s="101"/>
      <c r="AN1" s="101"/>
      <c r="AO1" s="101"/>
    </row>
    <row r="2" spans="1:49" s="6" customFormat="1" ht="18.350000000000001" customHeight="1" x14ac:dyDescent="0.25">
      <c r="A2" s="111" t="s">
        <v>0</v>
      </c>
      <c r="B2" s="112" t="s">
        <v>139</v>
      </c>
      <c r="C2" s="111" t="s">
        <v>138</v>
      </c>
      <c r="D2" s="111" t="s">
        <v>140</v>
      </c>
      <c r="E2" s="111"/>
      <c r="F2" s="112" t="s">
        <v>69</v>
      </c>
      <c r="G2" s="107" t="s">
        <v>93</v>
      </c>
      <c r="H2" s="107"/>
      <c r="I2" s="107"/>
      <c r="J2" s="102" t="s">
        <v>151</v>
      </c>
      <c r="K2" s="108" t="s">
        <v>107</v>
      </c>
      <c r="L2" s="109"/>
      <c r="M2" s="109"/>
      <c r="N2" s="109"/>
      <c r="O2" s="110"/>
      <c r="P2" s="104" t="s">
        <v>108</v>
      </c>
      <c r="Q2" s="104" t="s">
        <v>109</v>
      </c>
      <c r="R2" s="104" t="s">
        <v>110</v>
      </c>
      <c r="S2" s="104" t="s">
        <v>114</v>
      </c>
      <c r="T2" s="106" t="s">
        <v>115</v>
      </c>
      <c r="U2" s="106" t="s">
        <v>116</v>
      </c>
      <c r="V2" s="106" t="s">
        <v>129</v>
      </c>
      <c r="W2" s="106"/>
      <c r="X2" s="106" t="s">
        <v>121</v>
      </c>
      <c r="Y2" s="106" t="s">
        <v>124</v>
      </c>
      <c r="Z2" s="104" t="s">
        <v>120</v>
      </c>
      <c r="AA2" s="104" t="s">
        <v>125</v>
      </c>
      <c r="AB2" s="104" t="s">
        <v>130</v>
      </c>
      <c r="AC2" s="104" t="s">
        <v>131</v>
      </c>
      <c r="AD2" s="104" t="s">
        <v>132</v>
      </c>
      <c r="AE2" s="104" t="s">
        <v>133</v>
      </c>
      <c r="AF2" s="104" t="s">
        <v>134</v>
      </c>
      <c r="AG2" s="104" t="s">
        <v>143</v>
      </c>
      <c r="AH2" s="104" t="s">
        <v>136</v>
      </c>
      <c r="AI2" s="104" t="s">
        <v>144</v>
      </c>
      <c r="AJ2" s="104" t="s">
        <v>145</v>
      </c>
      <c r="AK2" s="104" t="s">
        <v>146</v>
      </c>
      <c r="AL2" s="104" t="s">
        <v>147</v>
      </c>
      <c r="AM2" s="104" t="s">
        <v>148</v>
      </c>
      <c r="AN2" s="104" t="s">
        <v>149</v>
      </c>
      <c r="AO2" s="104" t="s">
        <v>150</v>
      </c>
      <c r="AP2" s="100"/>
      <c r="AQ2" s="100"/>
      <c r="AR2" s="100"/>
      <c r="AS2" s="100"/>
      <c r="AT2" s="100"/>
      <c r="AU2" s="100"/>
      <c r="AV2" s="100"/>
      <c r="AW2" s="100"/>
    </row>
    <row r="3" spans="1:49" s="6" customFormat="1" ht="32.6" customHeight="1" x14ac:dyDescent="0.25">
      <c r="A3" s="111"/>
      <c r="B3" s="113"/>
      <c r="C3" s="111"/>
      <c r="D3" s="21" t="s">
        <v>141</v>
      </c>
      <c r="E3" s="21" t="s">
        <v>142</v>
      </c>
      <c r="F3" s="113"/>
      <c r="G3" s="14" t="s">
        <v>94</v>
      </c>
      <c r="H3" s="15" t="s">
        <v>91</v>
      </c>
      <c r="I3" s="15" t="s">
        <v>92</v>
      </c>
      <c r="J3" s="103"/>
      <c r="K3" s="18" t="s">
        <v>74</v>
      </c>
      <c r="L3" s="18" t="s">
        <v>72</v>
      </c>
      <c r="M3" s="18" t="s">
        <v>73</v>
      </c>
      <c r="N3" s="18" t="s">
        <v>89</v>
      </c>
      <c r="O3" s="18" t="s">
        <v>90</v>
      </c>
      <c r="P3" s="105"/>
      <c r="Q3" s="105"/>
      <c r="R3" s="105"/>
      <c r="S3" s="105"/>
      <c r="T3" s="106"/>
      <c r="U3" s="106"/>
      <c r="V3" s="19" t="s">
        <v>122</v>
      </c>
      <c r="W3" s="19" t="s">
        <v>123</v>
      </c>
      <c r="X3" s="106"/>
      <c r="Y3" s="106"/>
      <c r="Z3" s="105"/>
      <c r="AA3" s="105"/>
      <c r="AB3" s="105"/>
      <c r="AC3" s="105"/>
      <c r="AD3" s="105"/>
      <c r="AE3" s="105"/>
      <c r="AF3" s="105"/>
      <c r="AG3" s="105"/>
      <c r="AH3" s="105"/>
      <c r="AI3" s="105"/>
      <c r="AJ3" s="105"/>
      <c r="AK3" s="105"/>
      <c r="AL3" s="105"/>
      <c r="AM3" s="105"/>
      <c r="AN3" s="105"/>
      <c r="AO3" s="105"/>
      <c r="AP3" s="100"/>
      <c r="AQ3" s="100"/>
      <c r="AR3" s="100"/>
      <c r="AS3" s="100"/>
      <c r="AT3" s="100"/>
      <c r="AU3" s="100"/>
      <c r="AV3" s="100"/>
      <c r="AW3" s="100"/>
    </row>
    <row r="4" spans="1:49" x14ac:dyDescent="0.25">
      <c r="A4" s="4">
        <v>1</v>
      </c>
      <c r="B4" s="4">
        <v>1</v>
      </c>
      <c r="C4" s="3" t="s">
        <v>5</v>
      </c>
      <c r="D4" s="5">
        <v>4130</v>
      </c>
      <c r="E4" s="5">
        <v>7605</v>
      </c>
      <c r="F4" s="8">
        <f>(D4*E4)/1000000</f>
        <v>31.408650000000002</v>
      </c>
      <c r="G4" s="8"/>
      <c r="H4" s="16"/>
      <c r="I4" s="16"/>
      <c r="J4" s="16"/>
      <c r="K4" s="4">
        <f>1*2.6</f>
        <v>2.6</v>
      </c>
      <c r="L4" s="4"/>
      <c r="M4" s="4"/>
      <c r="N4" s="4"/>
      <c r="O4" s="4"/>
      <c r="P4" s="4">
        <f>2*1.8*1.8+2*1.5*1.8</f>
        <v>11.88</v>
      </c>
      <c r="Q4" s="8">
        <f t="shared" ref="Q4:Q10" si="0">(D4*E4)/1000000</f>
        <v>31.408650000000002</v>
      </c>
      <c r="R4" s="4">
        <f>((D4*2+E4*2)/1000)-1</f>
        <v>22.47</v>
      </c>
      <c r="S4" s="8"/>
      <c r="T4" s="4"/>
      <c r="U4" s="8">
        <f>(D4*E4)/1000000</f>
        <v>31.408650000000002</v>
      </c>
      <c r="V4" s="4"/>
      <c r="W4" s="4"/>
      <c r="X4" s="4"/>
      <c r="Y4" s="4"/>
      <c r="Z4" s="4"/>
      <c r="AA4" s="4"/>
      <c r="AB4" s="4">
        <f>(2*3.5*((D4+E4)/1000))-(Z4+X4+T4+P4+O4+N4+M4+L4+K4)</f>
        <v>67.664999999999992</v>
      </c>
      <c r="AC4" s="4">
        <f>(2*3*((D4+E4)/1000))-(Z4+X4+T4+P4+O4+N4+M4+L4+K4)</f>
        <v>55.929999999999993</v>
      </c>
      <c r="AD4" s="4"/>
      <c r="AE4" s="4">
        <f>P4</f>
        <v>11.88</v>
      </c>
      <c r="AF4" s="10"/>
      <c r="AG4" s="4"/>
      <c r="AH4" s="4"/>
      <c r="AI4" s="4"/>
      <c r="AJ4" s="4"/>
      <c r="AK4" s="4"/>
      <c r="AL4" s="4"/>
      <c r="AM4" s="4"/>
      <c r="AN4" s="4"/>
      <c r="AO4" s="4"/>
      <c r="AP4" s="4"/>
      <c r="AQ4" s="4"/>
      <c r="AR4" s="10"/>
      <c r="AS4" s="10"/>
      <c r="AT4" s="10"/>
      <c r="AU4" s="10"/>
      <c r="AV4" s="10"/>
      <c r="AW4" s="10"/>
    </row>
    <row r="5" spans="1:49" x14ac:dyDescent="0.25">
      <c r="A5" s="4">
        <v>2</v>
      </c>
      <c r="B5" s="4">
        <v>2</v>
      </c>
      <c r="C5" s="3" t="s">
        <v>44</v>
      </c>
      <c r="D5" s="5">
        <v>6395</v>
      </c>
      <c r="E5" s="5">
        <v>6000</v>
      </c>
      <c r="F5" s="8">
        <f t="shared" ref="F5:F54" si="1">(D5*E5)/1000000</f>
        <v>38.369999999999997</v>
      </c>
      <c r="G5" s="8"/>
      <c r="H5" s="16"/>
      <c r="I5" s="16"/>
      <c r="J5" s="16"/>
      <c r="K5" s="4">
        <f>1.2*2.6</f>
        <v>3.12</v>
      </c>
      <c r="L5" s="4"/>
      <c r="M5" s="4"/>
      <c r="N5" s="4"/>
      <c r="O5" s="4"/>
      <c r="P5" s="4"/>
      <c r="Q5" s="8">
        <f t="shared" si="0"/>
        <v>38.369999999999997</v>
      </c>
      <c r="R5" s="4">
        <f>((D5*2+E5*2)/1000)-1.2</f>
        <v>23.59</v>
      </c>
      <c r="S5" s="8"/>
      <c r="T5" s="4"/>
      <c r="U5" s="8">
        <f>(D5*E5)/1000000</f>
        <v>38.369999999999997</v>
      </c>
      <c r="V5" s="4"/>
      <c r="W5" s="4"/>
      <c r="X5" s="4"/>
      <c r="Y5" s="4"/>
      <c r="Z5" s="4"/>
      <c r="AA5" s="4"/>
      <c r="AB5" s="4">
        <f>(2*3.5*((D5+E5)/1000))-(Z5+X5+T5+P5+O5+N5+M5+L5+K5)</f>
        <v>83.644999999999996</v>
      </c>
      <c r="AC5" s="4">
        <f>(2*3*((D5+E5)/1000))-(Z5+X5+T5+P5+O5+N5+M5+L5+K5)</f>
        <v>71.25</v>
      </c>
      <c r="AD5" s="4"/>
      <c r="AE5" s="4"/>
      <c r="AF5" s="10"/>
      <c r="AG5" s="4"/>
      <c r="AH5" s="4"/>
      <c r="AI5" s="4"/>
      <c r="AJ5" s="4"/>
      <c r="AK5" s="4"/>
      <c r="AL5" s="4"/>
      <c r="AM5" s="4"/>
      <c r="AN5" s="4"/>
      <c r="AO5" s="4"/>
      <c r="AP5" s="4"/>
      <c r="AQ5" s="4"/>
      <c r="AR5" s="10"/>
      <c r="AS5" s="10"/>
      <c r="AT5" s="10"/>
      <c r="AU5" s="10"/>
      <c r="AV5" s="10"/>
      <c r="AW5" s="10"/>
    </row>
    <row r="6" spans="1:49" x14ac:dyDescent="0.25">
      <c r="A6" s="4">
        <v>3</v>
      </c>
      <c r="B6" s="4">
        <v>3</v>
      </c>
      <c r="C6" s="3" t="s">
        <v>25</v>
      </c>
      <c r="D6" s="5">
        <v>2400</v>
      </c>
      <c r="E6" s="5">
        <v>3715</v>
      </c>
      <c r="F6" s="8">
        <f t="shared" si="1"/>
        <v>8.9160000000000004</v>
      </c>
      <c r="G6" s="8"/>
      <c r="H6" s="16"/>
      <c r="I6" s="16"/>
      <c r="J6" s="16"/>
      <c r="K6" s="4">
        <f>1*2.6</f>
        <v>2.6</v>
      </c>
      <c r="L6" s="4"/>
      <c r="M6" s="4"/>
      <c r="N6" s="4"/>
      <c r="O6" s="4"/>
      <c r="P6" s="4"/>
      <c r="Q6" s="8">
        <f t="shared" si="0"/>
        <v>8.9160000000000004</v>
      </c>
      <c r="R6" s="4"/>
      <c r="S6" s="8">
        <f>(D6*E6)/1000000</f>
        <v>8.9160000000000004</v>
      </c>
      <c r="T6" s="4">
        <f>2*1.5*((D6+E6)/1000)-(K6+L6+M6+N6+O6)</f>
        <v>15.744999999999999</v>
      </c>
      <c r="U6" s="8">
        <f>(D6*E6)/1000000</f>
        <v>8.9160000000000004</v>
      </c>
      <c r="V6" s="4"/>
      <c r="W6" s="4"/>
      <c r="X6" s="4"/>
      <c r="Y6" s="4"/>
      <c r="Z6" s="4"/>
      <c r="AA6" s="4"/>
      <c r="AB6" s="4">
        <f>(2*3.5*((D6+E6)/1000))-(Z6+X6+T6+P6+O6+N6+M6+L6+K6)</f>
        <v>24.46</v>
      </c>
      <c r="AC6" s="4">
        <f>(2*3*((D6+E6)/1000))-(Z6+X6+T6+P6+O6+N6+M6+L6+K6)</f>
        <v>18.344999999999999</v>
      </c>
      <c r="AD6" s="4"/>
      <c r="AE6" s="4"/>
      <c r="AF6" s="10"/>
      <c r="AG6" s="4"/>
      <c r="AH6" s="4"/>
      <c r="AI6" s="4"/>
      <c r="AJ6" s="4"/>
      <c r="AK6" s="4"/>
      <c r="AL6" s="4"/>
      <c r="AM6" s="4"/>
      <c r="AN6" s="4"/>
      <c r="AO6" s="4"/>
      <c r="AP6" s="4"/>
      <c r="AQ6" s="4"/>
      <c r="AR6" s="10"/>
      <c r="AS6" s="10"/>
      <c r="AT6" s="10"/>
      <c r="AU6" s="10"/>
      <c r="AV6" s="10"/>
      <c r="AW6" s="10"/>
    </row>
    <row r="7" spans="1:49" x14ac:dyDescent="0.25">
      <c r="A7" s="4">
        <v>4</v>
      </c>
      <c r="B7" s="4" t="s">
        <v>113</v>
      </c>
      <c r="C7" s="3" t="s">
        <v>112</v>
      </c>
      <c r="D7" s="13">
        <v>2400</v>
      </c>
      <c r="E7" s="13">
        <v>2400</v>
      </c>
      <c r="F7" s="8">
        <f t="shared" si="1"/>
        <v>5.76</v>
      </c>
      <c r="G7" s="8"/>
      <c r="H7" s="16"/>
      <c r="I7" s="16"/>
      <c r="J7" s="16"/>
      <c r="K7" s="4"/>
      <c r="L7" s="4"/>
      <c r="M7" s="4"/>
      <c r="N7" s="4"/>
      <c r="O7" s="4"/>
      <c r="P7" s="4"/>
      <c r="Q7" s="8">
        <f t="shared" si="0"/>
        <v>5.76</v>
      </c>
      <c r="R7" s="4"/>
      <c r="S7" s="8">
        <f>(D7*E7)/1000000</f>
        <v>5.76</v>
      </c>
      <c r="T7" s="4">
        <f>2*1.5*((D7+E7)/1000)-(K7+L7+M7+N7+O7)</f>
        <v>14.399999999999999</v>
      </c>
      <c r="U7" s="8">
        <f>(D7*E7)/1000000</f>
        <v>5.76</v>
      </c>
      <c r="V7" s="4"/>
      <c r="W7" s="4"/>
      <c r="X7" s="4"/>
      <c r="Y7" s="4"/>
      <c r="Z7" s="4"/>
      <c r="AA7" s="4"/>
      <c r="AB7" s="4">
        <f>(2*3.5*((D7+E7)/1000))-(Z7+X7+T7+P7+O7+N7+M7+L7+K7)</f>
        <v>19.200000000000003</v>
      </c>
      <c r="AC7" s="4">
        <f>(2*3*((D7+E7)/1000))-(Z7+X7+T7+P7+O7+N7+M7+L7+K7)</f>
        <v>14.399999999999999</v>
      </c>
      <c r="AD7" s="4"/>
      <c r="AE7" s="4"/>
      <c r="AF7" s="10"/>
      <c r="AG7" s="4"/>
      <c r="AH7" s="4"/>
      <c r="AI7" s="4"/>
      <c r="AJ7" s="4"/>
      <c r="AK7" s="4"/>
      <c r="AL7" s="4"/>
      <c r="AM7" s="4"/>
      <c r="AN7" s="4"/>
      <c r="AO7" s="4"/>
      <c r="AP7" s="4"/>
      <c r="AQ7" s="4"/>
      <c r="AR7" s="10"/>
      <c r="AS7" s="10"/>
      <c r="AT7" s="10"/>
      <c r="AU7" s="10"/>
      <c r="AV7" s="10"/>
      <c r="AW7" s="10"/>
    </row>
    <row r="8" spans="1:49" x14ac:dyDescent="0.25">
      <c r="A8" s="4">
        <v>5</v>
      </c>
      <c r="B8" s="4">
        <v>4</v>
      </c>
      <c r="C8" s="3" t="s">
        <v>46</v>
      </c>
      <c r="D8" s="5">
        <v>6300</v>
      </c>
      <c r="E8" s="5">
        <v>6000</v>
      </c>
      <c r="F8" s="8">
        <f t="shared" si="1"/>
        <v>37.799999999999997</v>
      </c>
      <c r="G8" s="8"/>
      <c r="H8" s="16"/>
      <c r="I8" s="16"/>
      <c r="J8" s="16"/>
      <c r="K8" s="4"/>
      <c r="L8" s="4"/>
      <c r="M8" s="4"/>
      <c r="N8" s="4">
        <f>2*2.6</f>
        <v>5.2</v>
      </c>
      <c r="O8" s="4"/>
      <c r="P8" s="4"/>
      <c r="Q8" s="8">
        <f t="shared" si="0"/>
        <v>37.799999999999997</v>
      </c>
      <c r="R8" s="4"/>
      <c r="S8" s="8">
        <f>(D8*E8)/1000000</f>
        <v>37.799999999999997</v>
      </c>
      <c r="T8" s="4"/>
      <c r="U8" s="8"/>
      <c r="V8" s="8">
        <f>(D8*E8)/1000000</f>
        <v>37.799999999999997</v>
      </c>
      <c r="W8" s="8">
        <f>2*3*((D8+E8)/1000)</f>
        <v>73.800000000000011</v>
      </c>
      <c r="X8" s="4"/>
      <c r="Y8" s="4"/>
      <c r="Z8" s="4">
        <v>1</v>
      </c>
      <c r="AA8" s="4"/>
      <c r="AB8" s="4"/>
      <c r="AC8" s="4"/>
      <c r="AD8" s="4"/>
      <c r="AE8" s="4"/>
      <c r="AF8" s="10"/>
      <c r="AG8" s="4"/>
      <c r="AH8" s="4"/>
      <c r="AI8" s="4"/>
      <c r="AJ8" s="4"/>
      <c r="AK8" s="4"/>
      <c r="AL8" s="4"/>
      <c r="AM8" s="4"/>
      <c r="AN8" s="4"/>
      <c r="AO8" s="4"/>
      <c r="AP8" s="4"/>
      <c r="AQ8" s="4"/>
      <c r="AR8" s="10"/>
      <c r="AS8" s="10"/>
      <c r="AT8" s="10"/>
      <c r="AU8" s="10"/>
      <c r="AV8" s="10"/>
      <c r="AW8" s="10"/>
    </row>
    <row r="9" spans="1:49" x14ac:dyDescent="0.25">
      <c r="A9" s="4">
        <v>6</v>
      </c>
      <c r="B9" s="4">
        <v>5</v>
      </c>
      <c r="C9" s="3" t="s">
        <v>6</v>
      </c>
      <c r="D9" s="5">
        <v>3085</v>
      </c>
      <c r="E9" s="5">
        <v>7605</v>
      </c>
      <c r="F9" s="8">
        <f t="shared" si="1"/>
        <v>23.461424999999998</v>
      </c>
      <c r="G9" s="8"/>
      <c r="H9" s="16"/>
      <c r="I9" s="16"/>
      <c r="J9" s="16"/>
      <c r="K9" s="4">
        <f>1.2*2.6</f>
        <v>3.12</v>
      </c>
      <c r="L9" s="4"/>
      <c r="M9" s="4"/>
      <c r="N9" s="4"/>
      <c r="O9" s="4"/>
      <c r="P9" s="4">
        <f>1.8*1.8</f>
        <v>3.24</v>
      </c>
      <c r="Q9" s="8">
        <f t="shared" si="0"/>
        <v>23.461424999999998</v>
      </c>
      <c r="R9" s="4">
        <f>((D9*2+E9*2)/1000)-1.2</f>
        <v>20.18</v>
      </c>
      <c r="S9" s="8"/>
      <c r="T9" s="4">
        <f>2*1.5*((D9+E9)/1000)-(K9+L9+M9+N9+O9)</f>
        <v>28.95</v>
      </c>
      <c r="U9" s="8">
        <f t="shared" ref="U9:U37" si="2">(D9*E9)/1000000</f>
        <v>23.461424999999998</v>
      </c>
      <c r="V9" s="4"/>
      <c r="W9" s="4"/>
      <c r="X9" s="4"/>
      <c r="Y9" s="4"/>
      <c r="Z9" s="4"/>
      <c r="AA9" s="4"/>
      <c r="AB9" s="4">
        <f t="shared" ref="AB9:AB37" si="3">(2*3.5*((D9+E9)/1000))-(Z9+X9+T9+P9+O9+N9+M9+L9+K9)</f>
        <v>39.520000000000003</v>
      </c>
      <c r="AC9" s="4">
        <f t="shared" ref="AC9:AC37" si="4">(2*3*((D9+E9)/1000))-(Z9+X9+T9+P9+O9+N9+M9+L9+K9)</f>
        <v>28.830000000000005</v>
      </c>
      <c r="AD9" s="4"/>
      <c r="AE9" s="4">
        <f t="shared" ref="AE9:AE52" si="5">P9</f>
        <v>3.24</v>
      </c>
      <c r="AF9" s="10"/>
      <c r="AG9" s="4"/>
      <c r="AH9" s="4"/>
      <c r="AI9" s="4"/>
      <c r="AJ9" s="4"/>
      <c r="AK9" s="4"/>
      <c r="AL9" s="4"/>
      <c r="AM9" s="4"/>
      <c r="AN9" s="4"/>
      <c r="AO9" s="4"/>
      <c r="AP9" s="4"/>
      <c r="AQ9" s="4"/>
      <c r="AR9" s="10"/>
      <c r="AS9" s="10"/>
      <c r="AT9" s="10"/>
      <c r="AU9" s="10"/>
      <c r="AV9" s="10"/>
      <c r="AW9" s="10"/>
    </row>
    <row r="10" spans="1:49" x14ac:dyDescent="0.25">
      <c r="A10" s="4">
        <v>7</v>
      </c>
      <c r="B10" s="4">
        <v>6</v>
      </c>
      <c r="C10" s="3" t="s">
        <v>7</v>
      </c>
      <c r="D10" s="5">
        <v>8645</v>
      </c>
      <c r="E10" s="5">
        <v>7605</v>
      </c>
      <c r="F10" s="8">
        <f t="shared" si="1"/>
        <v>65.745225000000005</v>
      </c>
      <c r="G10" s="8"/>
      <c r="H10" s="16"/>
      <c r="I10" s="16"/>
      <c r="J10" s="16"/>
      <c r="K10" s="4"/>
      <c r="L10" s="4">
        <f>1.8*2.6</f>
        <v>4.6800000000000006</v>
      </c>
      <c r="M10" s="4"/>
      <c r="N10" s="4"/>
      <c r="O10" s="4"/>
      <c r="P10" s="4">
        <f>1.8*1.8+4*1.5*1.8</f>
        <v>14.040000000000001</v>
      </c>
      <c r="Q10" s="8">
        <f t="shared" si="0"/>
        <v>65.745225000000005</v>
      </c>
      <c r="R10" s="4"/>
      <c r="S10" s="8"/>
      <c r="T10" s="4">
        <f>2*1.5*((D10+E10)/1000)-(K10+L10+M10+N10+O10+Y87)</f>
        <v>42.39</v>
      </c>
      <c r="U10" s="8">
        <f t="shared" si="2"/>
        <v>65.745225000000005</v>
      </c>
      <c r="V10" s="4"/>
      <c r="W10" s="4"/>
      <c r="X10" s="4"/>
      <c r="Y10" s="4">
        <f>1.8*1.8+4*1.5*1.8</f>
        <v>14.040000000000001</v>
      </c>
      <c r="Z10" s="4"/>
      <c r="AA10" s="4"/>
      <c r="AB10" s="4">
        <f t="shared" si="3"/>
        <v>52.64</v>
      </c>
      <c r="AC10" s="4">
        <f t="shared" si="4"/>
        <v>36.39</v>
      </c>
      <c r="AD10" s="4">
        <f t="shared" ref="AD10:AD54" si="6">0.5*L10</f>
        <v>2.3400000000000003</v>
      </c>
      <c r="AE10" s="4">
        <f t="shared" si="5"/>
        <v>14.040000000000001</v>
      </c>
      <c r="AF10" s="10"/>
      <c r="AG10" s="4"/>
      <c r="AH10" s="4"/>
      <c r="AI10" s="4"/>
      <c r="AJ10" s="4"/>
      <c r="AK10" s="4"/>
      <c r="AL10" s="4"/>
      <c r="AM10" s="4"/>
      <c r="AN10" s="4"/>
      <c r="AO10" s="4"/>
      <c r="AP10" s="4"/>
      <c r="AQ10" s="4"/>
      <c r="AR10" s="10"/>
      <c r="AS10" s="10"/>
      <c r="AT10" s="10"/>
      <c r="AU10" s="10"/>
      <c r="AV10" s="10"/>
      <c r="AW10" s="10"/>
    </row>
    <row r="11" spans="1:49" x14ac:dyDescent="0.25">
      <c r="A11" s="4">
        <v>8</v>
      </c>
      <c r="B11" s="4" t="s">
        <v>127</v>
      </c>
      <c r="C11" s="3" t="s">
        <v>118</v>
      </c>
      <c r="D11" s="13">
        <v>1500</v>
      </c>
      <c r="E11" s="13">
        <v>1800</v>
      </c>
      <c r="F11" s="8">
        <f t="shared" si="1"/>
        <v>2.7</v>
      </c>
      <c r="G11" s="8"/>
      <c r="H11" s="16"/>
      <c r="I11" s="16"/>
      <c r="J11" s="16"/>
      <c r="K11" s="4"/>
      <c r="L11" s="4"/>
      <c r="M11" s="4">
        <f>0.8*2.1</f>
        <v>1.6800000000000002</v>
      </c>
      <c r="N11" s="4"/>
      <c r="O11" s="4"/>
      <c r="P11" s="4"/>
      <c r="Q11" s="8"/>
      <c r="R11" s="4"/>
      <c r="S11" s="8"/>
      <c r="T11" s="4">
        <f>2*2.1*((D11+E11)/1000)-(K11+L11+M11+N11+O11)</f>
        <v>12.18</v>
      </c>
      <c r="U11" s="8">
        <f t="shared" si="2"/>
        <v>2.7</v>
      </c>
      <c r="V11" s="4"/>
      <c r="W11" s="4"/>
      <c r="X11" s="4">
        <f>0.6*0.6</f>
        <v>0.36</v>
      </c>
      <c r="Y11" s="4"/>
      <c r="Z11" s="4"/>
      <c r="AA11" s="8">
        <f>(D11*E11)/1000000</f>
        <v>2.7</v>
      </c>
      <c r="AB11" s="4">
        <f t="shared" si="3"/>
        <v>8.879999999999999</v>
      </c>
      <c r="AC11" s="4">
        <f t="shared" si="4"/>
        <v>5.5799999999999983</v>
      </c>
      <c r="AD11" s="4"/>
      <c r="AE11" s="4"/>
      <c r="AF11" s="10"/>
      <c r="AG11" s="4">
        <v>1</v>
      </c>
      <c r="AH11" s="4">
        <v>1</v>
      </c>
      <c r="AI11" s="4"/>
      <c r="AJ11" s="4">
        <v>1</v>
      </c>
      <c r="AK11" s="4">
        <v>1</v>
      </c>
      <c r="AL11" s="4">
        <v>1</v>
      </c>
      <c r="AM11" s="4">
        <v>1</v>
      </c>
      <c r="AN11" s="4">
        <v>1</v>
      </c>
      <c r="AO11" s="4">
        <v>1</v>
      </c>
      <c r="AP11" s="4"/>
      <c r="AQ11" s="4"/>
      <c r="AR11" s="10"/>
      <c r="AS11" s="10"/>
      <c r="AT11" s="10"/>
      <c r="AU11" s="10"/>
      <c r="AV11" s="10"/>
      <c r="AW11" s="10"/>
    </row>
    <row r="12" spans="1:49" x14ac:dyDescent="0.25">
      <c r="A12" s="4">
        <v>9</v>
      </c>
      <c r="B12" s="4">
        <v>7</v>
      </c>
      <c r="C12" s="3" t="s">
        <v>8</v>
      </c>
      <c r="D12" s="5">
        <v>2875</v>
      </c>
      <c r="E12" s="5">
        <v>5520</v>
      </c>
      <c r="F12" s="8">
        <f t="shared" si="1"/>
        <v>15.87</v>
      </c>
      <c r="G12" s="8"/>
      <c r="H12" s="16"/>
      <c r="I12" s="16"/>
      <c r="J12" s="16"/>
      <c r="K12" s="4"/>
      <c r="L12" s="4">
        <f>1*2.6</f>
        <v>2.6</v>
      </c>
      <c r="M12" s="4"/>
      <c r="N12" s="4"/>
      <c r="O12" s="4"/>
      <c r="P12" s="4">
        <f>1.2*1.8</f>
        <v>2.16</v>
      </c>
      <c r="Q12" s="8">
        <f>(D12*E12)/1000000</f>
        <v>15.87</v>
      </c>
      <c r="R12" s="4">
        <f>((D12*2+E12*2)/1000)-1</f>
        <v>15.79</v>
      </c>
      <c r="S12" s="8"/>
      <c r="T12" s="4"/>
      <c r="U12" s="8">
        <f t="shared" si="2"/>
        <v>15.87</v>
      </c>
      <c r="V12" s="4"/>
      <c r="W12" s="4"/>
      <c r="X12" s="4"/>
      <c r="Y12" s="4">
        <f>1.2*1.8</f>
        <v>2.16</v>
      </c>
      <c r="Z12" s="4"/>
      <c r="AA12" s="4"/>
      <c r="AB12" s="4">
        <f t="shared" si="3"/>
        <v>54.005000000000003</v>
      </c>
      <c r="AC12" s="4">
        <f t="shared" si="4"/>
        <v>45.61</v>
      </c>
      <c r="AD12" s="4">
        <f t="shared" si="6"/>
        <v>1.3</v>
      </c>
      <c r="AE12" s="4">
        <f t="shared" si="5"/>
        <v>2.16</v>
      </c>
      <c r="AF12" s="10"/>
      <c r="AG12" s="4"/>
      <c r="AH12" s="4"/>
      <c r="AI12" s="4"/>
      <c r="AJ12" s="4"/>
      <c r="AK12" s="4"/>
      <c r="AL12" s="4"/>
      <c r="AM12" s="4"/>
      <c r="AN12" s="4"/>
      <c r="AO12" s="4"/>
      <c r="AP12" s="4"/>
      <c r="AQ12" s="4"/>
      <c r="AR12" s="10"/>
      <c r="AS12" s="10"/>
      <c r="AT12" s="10"/>
      <c r="AU12" s="10"/>
      <c r="AV12" s="10"/>
      <c r="AW12" s="10"/>
    </row>
    <row r="13" spans="1:49" x14ac:dyDescent="0.25">
      <c r="A13" s="4">
        <v>10</v>
      </c>
      <c r="B13" s="4" t="s">
        <v>53</v>
      </c>
      <c r="C13" s="3" t="s">
        <v>12</v>
      </c>
      <c r="D13" s="5">
        <v>1200</v>
      </c>
      <c r="E13" s="5">
        <v>1500</v>
      </c>
      <c r="F13" s="8">
        <f t="shared" si="1"/>
        <v>1.8</v>
      </c>
      <c r="G13" s="8"/>
      <c r="H13" s="16"/>
      <c r="I13" s="16"/>
      <c r="J13" s="16"/>
      <c r="K13" s="4"/>
      <c r="L13" s="4"/>
      <c r="M13" s="4">
        <f>0.8*2.1</f>
        <v>1.6800000000000002</v>
      </c>
      <c r="N13" s="4"/>
      <c r="O13" s="4"/>
      <c r="P13" s="4"/>
      <c r="Q13" s="8"/>
      <c r="R13" s="4"/>
      <c r="S13" s="8"/>
      <c r="T13" s="4">
        <f>2*2.1*((D13+E13)/1000)-(K13+L13+M13+N13+O13)</f>
        <v>9.6600000000000019</v>
      </c>
      <c r="U13" s="8">
        <f t="shared" si="2"/>
        <v>1.8</v>
      </c>
      <c r="V13" s="4"/>
      <c r="W13" s="4"/>
      <c r="X13" s="4">
        <f>0.6*0.6</f>
        <v>0.36</v>
      </c>
      <c r="Y13" s="4"/>
      <c r="Z13" s="4"/>
      <c r="AA13" s="8">
        <f>(D13*E13)/1000000</f>
        <v>1.8</v>
      </c>
      <c r="AB13" s="4">
        <f t="shared" si="3"/>
        <v>7.2000000000000011</v>
      </c>
      <c r="AC13" s="4">
        <f t="shared" si="4"/>
        <v>4.5000000000000018</v>
      </c>
      <c r="AD13" s="4"/>
      <c r="AE13" s="4"/>
      <c r="AF13" s="10"/>
      <c r="AG13" s="4">
        <v>1</v>
      </c>
      <c r="AH13" s="4">
        <v>1</v>
      </c>
      <c r="AI13" s="4"/>
      <c r="AJ13" s="4">
        <v>1</v>
      </c>
      <c r="AK13" s="4">
        <v>1</v>
      </c>
      <c r="AL13" s="4">
        <v>1</v>
      </c>
      <c r="AM13" s="4">
        <v>1</v>
      </c>
      <c r="AN13" s="4">
        <v>1</v>
      </c>
      <c r="AO13" s="4">
        <v>1</v>
      </c>
      <c r="AP13" s="4"/>
      <c r="AQ13" s="4"/>
      <c r="AR13" s="10"/>
      <c r="AS13" s="10"/>
      <c r="AT13" s="10"/>
      <c r="AU13" s="10"/>
      <c r="AV13" s="10"/>
      <c r="AW13" s="10"/>
    </row>
    <row r="14" spans="1:49" x14ac:dyDescent="0.25">
      <c r="A14" s="4">
        <v>11</v>
      </c>
      <c r="B14" s="4">
        <v>8</v>
      </c>
      <c r="C14" s="3" t="s">
        <v>9</v>
      </c>
      <c r="D14" s="5">
        <v>2875</v>
      </c>
      <c r="E14" s="5">
        <v>5520</v>
      </c>
      <c r="F14" s="8">
        <f t="shared" si="1"/>
        <v>15.87</v>
      </c>
      <c r="G14" s="8"/>
      <c r="H14" s="16"/>
      <c r="I14" s="16"/>
      <c r="J14" s="16"/>
      <c r="K14" s="4"/>
      <c r="L14" s="4">
        <f>1*2.6</f>
        <v>2.6</v>
      </c>
      <c r="M14" s="4"/>
      <c r="N14" s="4"/>
      <c r="O14" s="4"/>
      <c r="P14" s="4">
        <f>1.2*1.8</f>
        <v>2.16</v>
      </c>
      <c r="Q14" s="8">
        <f>(D14*E14)/1000000</f>
        <v>15.87</v>
      </c>
      <c r="R14" s="4">
        <f>((D14*2+E14*2)/1000)-1</f>
        <v>15.79</v>
      </c>
      <c r="S14" s="8"/>
      <c r="T14" s="4"/>
      <c r="U14" s="8">
        <f t="shared" si="2"/>
        <v>15.87</v>
      </c>
      <c r="V14" s="4"/>
      <c r="W14" s="4"/>
      <c r="X14" s="4"/>
      <c r="Y14" s="4">
        <f>1.2*1.8</f>
        <v>2.16</v>
      </c>
      <c r="Z14" s="4"/>
      <c r="AA14" s="4"/>
      <c r="AB14" s="4">
        <f t="shared" si="3"/>
        <v>54.005000000000003</v>
      </c>
      <c r="AC14" s="4">
        <f t="shared" si="4"/>
        <v>45.61</v>
      </c>
      <c r="AD14" s="4">
        <f t="shared" si="6"/>
        <v>1.3</v>
      </c>
      <c r="AE14" s="4">
        <f t="shared" si="5"/>
        <v>2.16</v>
      </c>
      <c r="AF14" s="10"/>
      <c r="AG14" s="4"/>
      <c r="AH14" s="4"/>
      <c r="AI14" s="4"/>
      <c r="AJ14" s="4"/>
      <c r="AK14" s="4"/>
      <c r="AL14" s="4"/>
      <c r="AM14" s="4"/>
      <c r="AN14" s="4"/>
      <c r="AO14" s="4"/>
      <c r="AP14" s="4"/>
      <c r="AQ14" s="4"/>
      <c r="AR14" s="10"/>
      <c r="AS14" s="10"/>
      <c r="AT14" s="10"/>
      <c r="AU14" s="10"/>
      <c r="AV14" s="10"/>
      <c r="AW14" s="10"/>
    </row>
    <row r="15" spans="1:49" x14ac:dyDescent="0.25">
      <c r="A15" s="4">
        <v>12</v>
      </c>
      <c r="B15" s="4" t="s">
        <v>54</v>
      </c>
      <c r="C15" s="3" t="s">
        <v>13</v>
      </c>
      <c r="D15" s="5">
        <v>1200</v>
      </c>
      <c r="E15" s="5">
        <v>1500</v>
      </c>
      <c r="F15" s="8">
        <f t="shared" si="1"/>
        <v>1.8</v>
      </c>
      <c r="G15" s="8"/>
      <c r="H15" s="16"/>
      <c r="I15" s="16"/>
      <c r="J15" s="16"/>
      <c r="K15" s="4"/>
      <c r="L15" s="4"/>
      <c r="M15" s="4">
        <f>0.8*2.1</f>
        <v>1.6800000000000002</v>
      </c>
      <c r="N15" s="4"/>
      <c r="O15" s="4"/>
      <c r="P15" s="4"/>
      <c r="Q15" s="8"/>
      <c r="R15" s="4"/>
      <c r="S15" s="8"/>
      <c r="T15" s="4">
        <f>2*2.1*((D15+E15)/1000)-(K15+L15+M15+N15+O15)</f>
        <v>9.6600000000000019</v>
      </c>
      <c r="U15" s="8">
        <f t="shared" si="2"/>
        <v>1.8</v>
      </c>
      <c r="V15" s="4"/>
      <c r="W15" s="4"/>
      <c r="X15" s="4">
        <f>0.6*0.6</f>
        <v>0.36</v>
      </c>
      <c r="Y15" s="4"/>
      <c r="Z15" s="4"/>
      <c r="AA15" s="8">
        <f>(D15*E15)/1000000</f>
        <v>1.8</v>
      </c>
      <c r="AB15" s="4">
        <f t="shared" si="3"/>
        <v>7.2000000000000011</v>
      </c>
      <c r="AC15" s="4">
        <f t="shared" si="4"/>
        <v>4.5000000000000018</v>
      </c>
      <c r="AD15" s="4"/>
      <c r="AE15" s="4"/>
      <c r="AF15" s="10"/>
      <c r="AG15" s="4">
        <v>1</v>
      </c>
      <c r="AH15" s="4">
        <v>1</v>
      </c>
      <c r="AI15" s="4"/>
      <c r="AJ15" s="4">
        <v>1</v>
      </c>
      <c r="AK15" s="4">
        <v>1</v>
      </c>
      <c r="AL15" s="4">
        <v>1</v>
      </c>
      <c r="AM15" s="4">
        <v>1</v>
      </c>
      <c r="AN15" s="4">
        <v>1</v>
      </c>
      <c r="AO15" s="4">
        <v>1</v>
      </c>
      <c r="AP15" s="4"/>
      <c r="AQ15" s="4"/>
      <c r="AR15" s="10"/>
      <c r="AS15" s="10"/>
      <c r="AT15" s="10"/>
      <c r="AU15" s="10"/>
      <c r="AV15" s="10"/>
      <c r="AW15" s="10"/>
    </row>
    <row r="16" spans="1:49" x14ac:dyDescent="0.25">
      <c r="A16" s="4">
        <v>13</v>
      </c>
      <c r="B16" s="4">
        <v>9</v>
      </c>
      <c r="C16" s="3" t="s">
        <v>10</v>
      </c>
      <c r="D16" s="5">
        <v>5865</v>
      </c>
      <c r="E16" s="5">
        <v>4600</v>
      </c>
      <c r="F16" s="8">
        <f t="shared" si="1"/>
        <v>26.978999999999999</v>
      </c>
      <c r="G16" s="8"/>
      <c r="H16" s="16"/>
      <c r="I16" s="16"/>
      <c r="J16" s="16"/>
      <c r="K16" s="4"/>
      <c r="L16" s="4">
        <f>1.8*2.6</f>
        <v>4.6800000000000006</v>
      </c>
      <c r="M16" s="4"/>
      <c r="N16" s="4"/>
      <c r="O16" s="4"/>
      <c r="P16" s="4"/>
      <c r="Q16" s="8">
        <f>(D16*E16)/1000000</f>
        <v>26.978999999999999</v>
      </c>
      <c r="R16" s="4"/>
      <c r="S16" s="8"/>
      <c r="T16" s="4">
        <f>2*1.5*((D16+E16)/1000)-(K16+L16+M16+N16+O16+2*Y85)</f>
        <v>21.515000000000001</v>
      </c>
      <c r="U16" s="8">
        <f t="shared" si="2"/>
        <v>26.978999999999999</v>
      </c>
      <c r="V16" s="4"/>
      <c r="W16" s="4"/>
      <c r="X16" s="4"/>
      <c r="Y16" s="4"/>
      <c r="Z16" s="4"/>
      <c r="AA16" s="4"/>
      <c r="AB16" s="4">
        <f t="shared" si="3"/>
        <v>47.059999999999995</v>
      </c>
      <c r="AC16" s="4">
        <f t="shared" si="4"/>
        <v>36.594999999999999</v>
      </c>
      <c r="AD16" s="4">
        <f t="shared" si="6"/>
        <v>2.3400000000000003</v>
      </c>
      <c r="AE16" s="4"/>
      <c r="AF16" s="10">
        <f>2.74*0.6+2*2.74*1+6*0.6*1</f>
        <v>10.724</v>
      </c>
      <c r="AG16" s="4"/>
      <c r="AH16" s="4"/>
      <c r="AI16" s="4"/>
      <c r="AJ16" s="4"/>
      <c r="AK16" s="4"/>
      <c r="AL16" s="4"/>
      <c r="AM16" s="4"/>
      <c r="AN16" s="4"/>
      <c r="AO16" s="4"/>
      <c r="AP16" s="4"/>
      <c r="AQ16" s="4"/>
      <c r="AR16" s="10"/>
      <c r="AS16" s="10"/>
      <c r="AT16" s="10"/>
      <c r="AU16" s="10"/>
      <c r="AV16" s="10"/>
      <c r="AW16" s="10"/>
    </row>
    <row r="17" spans="1:49" x14ac:dyDescent="0.25">
      <c r="A17" s="4">
        <v>14</v>
      </c>
      <c r="B17" s="4">
        <v>10</v>
      </c>
      <c r="C17" s="3" t="s">
        <v>11</v>
      </c>
      <c r="D17" s="5">
        <v>7135</v>
      </c>
      <c r="E17" s="5">
        <v>3830</v>
      </c>
      <c r="F17" s="8">
        <f t="shared" si="1"/>
        <v>27.32705</v>
      </c>
      <c r="G17" s="8"/>
      <c r="H17" s="16"/>
      <c r="I17" s="16"/>
      <c r="J17" s="16"/>
      <c r="K17" s="4"/>
      <c r="L17" s="4"/>
      <c r="M17" s="4"/>
      <c r="N17" s="4"/>
      <c r="O17" s="4"/>
      <c r="P17" s="4">
        <f>1.8*1.8</f>
        <v>3.24</v>
      </c>
      <c r="Q17" s="8">
        <f>(D17*E17)/1000000</f>
        <v>27.32705</v>
      </c>
      <c r="R17" s="4"/>
      <c r="S17" s="8"/>
      <c r="T17" s="4">
        <f>2*1.5*((D17+E17)/1000)-(K17+L17+M17+N17+O17+Y86)</f>
        <v>30.554999999999996</v>
      </c>
      <c r="U17" s="8">
        <f t="shared" si="2"/>
        <v>27.32705</v>
      </c>
      <c r="V17" s="4"/>
      <c r="W17" s="4"/>
      <c r="X17" s="4"/>
      <c r="Y17" s="4">
        <f>1.8*1.8</f>
        <v>3.24</v>
      </c>
      <c r="Z17" s="4"/>
      <c r="AA17" s="4"/>
      <c r="AB17" s="4">
        <f t="shared" si="3"/>
        <v>42.96</v>
      </c>
      <c r="AC17" s="4">
        <f t="shared" si="4"/>
        <v>31.994999999999997</v>
      </c>
      <c r="AD17" s="4">
        <f t="shared" si="6"/>
        <v>0</v>
      </c>
      <c r="AE17" s="4">
        <f t="shared" si="5"/>
        <v>3.24</v>
      </c>
      <c r="AF17" s="10"/>
      <c r="AG17" s="4"/>
      <c r="AH17" s="4"/>
      <c r="AI17" s="4"/>
      <c r="AJ17" s="4"/>
      <c r="AK17" s="4"/>
      <c r="AL17" s="4"/>
      <c r="AM17" s="4"/>
      <c r="AN17" s="4"/>
      <c r="AO17" s="4"/>
      <c r="AP17" s="4"/>
      <c r="AQ17" s="4"/>
      <c r="AR17" s="10"/>
      <c r="AS17" s="10"/>
      <c r="AT17" s="10"/>
      <c r="AU17" s="10"/>
      <c r="AV17" s="10"/>
      <c r="AW17" s="10"/>
    </row>
    <row r="18" spans="1:49" x14ac:dyDescent="0.25">
      <c r="A18" s="4">
        <v>15</v>
      </c>
      <c r="B18" s="4">
        <v>11</v>
      </c>
      <c r="C18" s="3" t="s">
        <v>51</v>
      </c>
      <c r="D18" s="5">
        <v>11703</v>
      </c>
      <c r="E18" s="5">
        <v>1800</v>
      </c>
      <c r="F18" s="8">
        <f t="shared" si="1"/>
        <v>21.0654</v>
      </c>
      <c r="G18" s="8"/>
      <c r="H18" s="16"/>
      <c r="I18" s="16"/>
      <c r="J18" s="16"/>
      <c r="K18" s="4"/>
      <c r="L18" s="4">
        <f>0.9*2.6</f>
        <v>2.3400000000000003</v>
      </c>
      <c r="M18" s="4"/>
      <c r="N18" s="4"/>
      <c r="O18" s="4"/>
      <c r="P18" s="4"/>
      <c r="Q18" s="8">
        <f>(D18*E18)/1000000</f>
        <v>21.0654</v>
      </c>
      <c r="R18" s="4"/>
      <c r="S18" s="8"/>
      <c r="T18" s="4">
        <f>2*2.1*((D18+E18)/1000)-(K18+L18+M18+N18+O18+2*Y87+4*Y86)</f>
        <v>41.6526</v>
      </c>
      <c r="U18" s="8">
        <f t="shared" si="2"/>
        <v>21.0654</v>
      </c>
      <c r="V18" s="4"/>
      <c r="W18" s="4"/>
      <c r="X18" s="4"/>
      <c r="Y18" s="4"/>
      <c r="Z18" s="4"/>
      <c r="AA18" s="4"/>
      <c r="AB18" s="4">
        <f t="shared" si="3"/>
        <v>50.528399999999998</v>
      </c>
      <c r="AC18" s="4">
        <f t="shared" si="4"/>
        <v>37.025399999999998</v>
      </c>
      <c r="AD18" s="4">
        <f t="shared" si="6"/>
        <v>1.1700000000000002</v>
      </c>
      <c r="AE18" s="4"/>
      <c r="AF18" s="10"/>
      <c r="AG18" s="4">
        <v>2</v>
      </c>
      <c r="AH18" s="4"/>
      <c r="AI18" s="4">
        <v>1</v>
      </c>
      <c r="AJ18" s="4">
        <v>1</v>
      </c>
      <c r="AK18" s="4"/>
      <c r="AL18" s="4">
        <v>2</v>
      </c>
      <c r="AM18" s="4">
        <v>2</v>
      </c>
      <c r="AN18" s="4">
        <v>2</v>
      </c>
      <c r="AO18" s="4">
        <v>2</v>
      </c>
      <c r="AP18" s="4"/>
      <c r="AQ18" s="4"/>
      <c r="AR18" s="10"/>
      <c r="AS18" s="10"/>
      <c r="AT18" s="10"/>
      <c r="AU18" s="10"/>
      <c r="AV18" s="10"/>
      <c r="AW18" s="10"/>
    </row>
    <row r="19" spans="1:49" x14ac:dyDescent="0.25">
      <c r="A19" s="4">
        <v>16</v>
      </c>
      <c r="B19" s="4" t="s">
        <v>55</v>
      </c>
      <c r="C19" s="3" t="s">
        <v>14</v>
      </c>
      <c r="D19" s="5">
        <v>1200</v>
      </c>
      <c r="E19" s="5">
        <v>1800</v>
      </c>
      <c r="F19" s="8">
        <f t="shared" si="1"/>
        <v>2.16</v>
      </c>
      <c r="G19" s="8"/>
      <c r="H19" s="16"/>
      <c r="I19" s="16"/>
      <c r="J19" s="16"/>
      <c r="K19" s="4"/>
      <c r="L19" s="4"/>
      <c r="M19" s="4">
        <f>0.8*2.1</f>
        <v>1.6800000000000002</v>
      </c>
      <c r="N19" s="4"/>
      <c r="O19" s="4"/>
      <c r="P19" s="4"/>
      <c r="Q19" s="8"/>
      <c r="R19" s="4"/>
      <c r="S19" s="8"/>
      <c r="T19" s="4">
        <f t="shared" ref="T19:T20" si="7">2*2.1*((D19+E19)/1000)-(K19+L19+M19+N19+O19)</f>
        <v>10.920000000000002</v>
      </c>
      <c r="U19" s="8">
        <f t="shared" si="2"/>
        <v>2.16</v>
      </c>
      <c r="V19" s="4"/>
      <c r="W19" s="4"/>
      <c r="X19" s="4">
        <f>0.6*0.6</f>
        <v>0.36</v>
      </c>
      <c r="Y19" s="4"/>
      <c r="Z19" s="4"/>
      <c r="AA19" s="8">
        <f>(D19*E19)/1000000</f>
        <v>2.16</v>
      </c>
      <c r="AB19" s="4">
        <f t="shared" si="3"/>
        <v>8.0399999999999991</v>
      </c>
      <c r="AC19" s="4">
        <f t="shared" si="4"/>
        <v>5.0399999999999991</v>
      </c>
      <c r="AD19" s="4"/>
      <c r="AE19" s="4"/>
      <c r="AF19" s="10"/>
      <c r="AG19" s="4">
        <v>1</v>
      </c>
      <c r="AH19" s="4">
        <v>1</v>
      </c>
      <c r="AI19" s="4"/>
      <c r="AJ19" s="4">
        <v>1</v>
      </c>
      <c r="AK19" s="4">
        <v>1</v>
      </c>
      <c r="AL19" s="4">
        <v>1</v>
      </c>
      <c r="AM19" s="4">
        <v>1</v>
      </c>
      <c r="AN19" s="4">
        <v>1</v>
      </c>
      <c r="AO19" s="4">
        <v>1</v>
      </c>
      <c r="AP19" s="4"/>
      <c r="AQ19" s="4"/>
      <c r="AR19" s="10"/>
      <c r="AS19" s="10"/>
      <c r="AT19" s="10"/>
      <c r="AU19" s="10"/>
      <c r="AV19" s="10"/>
      <c r="AW19" s="10"/>
    </row>
    <row r="20" spans="1:49" x14ac:dyDescent="0.25">
      <c r="A20" s="4">
        <v>17</v>
      </c>
      <c r="B20" s="4" t="s">
        <v>56</v>
      </c>
      <c r="C20" s="3" t="s">
        <v>15</v>
      </c>
      <c r="D20" s="5">
        <v>1200</v>
      </c>
      <c r="E20" s="5">
        <v>1800</v>
      </c>
      <c r="F20" s="8">
        <f t="shared" si="1"/>
        <v>2.16</v>
      </c>
      <c r="G20" s="8"/>
      <c r="H20" s="16"/>
      <c r="I20" s="16"/>
      <c r="J20" s="16"/>
      <c r="K20" s="4"/>
      <c r="L20" s="4"/>
      <c r="M20" s="4">
        <f>0.8*2.1</f>
        <v>1.6800000000000002</v>
      </c>
      <c r="N20" s="4"/>
      <c r="O20" s="4"/>
      <c r="P20" s="4"/>
      <c r="Q20" s="8"/>
      <c r="R20" s="4"/>
      <c r="S20" s="8"/>
      <c r="T20" s="4">
        <f t="shared" si="7"/>
        <v>10.920000000000002</v>
      </c>
      <c r="U20" s="8">
        <f t="shared" si="2"/>
        <v>2.16</v>
      </c>
      <c r="V20" s="4"/>
      <c r="W20" s="4"/>
      <c r="X20" s="4">
        <f>0.6*0.6</f>
        <v>0.36</v>
      </c>
      <c r="Y20" s="4"/>
      <c r="Z20" s="4"/>
      <c r="AA20" s="8">
        <f>(D20*E20)/1000000</f>
        <v>2.16</v>
      </c>
      <c r="AB20" s="4">
        <f t="shared" si="3"/>
        <v>8.0399999999999991</v>
      </c>
      <c r="AC20" s="4">
        <f t="shared" si="4"/>
        <v>5.0399999999999991</v>
      </c>
      <c r="AD20" s="4"/>
      <c r="AE20" s="4"/>
      <c r="AF20" s="10"/>
      <c r="AG20" s="4">
        <v>1</v>
      </c>
      <c r="AH20" s="4">
        <v>1</v>
      </c>
      <c r="AI20" s="4"/>
      <c r="AJ20" s="4">
        <v>1</v>
      </c>
      <c r="AK20" s="4">
        <v>1</v>
      </c>
      <c r="AL20" s="4">
        <v>1</v>
      </c>
      <c r="AM20" s="4">
        <v>1</v>
      </c>
      <c r="AN20" s="4">
        <v>1</v>
      </c>
      <c r="AO20" s="4">
        <v>1</v>
      </c>
      <c r="AP20" s="4"/>
      <c r="AQ20" s="4"/>
      <c r="AR20" s="10"/>
      <c r="AS20" s="10"/>
      <c r="AT20" s="10"/>
      <c r="AU20" s="10"/>
      <c r="AV20" s="10"/>
      <c r="AW20" s="10"/>
    </row>
    <row r="21" spans="1:49" x14ac:dyDescent="0.25">
      <c r="A21" s="4">
        <v>18</v>
      </c>
      <c r="B21" s="4" t="s">
        <v>57</v>
      </c>
      <c r="C21" s="3" t="s">
        <v>16</v>
      </c>
      <c r="D21" s="5">
        <v>2080</v>
      </c>
      <c r="E21" s="5">
        <v>1800</v>
      </c>
      <c r="F21" s="8">
        <f t="shared" si="1"/>
        <v>3.7440000000000002</v>
      </c>
      <c r="G21" s="8"/>
      <c r="H21" s="16"/>
      <c r="I21" s="16"/>
      <c r="J21" s="16"/>
      <c r="K21" s="4"/>
      <c r="L21" s="4">
        <f>0.9*2.6</f>
        <v>2.3400000000000003</v>
      </c>
      <c r="M21" s="4"/>
      <c r="N21" s="4"/>
      <c r="O21" s="4"/>
      <c r="P21" s="4">
        <f>1.2*1.8</f>
        <v>2.16</v>
      </c>
      <c r="Q21" s="8">
        <f t="shared" ref="Q21:Q36" si="8">(D21*E21)/1000000</f>
        <v>3.7440000000000002</v>
      </c>
      <c r="R21" s="4">
        <f>((D21*2+E21*2)/1000)-0.9</f>
        <v>6.8599999999999994</v>
      </c>
      <c r="S21" s="8"/>
      <c r="T21" s="4"/>
      <c r="U21" s="8">
        <f t="shared" si="2"/>
        <v>3.7440000000000002</v>
      </c>
      <c r="V21" s="4"/>
      <c r="W21" s="4"/>
      <c r="X21" s="4"/>
      <c r="Y21" s="4"/>
      <c r="Z21" s="4"/>
      <c r="AA21" s="4"/>
      <c r="AB21" s="4">
        <f t="shared" si="3"/>
        <v>22.66</v>
      </c>
      <c r="AC21" s="4">
        <f t="shared" si="4"/>
        <v>18.78</v>
      </c>
      <c r="AD21" s="4">
        <f t="shared" si="6"/>
        <v>1.1700000000000002</v>
      </c>
      <c r="AE21" s="4">
        <f t="shared" si="5"/>
        <v>2.16</v>
      </c>
      <c r="AF21" s="10"/>
      <c r="AG21" s="4"/>
      <c r="AH21" s="4"/>
      <c r="AI21" s="4"/>
      <c r="AJ21" s="4"/>
      <c r="AK21" s="4"/>
      <c r="AL21" s="4"/>
      <c r="AM21" s="4"/>
      <c r="AN21" s="4"/>
      <c r="AO21" s="4"/>
      <c r="AP21" s="4"/>
      <c r="AQ21" s="4"/>
      <c r="AR21" s="10"/>
      <c r="AS21" s="10"/>
      <c r="AT21" s="10"/>
      <c r="AU21" s="10"/>
      <c r="AV21" s="10"/>
      <c r="AW21" s="10"/>
    </row>
    <row r="22" spans="1:49" x14ac:dyDescent="0.25">
      <c r="A22" s="4">
        <v>19</v>
      </c>
      <c r="B22" s="4" t="s">
        <v>58</v>
      </c>
      <c r="C22" s="3" t="s">
        <v>17</v>
      </c>
      <c r="D22" s="5">
        <v>1965</v>
      </c>
      <c r="E22" s="5">
        <v>1800</v>
      </c>
      <c r="F22" s="8">
        <f t="shared" si="1"/>
        <v>3.5369999999999999</v>
      </c>
      <c r="G22" s="8"/>
      <c r="H22" s="16"/>
      <c r="I22" s="16"/>
      <c r="J22" s="16"/>
      <c r="K22" s="4"/>
      <c r="L22" s="4">
        <f t="shared" ref="L22:L24" si="9">0.9*2.6</f>
        <v>2.3400000000000003</v>
      </c>
      <c r="M22" s="4"/>
      <c r="N22" s="4"/>
      <c r="O22" s="4"/>
      <c r="P22" s="4">
        <f>0.9*1.8</f>
        <v>1.62</v>
      </c>
      <c r="Q22" s="8">
        <f t="shared" si="8"/>
        <v>3.5369999999999999</v>
      </c>
      <c r="R22" s="4">
        <f>((D22*2+E22*2)/1000)-0.9</f>
        <v>6.63</v>
      </c>
      <c r="S22" s="8"/>
      <c r="T22" s="4"/>
      <c r="U22" s="8">
        <f t="shared" si="2"/>
        <v>3.5369999999999999</v>
      </c>
      <c r="V22" s="4"/>
      <c r="W22" s="4"/>
      <c r="X22" s="4"/>
      <c r="Y22" s="4"/>
      <c r="Z22" s="4"/>
      <c r="AA22" s="4"/>
      <c r="AB22" s="4">
        <f t="shared" si="3"/>
        <v>22.395</v>
      </c>
      <c r="AC22" s="4">
        <f t="shared" si="4"/>
        <v>18.63</v>
      </c>
      <c r="AD22" s="4">
        <f t="shared" si="6"/>
        <v>1.1700000000000002</v>
      </c>
      <c r="AE22" s="4">
        <f t="shared" si="5"/>
        <v>1.62</v>
      </c>
      <c r="AF22" s="10"/>
      <c r="AG22" s="4"/>
      <c r="AH22" s="4"/>
      <c r="AI22" s="4"/>
      <c r="AJ22" s="4"/>
      <c r="AK22" s="4"/>
      <c r="AL22" s="4"/>
      <c r="AM22" s="4"/>
      <c r="AN22" s="4"/>
      <c r="AO22" s="4"/>
      <c r="AP22" s="4"/>
      <c r="AQ22" s="4"/>
      <c r="AR22" s="10"/>
      <c r="AS22" s="10"/>
      <c r="AT22" s="10"/>
      <c r="AU22" s="10"/>
      <c r="AV22" s="10"/>
      <c r="AW22" s="10"/>
    </row>
    <row r="23" spans="1:49" x14ac:dyDescent="0.25">
      <c r="A23" s="4">
        <v>20</v>
      </c>
      <c r="B23" s="4" t="s">
        <v>59</v>
      </c>
      <c r="C23" s="3" t="s">
        <v>18</v>
      </c>
      <c r="D23" s="5">
        <v>1950</v>
      </c>
      <c r="E23" s="5">
        <v>1800</v>
      </c>
      <c r="F23" s="8">
        <f t="shared" si="1"/>
        <v>3.51</v>
      </c>
      <c r="G23" s="8"/>
      <c r="H23" s="16"/>
      <c r="I23" s="16"/>
      <c r="J23" s="16"/>
      <c r="K23" s="4"/>
      <c r="L23" s="4">
        <f t="shared" si="9"/>
        <v>2.3400000000000003</v>
      </c>
      <c r="M23" s="4"/>
      <c r="N23" s="4"/>
      <c r="O23" s="4"/>
      <c r="P23" s="4">
        <f t="shared" ref="P23:P24" si="10">1.2*1.8</f>
        <v>2.16</v>
      </c>
      <c r="Q23" s="8">
        <f t="shared" si="8"/>
        <v>3.51</v>
      </c>
      <c r="R23" s="4">
        <f>((D23*2+E23*2)/1000)-0.9</f>
        <v>6.6</v>
      </c>
      <c r="S23" s="8"/>
      <c r="T23" s="4"/>
      <c r="U23" s="8">
        <f t="shared" si="2"/>
        <v>3.51</v>
      </c>
      <c r="V23" s="4"/>
      <c r="W23" s="4"/>
      <c r="X23" s="4"/>
      <c r="Y23" s="4"/>
      <c r="Z23" s="4"/>
      <c r="AA23" s="4"/>
      <c r="AB23" s="4">
        <f t="shared" si="3"/>
        <v>21.75</v>
      </c>
      <c r="AC23" s="4">
        <f t="shared" si="4"/>
        <v>18</v>
      </c>
      <c r="AD23" s="4">
        <f t="shared" si="6"/>
        <v>1.1700000000000002</v>
      </c>
      <c r="AE23" s="4">
        <f t="shared" si="5"/>
        <v>2.16</v>
      </c>
      <c r="AF23" s="10"/>
      <c r="AG23" s="4"/>
      <c r="AH23" s="4"/>
      <c r="AI23" s="4"/>
      <c r="AJ23" s="4"/>
      <c r="AK23" s="4"/>
      <c r="AL23" s="4"/>
      <c r="AM23" s="4"/>
      <c r="AN23" s="4"/>
      <c r="AO23" s="4"/>
      <c r="AP23" s="4"/>
      <c r="AQ23" s="4"/>
      <c r="AR23" s="10"/>
      <c r="AS23" s="10"/>
      <c r="AT23" s="10"/>
      <c r="AU23" s="10"/>
      <c r="AV23" s="10"/>
      <c r="AW23" s="10"/>
    </row>
    <row r="24" spans="1:49" x14ac:dyDescent="0.25">
      <c r="A24" s="4">
        <v>21</v>
      </c>
      <c r="B24" s="4" t="s">
        <v>60</v>
      </c>
      <c r="C24" s="3" t="s">
        <v>106</v>
      </c>
      <c r="D24" s="5">
        <v>1950</v>
      </c>
      <c r="E24" s="5">
        <v>1800</v>
      </c>
      <c r="F24" s="8">
        <f t="shared" si="1"/>
        <v>3.51</v>
      </c>
      <c r="G24" s="8"/>
      <c r="H24" s="16"/>
      <c r="I24" s="16"/>
      <c r="J24" s="16"/>
      <c r="K24" s="4"/>
      <c r="L24" s="4">
        <f t="shared" si="9"/>
        <v>2.3400000000000003</v>
      </c>
      <c r="M24" s="4"/>
      <c r="N24" s="4"/>
      <c r="O24" s="4"/>
      <c r="P24" s="4">
        <f t="shared" si="10"/>
        <v>2.16</v>
      </c>
      <c r="Q24" s="8">
        <f t="shared" si="8"/>
        <v>3.51</v>
      </c>
      <c r="R24" s="4">
        <f>((D24*2+E24*2)/1000)-0.9</f>
        <v>6.6</v>
      </c>
      <c r="S24" s="8"/>
      <c r="T24" s="4"/>
      <c r="U24" s="8">
        <f t="shared" si="2"/>
        <v>3.51</v>
      </c>
      <c r="V24" s="4"/>
      <c r="W24" s="4"/>
      <c r="X24" s="4"/>
      <c r="Y24" s="4"/>
      <c r="Z24" s="4"/>
      <c r="AA24" s="4"/>
      <c r="AB24" s="4">
        <f t="shared" si="3"/>
        <v>21.75</v>
      </c>
      <c r="AC24" s="4">
        <f t="shared" si="4"/>
        <v>18</v>
      </c>
      <c r="AD24" s="4">
        <f t="shared" si="6"/>
        <v>1.1700000000000002</v>
      </c>
      <c r="AE24" s="4">
        <f t="shared" si="5"/>
        <v>2.16</v>
      </c>
      <c r="AF24" s="10"/>
      <c r="AG24" s="4"/>
      <c r="AH24" s="4"/>
      <c r="AI24" s="4"/>
      <c r="AJ24" s="4"/>
      <c r="AK24" s="4"/>
      <c r="AL24" s="4"/>
      <c r="AM24" s="4"/>
      <c r="AN24" s="4"/>
      <c r="AO24" s="4"/>
      <c r="AP24" s="4"/>
      <c r="AQ24" s="4"/>
      <c r="AR24" s="10"/>
      <c r="AS24" s="10"/>
      <c r="AT24" s="10"/>
      <c r="AU24" s="10"/>
      <c r="AV24" s="10"/>
      <c r="AW24" s="10"/>
    </row>
    <row r="25" spans="1:49" x14ac:dyDescent="0.25">
      <c r="A25" s="4">
        <v>22</v>
      </c>
      <c r="B25" s="4">
        <v>12</v>
      </c>
      <c r="C25" s="3" t="s">
        <v>19</v>
      </c>
      <c r="D25" s="5">
        <v>6300</v>
      </c>
      <c r="E25" s="5">
        <v>3600</v>
      </c>
      <c r="F25" s="8">
        <f t="shared" si="1"/>
        <v>22.68</v>
      </c>
      <c r="G25" s="8"/>
      <c r="H25" s="16"/>
      <c r="I25" s="16"/>
      <c r="J25" s="16"/>
      <c r="K25" s="4">
        <f>1.2*2.6</f>
        <v>3.12</v>
      </c>
      <c r="L25" s="4"/>
      <c r="M25" s="4"/>
      <c r="N25" s="4"/>
      <c r="O25" s="4"/>
      <c r="P25" s="4">
        <f>2*1.8*1.8</f>
        <v>6.48</v>
      </c>
      <c r="Q25" s="8">
        <f t="shared" si="8"/>
        <v>22.68</v>
      </c>
      <c r="R25" s="4">
        <f>((D25*2+E25*2)/1000)-1.2</f>
        <v>18.600000000000001</v>
      </c>
      <c r="S25" s="8"/>
      <c r="T25" s="4"/>
      <c r="U25" s="8">
        <f t="shared" si="2"/>
        <v>22.68</v>
      </c>
      <c r="V25" s="4"/>
      <c r="W25" s="4"/>
      <c r="X25" s="4"/>
      <c r="Y25" s="4">
        <f>2*1.8*1.8</f>
        <v>6.48</v>
      </c>
      <c r="Z25" s="4"/>
      <c r="AA25" s="4"/>
      <c r="AB25" s="4">
        <f t="shared" si="3"/>
        <v>59.699999999999996</v>
      </c>
      <c r="AC25" s="4">
        <f t="shared" si="4"/>
        <v>49.800000000000004</v>
      </c>
      <c r="AD25" s="4"/>
      <c r="AE25" s="4">
        <f t="shared" si="5"/>
        <v>6.48</v>
      </c>
      <c r="AF25" s="10"/>
      <c r="AG25" s="4"/>
      <c r="AH25" s="4"/>
      <c r="AI25" s="4"/>
      <c r="AJ25" s="4"/>
      <c r="AK25" s="4"/>
      <c r="AL25" s="4"/>
      <c r="AM25" s="4"/>
      <c r="AN25" s="4"/>
      <c r="AO25" s="4"/>
      <c r="AP25" s="4"/>
      <c r="AQ25" s="4"/>
      <c r="AR25" s="10"/>
      <c r="AS25" s="10"/>
      <c r="AT25" s="10"/>
      <c r="AU25" s="10"/>
      <c r="AV25" s="10"/>
      <c r="AW25" s="10"/>
    </row>
    <row r="26" spans="1:49" x14ac:dyDescent="0.25">
      <c r="A26" s="4">
        <v>23</v>
      </c>
      <c r="B26" s="4">
        <v>13</v>
      </c>
      <c r="C26" s="3" t="s">
        <v>117</v>
      </c>
      <c r="D26" s="5">
        <v>3135</v>
      </c>
      <c r="E26" s="5">
        <v>3715</v>
      </c>
      <c r="F26" s="8">
        <f t="shared" si="1"/>
        <v>11.646525</v>
      </c>
      <c r="G26" s="8"/>
      <c r="H26" s="16"/>
      <c r="I26" s="16"/>
      <c r="J26" s="16"/>
      <c r="K26" s="4">
        <f>1*2.6</f>
        <v>2.6</v>
      </c>
      <c r="L26" s="4"/>
      <c r="M26" s="4"/>
      <c r="N26" s="4"/>
      <c r="O26" s="4"/>
      <c r="P26" s="4">
        <f>1.2*1.8</f>
        <v>2.16</v>
      </c>
      <c r="Q26" s="8">
        <f t="shared" si="8"/>
        <v>11.646525</v>
      </c>
      <c r="R26" s="4">
        <f t="shared" ref="R26:R34" si="11">((D26*2+E26*2)/1000)-1</f>
        <v>12.7</v>
      </c>
      <c r="S26" s="8">
        <f t="shared" ref="S26:S34" si="12">(D26*E26)/1000000</f>
        <v>11.646525</v>
      </c>
      <c r="T26" s="4"/>
      <c r="U26" s="8">
        <f t="shared" si="2"/>
        <v>11.646525</v>
      </c>
      <c r="V26" s="4"/>
      <c r="W26" s="4"/>
      <c r="X26" s="4"/>
      <c r="Y26" s="4"/>
      <c r="Z26" s="4"/>
      <c r="AA26" s="4"/>
      <c r="AB26" s="4">
        <f t="shared" si="3"/>
        <v>43.19</v>
      </c>
      <c r="AC26" s="4">
        <f t="shared" si="4"/>
        <v>36.339999999999996</v>
      </c>
      <c r="AD26" s="4"/>
      <c r="AE26" s="4">
        <f t="shared" si="5"/>
        <v>2.16</v>
      </c>
      <c r="AF26" s="10"/>
      <c r="AG26" s="4"/>
      <c r="AH26" s="4"/>
      <c r="AI26" s="4"/>
      <c r="AJ26" s="4"/>
      <c r="AK26" s="4"/>
      <c r="AL26" s="4"/>
      <c r="AM26" s="4"/>
      <c r="AN26" s="4"/>
      <c r="AO26" s="4"/>
      <c r="AP26" s="4"/>
      <c r="AQ26" s="4"/>
      <c r="AR26" s="10"/>
      <c r="AS26" s="10"/>
      <c r="AT26" s="10"/>
      <c r="AU26" s="10"/>
      <c r="AV26" s="10"/>
      <c r="AW26" s="10"/>
    </row>
    <row r="27" spans="1:49" x14ac:dyDescent="0.25">
      <c r="A27" s="4">
        <v>24</v>
      </c>
      <c r="B27" s="4">
        <v>14</v>
      </c>
      <c r="C27" s="3" t="s">
        <v>111</v>
      </c>
      <c r="D27" s="5">
        <v>3135</v>
      </c>
      <c r="E27" s="5">
        <v>3520</v>
      </c>
      <c r="F27" s="8">
        <f t="shared" si="1"/>
        <v>11.0352</v>
      </c>
      <c r="G27" s="8"/>
      <c r="H27" s="16"/>
      <c r="I27" s="16"/>
      <c r="J27" s="16"/>
      <c r="K27" s="4">
        <f>1*2.6</f>
        <v>2.6</v>
      </c>
      <c r="L27" s="4"/>
      <c r="M27" s="4"/>
      <c r="N27" s="4"/>
      <c r="O27" s="4"/>
      <c r="P27" s="4">
        <f>1.2*1.8</f>
        <v>2.16</v>
      </c>
      <c r="Q27" s="8">
        <f t="shared" si="8"/>
        <v>11.0352</v>
      </c>
      <c r="R27" s="4">
        <f t="shared" si="11"/>
        <v>12.31</v>
      </c>
      <c r="S27" s="8">
        <f t="shared" si="12"/>
        <v>11.0352</v>
      </c>
      <c r="T27" s="4"/>
      <c r="U27" s="8">
        <f t="shared" si="2"/>
        <v>11.0352</v>
      </c>
      <c r="V27" s="4"/>
      <c r="W27" s="4"/>
      <c r="X27" s="4"/>
      <c r="Y27" s="4"/>
      <c r="Z27" s="4"/>
      <c r="AA27" s="4"/>
      <c r="AB27" s="4">
        <f t="shared" si="3"/>
        <v>41.825000000000003</v>
      </c>
      <c r="AC27" s="4">
        <f t="shared" si="4"/>
        <v>35.17</v>
      </c>
      <c r="AD27" s="4"/>
      <c r="AE27" s="4">
        <f t="shared" si="5"/>
        <v>2.16</v>
      </c>
      <c r="AF27" s="10"/>
      <c r="AG27" s="4"/>
      <c r="AH27" s="4"/>
      <c r="AI27" s="4"/>
      <c r="AJ27" s="4"/>
      <c r="AK27" s="4"/>
      <c r="AL27" s="4"/>
      <c r="AM27" s="4"/>
      <c r="AN27" s="4"/>
      <c r="AO27" s="4"/>
      <c r="AP27" s="4"/>
      <c r="AQ27" s="4"/>
      <c r="AR27" s="10"/>
      <c r="AS27" s="10"/>
      <c r="AT27" s="10"/>
      <c r="AU27" s="10"/>
      <c r="AV27" s="10"/>
      <c r="AW27" s="10"/>
    </row>
    <row r="28" spans="1:49" x14ac:dyDescent="0.25">
      <c r="A28" s="4">
        <v>25</v>
      </c>
      <c r="B28" s="4">
        <v>15</v>
      </c>
      <c r="C28" s="3" t="s">
        <v>22</v>
      </c>
      <c r="D28" s="5">
        <v>3135</v>
      </c>
      <c r="E28" s="5">
        <v>3670</v>
      </c>
      <c r="F28" s="8">
        <f t="shared" si="1"/>
        <v>11.50545</v>
      </c>
      <c r="G28" s="8"/>
      <c r="H28" s="16"/>
      <c r="I28" s="16"/>
      <c r="J28" s="16"/>
      <c r="K28" s="4">
        <f>1*2.6</f>
        <v>2.6</v>
      </c>
      <c r="L28" s="4"/>
      <c r="M28" s="4"/>
      <c r="N28" s="4"/>
      <c r="O28" s="4"/>
      <c r="P28" s="4">
        <f>1.2*1.8</f>
        <v>2.16</v>
      </c>
      <c r="Q28" s="8">
        <f t="shared" si="8"/>
        <v>11.50545</v>
      </c>
      <c r="R28" s="4">
        <f t="shared" si="11"/>
        <v>12.61</v>
      </c>
      <c r="S28" s="8">
        <f t="shared" si="12"/>
        <v>11.50545</v>
      </c>
      <c r="T28" s="4"/>
      <c r="U28" s="8">
        <f t="shared" si="2"/>
        <v>11.50545</v>
      </c>
      <c r="V28" s="4"/>
      <c r="W28" s="4"/>
      <c r="X28" s="4"/>
      <c r="Y28" s="4"/>
      <c r="Z28" s="4"/>
      <c r="AA28" s="4"/>
      <c r="AB28" s="4">
        <f t="shared" si="3"/>
        <v>42.875</v>
      </c>
      <c r="AC28" s="4">
        <f t="shared" si="4"/>
        <v>36.07</v>
      </c>
      <c r="AD28" s="4"/>
      <c r="AE28" s="4">
        <f t="shared" si="5"/>
        <v>2.16</v>
      </c>
      <c r="AF28" s="10"/>
      <c r="AG28" s="4"/>
      <c r="AH28" s="4"/>
      <c r="AI28" s="4"/>
      <c r="AJ28" s="4"/>
      <c r="AK28" s="4"/>
      <c r="AL28" s="4"/>
      <c r="AM28" s="4"/>
      <c r="AN28" s="4"/>
      <c r="AO28" s="4"/>
      <c r="AP28" s="4"/>
      <c r="AQ28" s="4"/>
      <c r="AR28" s="10"/>
      <c r="AS28" s="10"/>
      <c r="AT28" s="10"/>
      <c r="AU28" s="10"/>
      <c r="AV28" s="10"/>
      <c r="AW28" s="10"/>
    </row>
    <row r="29" spans="1:49" x14ac:dyDescent="0.25">
      <c r="A29" s="4">
        <v>26</v>
      </c>
      <c r="B29" s="4">
        <v>16</v>
      </c>
      <c r="C29" s="3" t="s">
        <v>26</v>
      </c>
      <c r="D29" s="5">
        <v>3135</v>
      </c>
      <c r="E29" s="5">
        <v>2400</v>
      </c>
      <c r="F29" s="8">
        <f t="shared" si="1"/>
        <v>7.524</v>
      </c>
      <c r="G29" s="8"/>
      <c r="H29" s="16"/>
      <c r="I29" s="16"/>
      <c r="J29" s="16"/>
      <c r="K29" s="4">
        <f>1*2.6</f>
        <v>2.6</v>
      </c>
      <c r="L29" s="4"/>
      <c r="M29" s="4"/>
      <c r="N29" s="4"/>
      <c r="O29" s="4"/>
      <c r="P29" s="4"/>
      <c r="Q29" s="8">
        <f t="shared" si="8"/>
        <v>7.524</v>
      </c>
      <c r="R29" s="4"/>
      <c r="S29" s="8">
        <f t="shared" si="12"/>
        <v>7.524</v>
      </c>
      <c r="T29" s="4">
        <f t="shared" ref="T29:T36" si="13">2*1.5*((D29+E29)/1000)-(K29+L29+M29+N29+O29)</f>
        <v>14.005000000000001</v>
      </c>
      <c r="U29" s="8">
        <f t="shared" si="2"/>
        <v>7.524</v>
      </c>
      <c r="V29" s="4"/>
      <c r="W29" s="4"/>
      <c r="X29" s="4"/>
      <c r="Y29" s="4"/>
      <c r="Z29" s="4"/>
      <c r="AA29" s="4"/>
      <c r="AB29" s="4">
        <f t="shared" si="3"/>
        <v>22.140000000000004</v>
      </c>
      <c r="AC29" s="4">
        <f t="shared" si="4"/>
        <v>16.605</v>
      </c>
      <c r="AD29" s="4"/>
      <c r="AE29" s="4"/>
      <c r="AF29" s="10"/>
      <c r="AG29" s="4"/>
      <c r="AH29" s="4"/>
      <c r="AI29" s="4"/>
      <c r="AJ29" s="4"/>
      <c r="AK29" s="4"/>
      <c r="AL29" s="4"/>
      <c r="AM29" s="4"/>
      <c r="AN29" s="4"/>
      <c r="AO29" s="4"/>
      <c r="AP29" s="4"/>
      <c r="AQ29" s="4"/>
      <c r="AR29" s="10"/>
      <c r="AS29" s="10"/>
      <c r="AT29" s="10"/>
      <c r="AU29" s="10"/>
      <c r="AV29" s="10"/>
      <c r="AW29" s="10"/>
    </row>
    <row r="30" spans="1:49" x14ac:dyDescent="0.25">
      <c r="A30" s="4">
        <v>27</v>
      </c>
      <c r="B30" s="4">
        <v>17</v>
      </c>
      <c r="C30" s="3" t="s">
        <v>23</v>
      </c>
      <c r="D30" s="5">
        <v>3600</v>
      </c>
      <c r="E30" s="5">
        <v>3715</v>
      </c>
      <c r="F30" s="8">
        <f t="shared" si="1"/>
        <v>13.374000000000001</v>
      </c>
      <c r="G30" s="8"/>
      <c r="H30" s="16"/>
      <c r="I30" s="16"/>
      <c r="J30" s="16"/>
      <c r="K30" s="4">
        <f>1*2.6</f>
        <v>2.6</v>
      </c>
      <c r="L30" s="4"/>
      <c r="M30" s="4"/>
      <c r="N30" s="4"/>
      <c r="O30" s="4"/>
      <c r="P30" s="4">
        <f>1.8*1.8</f>
        <v>3.24</v>
      </c>
      <c r="Q30" s="8">
        <f t="shared" si="8"/>
        <v>13.374000000000001</v>
      </c>
      <c r="R30" s="4">
        <f t="shared" si="11"/>
        <v>13.63</v>
      </c>
      <c r="S30" s="8">
        <f t="shared" si="12"/>
        <v>13.374000000000001</v>
      </c>
      <c r="T30" s="4"/>
      <c r="U30" s="8">
        <f t="shared" si="2"/>
        <v>13.374000000000001</v>
      </c>
      <c r="V30" s="4"/>
      <c r="W30" s="4"/>
      <c r="X30" s="4"/>
      <c r="Y30" s="4">
        <f>1.8*1.8</f>
        <v>3.24</v>
      </c>
      <c r="Z30" s="4"/>
      <c r="AA30" s="4"/>
      <c r="AB30" s="4">
        <f t="shared" si="3"/>
        <v>45.365000000000009</v>
      </c>
      <c r="AC30" s="4">
        <f t="shared" si="4"/>
        <v>38.049999999999997</v>
      </c>
      <c r="AD30" s="4"/>
      <c r="AE30" s="4">
        <f t="shared" si="5"/>
        <v>3.24</v>
      </c>
      <c r="AF30" s="10"/>
      <c r="AG30" s="4"/>
      <c r="AH30" s="4"/>
      <c r="AI30" s="4"/>
      <c r="AJ30" s="4"/>
      <c r="AK30" s="4"/>
      <c r="AL30" s="4"/>
      <c r="AM30" s="4"/>
      <c r="AN30" s="4"/>
      <c r="AO30" s="4"/>
      <c r="AP30" s="4"/>
      <c r="AQ30" s="4"/>
      <c r="AR30" s="10"/>
      <c r="AS30" s="10"/>
      <c r="AT30" s="10"/>
      <c r="AU30" s="10"/>
      <c r="AV30" s="10"/>
      <c r="AW30" s="10"/>
    </row>
    <row r="31" spans="1:49" x14ac:dyDescent="0.25">
      <c r="A31" s="4">
        <v>28</v>
      </c>
      <c r="B31" s="4">
        <v>18</v>
      </c>
      <c r="C31" s="3" t="s">
        <v>24</v>
      </c>
      <c r="D31" s="5">
        <v>3600</v>
      </c>
      <c r="E31" s="5">
        <v>3715</v>
      </c>
      <c r="F31" s="8">
        <f t="shared" si="1"/>
        <v>13.374000000000001</v>
      </c>
      <c r="G31" s="8"/>
      <c r="H31" s="16"/>
      <c r="I31" s="16"/>
      <c r="J31" s="16"/>
      <c r="K31" s="4">
        <f t="shared" ref="K31:K34" si="14">1*2.6</f>
        <v>2.6</v>
      </c>
      <c r="L31" s="4"/>
      <c r="M31" s="4"/>
      <c r="N31" s="4"/>
      <c r="O31" s="4"/>
      <c r="P31" s="4">
        <f>1.5*1.8</f>
        <v>2.7</v>
      </c>
      <c r="Q31" s="8">
        <f t="shared" si="8"/>
        <v>13.374000000000001</v>
      </c>
      <c r="R31" s="4">
        <f t="shared" si="11"/>
        <v>13.63</v>
      </c>
      <c r="S31" s="8">
        <f t="shared" si="12"/>
        <v>13.374000000000001</v>
      </c>
      <c r="T31" s="4"/>
      <c r="U31" s="8">
        <f t="shared" si="2"/>
        <v>13.374000000000001</v>
      </c>
      <c r="V31" s="4"/>
      <c r="W31" s="4"/>
      <c r="X31" s="4"/>
      <c r="Y31" s="4">
        <f>1.5*1.8</f>
        <v>2.7</v>
      </c>
      <c r="Z31" s="4"/>
      <c r="AA31" s="4"/>
      <c r="AB31" s="4">
        <f t="shared" si="3"/>
        <v>45.905000000000001</v>
      </c>
      <c r="AC31" s="4">
        <f t="shared" si="4"/>
        <v>38.590000000000003</v>
      </c>
      <c r="AD31" s="4"/>
      <c r="AE31" s="4">
        <f t="shared" si="5"/>
        <v>2.7</v>
      </c>
      <c r="AF31" s="10"/>
      <c r="AG31" s="4"/>
      <c r="AH31" s="4"/>
      <c r="AI31" s="4"/>
      <c r="AJ31" s="4"/>
      <c r="AK31" s="4"/>
      <c r="AL31" s="4"/>
      <c r="AM31" s="4"/>
      <c r="AN31" s="4"/>
      <c r="AO31" s="4"/>
      <c r="AP31" s="4"/>
      <c r="AQ31" s="4"/>
      <c r="AR31" s="10"/>
      <c r="AS31" s="10"/>
      <c r="AT31" s="10"/>
      <c r="AU31" s="10"/>
      <c r="AV31" s="10"/>
      <c r="AW31" s="10"/>
    </row>
    <row r="32" spans="1:49" x14ac:dyDescent="0.25">
      <c r="A32" s="4">
        <v>29</v>
      </c>
      <c r="B32" s="4">
        <v>19</v>
      </c>
      <c r="C32" s="3" t="s">
        <v>45</v>
      </c>
      <c r="D32" s="5">
        <v>3600</v>
      </c>
      <c r="E32" s="5">
        <v>2500</v>
      </c>
      <c r="F32" s="8">
        <f t="shared" si="1"/>
        <v>9</v>
      </c>
      <c r="G32" s="8"/>
      <c r="H32" s="16"/>
      <c r="I32" s="16"/>
      <c r="J32" s="16"/>
      <c r="K32" s="4">
        <f t="shared" si="14"/>
        <v>2.6</v>
      </c>
      <c r="L32" s="4"/>
      <c r="M32" s="4"/>
      <c r="N32" s="4"/>
      <c r="O32" s="4"/>
      <c r="P32" s="4">
        <f>1.8*1.8</f>
        <v>3.24</v>
      </c>
      <c r="Q32" s="8">
        <f t="shared" si="8"/>
        <v>9</v>
      </c>
      <c r="R32" s="4"/>
      <c r="S32" s="8">
        <f t="shared" si="12"/>
        <v>9</v>
      </c>
      <c r="T32" s="4">
        <f t="shared" si="13"/>
        <v>15.699999999999998</v>
      </c>
      <c r="U32" s="8">
        <f t="shared" si="2"/>
        <v>9</v>
      </c>
      <c r="V32" s="4"/>
      <c r="W32" s="4"/>
      <c r="X32" s="4"/>
      <c r="Y32" s="4"/>
      <c r="Z32" s="4"/>
      <c r="AA32" s="4"/>
      <c r="AB32" s="4">
        <f t="shared" si="3"/>
        <v>21.159999999999997</v>
      </c>
      <c r="AC32" s="4">
        <f t="shared" si="4"/>
        <v>15.059999999999995</v>
      </c>
      <c r="AD32" s="4"/>
      <c r="AE32" s="4">
        <f t="shared" si="5"/>
        <v>3.24</v>
      </c>
      <c r="AF32" s="10"/>
      <c r="AG32" s="4"/>
      <c r="AH32" s="4"/>
      <c r="AI32" s="4"/>
      <c r="AJ32" s="4"/>
      <c r="AK32" s="4"/>
      <c r="AL32" s="4"/>
      <c r="AM32" s="4"/>
      <c r="AN32" s="4"/>
      <c r="AO32" s="4"/>
      <c r="AP32" s="4"/>
      <c r="AQ32" s="4"/>
      <c r="AR32" s="10"/>
      <c r="AS32" s="10"/>
      <c r="AT32" s="10"/>
      <c r="AU32" s="10"/>
      <c r="AV32" s="10"/>
      <c r="AW32" s="10"/>
    </row>
    <row r="33" spans="1:49" x14ac:dyDescent="0.25">
      <c r="A33" s="4">
        <v>30</v>
      </c>
      <c r="B33" s="4">
        <v>20</v>
      </c>
      <c r="C33" s="3" t="s">
        <v>27</v>
      </c>
      <c r="D33" s="5">
        <v>3600</v>
      </c>
      <c r="E33" s="5">
        <v>3715</v>
      </c>
      <c r="F33" s="8">
        <f t="shared" si="1"/>
        <v>13.374000000000001</v>
      </c>
      <c r="G33" s="8"/>
      <c r="H33" s="16"/>
      <c r="I33" s="16"/>
      <c r="J33" s="16"/>
      <c r="K33" s="4">
        <f t="shared" si="14"/>
        <v>2.6</v>
      </c>
      <c r="L33" s="4"/>
      <c r="M33" s="4"/>
      <c r="N33" s="4"/>
      <c r="O33" s="4"/>
      <c r="P33" s="4">
        <f>1.8*1.8</f>
        <v>3.24</v>
      </c>
      <c r="Q33" s="8">
        <f t="shared" si="8"/>
        <v>13.374000000000001</v>
      </c>
      <c r="R33" s="4">
        <f t="shared" si="11"/>
        <v>13.63</v>
      </c>
      <c r="S33" s="8">
        <f t="shared" si="12"/>
        <v>13.374000000000001</v>
      </c>
      <c r="T33" s="4"/>
      <c r="U33" s="8">
        <f t="shared" si="2"/>
        <v>13.374000000000001</v>
      </c>
      <c r="V33" s="4"/>
      <c r="W33" s="4"/>
      <c r="X33" s="4"/>
      <c r="Y33" s="4">
        <f>1.8*1.8</f>
        <v>3.24</v>
      </c>
      <c r="Z33" s="4"/>
      <c r="AA33" s="4"/>
      <c r="AB33" s="4">
        <f t="shared" si="3"/>
        <v>45.365000000000009</v>
      </c>
      <c r="AC33" s="4">
        <f t="shared" si="4"/>
        <v>38.049999999999997</v>
      </c>
      <c r="AD33" s="4"/>
      <c r="AE33" s="4">
        <f t="shared" si="5"/>
        <v>3.24</v>
      </c>
      <c r="AF33" s="10"/>
      <c r="AG33" s="4"/>
      <c r="AH33" s="4"/>
      <c r="AI33" s="4"/>
      <c r="AJ33" s="4"/>
      <c r="AK33" s="4"/>
      <c r="AL33" s="4"/>
      <c r="AM33" s="4"/>
      <c r="AN33" s="4"/>
      <c r="AO33" s="4"/>
      <c r="AP33" s="4"/>
      <c r="AQ33" s="4"/>
      <c r="AR33" s="10"/>
      <c r="AS33" s="10"/>
      <c r="AT33" s="10"/>
      <c r="AU33" s="10"/>
      <c r="AV33" s="10"/>
      <c r="AW33" s="10"/>
    </row>
    <row r="34" spans="1:49" x14ac:dyDescent="0.25">
      <c r="A34" s="4">
        <v>31</v>
      </c>
      <c r="B34" s="4">
        <v>21</v>
      </c>
      <c r="C34" s="3" t="s">
        <v>28</v>
      </c>
      <c r="D34" s="5">
        <v>3630</v>
      </c>
      <c r="E34" s="5">
        <v>3715</v>
      </c>
      <c r="F34" s="8">
        <f t="shared" si="1"/>
        <v>13.48545</v>
      </c>
      <c r="G34" s="8"/>
      <c r="H34" s="16"/>
      <c r="I34" s="16"/>
      <c r="J34" s="16"/>
      <c r="K34" s="4">
        <f t="shared" si="14"/>
        <v>2.6</v>
      </c>
      <c r="L34" s="4"/>
      <c r="M34" s="4"/>
      <c r="N34" s="4"/>
      <c r="O34" s="4"/>
      <c r="P34" s="4">
        <f>1.5*1.8</f>
        <v>2.7</v>
      </c>
      <c r="Q34" s="8">
        <f t="shared" si="8"/>
        <v>13.48545</v>
      </c>
      <c r="R34" s="4">
        <f t="shared" si="11"/>
        <v>13.69</v>
      </c>
      <c r="S34" s="8">
        <f t="shared" si="12"/>
        <v>13.48545</v>
      </c>
      <c r="T34" s="4"/>
      <c r="U34" s="8">
        <f t="shared" si="2"/>
        <v>13.48545</v>
      </c>
      <c r="V34" s="4"/>
      <c r="W34" s="4"/>
      <c r="X34" s="4"/>
      <c r="Y34" s="4">
        <f>1.5*1.8</f>
        <v>2.7</v>
      </c>
      <c r="Z34" s="4"/>
      <c r="AA34" s="4"/>
      <c r="AB34" s="4">
        <f t="shared" si="3"/>
        <v>46.114999999999995</v>
      </c>
      <c r="AC34" s="4">
        <f t="shared" si="4"/>
        <v>38.769999999999996</v>
      </c>
      <c r="AD34" s="4"/>
      <c r="AE34" s="4">
        <f t="shared" si="5"/>
        <v>2.7</v>
      </c>
      <c r="AF34" s="10"/>
      <c r="AG34" s="4"/>
      <c r="AH34" s="4"/>
      <c r="AI34" s="4"/>
      <c r="AJ34" s="4"/>
      <c r="AK34" s="4"/>
      <c r="AL34" s="4"/>
      <c r="AM34" s="4"/>
      <c r="AN34" s="4"/>
      <c r="AO34" s="4"/>
      <c r="AP34" s="4"/>
      <c r="AQ34" s="4"/>
      <c r="AR34" s="10"/>
      <c r="AS34" s="10"/>
      <c r="AT34" s="10"/>
      <c r="AU34" s="10"/>
      <c r="AV34" s="10"/>
      <c r="AW34" s="10"/>
    </row>
    <row r="35" spans="1:49" x14ac:dyDescent="0.25">
      <c r="A35" s="4">
        <v>32</v>
      </c>
      <c r="B35" s="4">
        <v>22</v>
      </c>
      <c r="C35" s="3" t="s">
        <v>29</v>
      </c>
      <c r="D35" s="5">
        <v>5865</v>
      </c>
      <c r="E35" s="5">
        <v>6230</v>
      </c>
      <c r="F35" s="8">
        <f t="shared" si="1"/>
        <v>36.53895</v>
      </c>
      <c r="G35" s="8"/>
      <c r="H35" s="16"/>
      <c r="I35" s="16"/>
      <c r="J35" s="16"/>
      <c r="K35" s="4"/>
      <c r="L35" s="4"/>
      <c r="M35" s="4"/>
      <c r="N35" s="4"/>
      <c r="O35" s="4">
        <f>2*2.6</f>
        <v>5.2</v>
      </c>
      <c r="P35" s="4"/>
      <c r="Q35" s="8">
        <f t="shared" si="8"/>
        <v>36.53895</v>
      </c>
      <c r="R35" s="4"/>
      <c r="S35" s="8"/>
      <c r="T35" s="4">
        <f t="shared" si="13"/>
        <v>31.085000000000004</v>
      </c>
      <c r="U35" s="8">
        <f t="shared" si="2"/>
        <v>36.53895</v>
      </c>
      <c r="V35" s="4"/>
      <c r="W35" s="4"/>
      <c r="X35" s="4"/>
      <c r="Y35" s="4"/>
      <c r="Z35" s="4"/>
      <c r="AA35" s="4"/>
      <c r="AB35" s="4">
        <f t="shared" si="3"/>
        <v>48.38</v>
      </c>
      <c r="AC35" s="4">
        <f t="shared" si="4"/>
        <v>36.285000000000004</v>
      </c>
      <c r="AD35" s="4"/>
      <c r="AE35" s="4"/>
      <c r="AF35" s="10"/>
      <c r="AG35" s="4"/>
      <c r="AH35" s="4"/>
      <c r="AI35" s="4"/>
      <c r="AJ35" s="4"/>
      <c r="AK35" s="4"/>
      <c r="AL35" s="4"/>
      <c r="AM35" s="4"/>
      <c r="AN35" s="4"/>
      <c r="AO35" s="4"/>
      <c r="AP35" s="4"/>
      <c r="AQ35" s="4"/>
      <c r="AR35" s="10"/>
      <c r="AS35" s="10"/>
      <c r="AT35" s="10"/>
      <c r="AU35" s="10"/>
      <c r="AV35" s="10"/>
      <c r="AW35" s="10"/>
    </row>
    <row r="36" spans="1:49" x14ac:dyDescent="0.25">
      <c r="A36" s="4">
        <v>33</v>
      </c>
      <c r="B36" s="4">
        <v>23</v>
      </c>
      <c r="C36" s="3" t="s">
        <v>30</v>
      </c>
      <c r="D36" s="5">
        <v>7800</v>
      </c>
      <c r="E36" s="5">
        <v>7085</v>
      </c>
      <c r="F36" s="8">
        <f t="shared" si="1"/>
        <v>55.262999999999998</v>
      </c>
      <c r="G36" s="8"/>
      <c r="H36" s="16"/>
      <c r="I36" s="16"/>
      <c r="J36" s="16"/>
      <c r="K36" s="4"/>
      <c r="L36" s="4">
        <f>1.8*2.6</f>
        <v>4.6800000000000006</v>
      </c>
      <c r="M36" s="4"/>
      <c r="N36" s="4"/>
      <c r="O36" s="4"/>
      <c r="P36" s="4">
        <f>1.8*1.8</f>
        <v>3.24</v>
      </c>
      <c r="Q36" s="8">
        <f t="shared" si="8"/>
        <v>55.262999999999998</v>
      </c>
      <c r="R36" s="4"/>
      <c r="S36" s="8"/>
      <c r="T36" s="4">
        <f t="shared" si="13"/>
        <v>39.975000000000001</v>
      </c>
      <c r="U36" s="8">
        <f t="shared" si="2"/>
        <v>55.262999999999998</v>
      </c>
      <c r="V36" s="4"/>
      <c r="W36" s="4"/>
      <c r="X36" s="4"/>
      <c r="Y36" s="4">
        <f>1.8*1.8</f>
        <v>3.24</v>
      </c>
      <c r="Z36" s="4"/>
      <c r="AA36" s="4"/>
      <c r="AB36" s="4">
        <f t="shared" si="3"/>
        <v>56.29999999999999</v>
      </c>
      <c r="AC36" s="4">
        <f t="shared" si="4"/>
        <v>41.414999999999999</v>
      </c>
      <c r="AD36" s="4">
        <f t="shared" si="6"/>
        <v>2.3400000000000003</v>
      </c>
      <c r="AE36" s="4">
        <f t="shared" si="5"/>
        <v>3.24</v>
      </c>
      <c r="AF36" s="10"/>
      <c r="AG36" s="4"/>
      <c r="AH36" s="4"/>
      <c r="AI36" s="4"/>
      <c r="AJ36" s="4"/>
      <c r="AK36" s="4"/>
      <c r="AL36" s="4"/>
      <c r="AM36" s="4"/>
      <c r="AN36" s="4"/>
      <c r="AO36" s="4"/>
      <c r="AP36" s="4"/>
      <c r="AQ36" s="4"/>
      <c r="AR36" s="10"/>
      <c r="AS36" s="10"/>
      <c r="AT36" s="10"/>
      <c r="AU36" s="10"/>
      <c r="AV36" s="10"/>
      <c r="AW36" s="10"/>
    </row>
    <row r="37" spans="1:49" x14ac:dyDescent="0.25">
      <c r="A37" s="4">
        <v>34</v>
      </c>
      <c r="B37" s="4" t="s">
        <v>128</v>
      </c>
      <c r="C37" s="3" t="s">
        <v>119</v>
      </c>
      <c r="D37" s="13">
        <v>1500</v>
      </c>
      <c r="E37" s="13">
        <v>1800</v>
      </c>
      <c r="F37" s="8">
        <f t="shared" si="1"/>
        <v>2.7</v>
      </c>
      <c r="G37" s="8"/>
      <c r="H37" s="16"/>
      <c r="I37" s="16"/>
      <c r="J37" s="16"/>
      <c r="K37" s="4"/>
      <c r="L37" s="4"/>
      <c r="M37" s="4">
        <f>0.8*2.1</f>
        <v>1.6800000000000002</v>
      </c>
      <c r="N37" s="4"/>
      <c r="O37" s="4"/>
      <c r="P37" s="4"/>
      <c r="Q37" s="8"/>
      <c r="R37" s="4"/>
      <c r="S37" s="8"/>
      <c r="T37" s="4">
        <f>2*2.1*((D37+E37)/1000)-(K37+L37+M37+N37+O37)</f>
        <v>12.18</v>
      </c>
      <c r="U37" s="8">
        <f t="shared" si="2"/>
        <v>2.7</v>
      </c>
      <c r="V37" s="4"/>
      <c r="W37" s="4"/>
      <c r="X37" s="4">
        <f>0.6*0.6</f>
        <v>0.36</v>
      </c>
      <c r="Y37" s="4"/>
      <c r="Z37" s="4"/>
      <c r="AA37" s="8">
        <f>(D37*E37)/1000000</f>
        <v>2.7</v>
      </c>
      <c r="AB37" s="4">
        <f t="shared" si="3"/>
        <v>8.879999999999999</v>
      </c>
      <c r="AC37" s="4">
        <f t="shared" si="4"/>
        <v>5.5799999999999983</v>
      </c>
      <c r="AD37" s="4"/>
      <c r="AE37" s="4"/>
      <c r="AF37" s="10"/>
      <c r="AG37" s="4">
        <v>1</v>
      </c>
      <c r="AH37" s="4">
        <v>1</v>
      </c>
      <c r="AI37" s="4"/>
      <c r="AJ37" s="4">
        <v>1</v>
      </c>
      <c r="AK37" s="4">
        <v>1</v>
      </c>
      <c r="AL37" s="4">
        <v>1</v>
      </c>
      <c r="AM37" s="4">
        <v>1</v>
      </c>
      <c r="AN37" s="4">
        <v>1</v>
      </c>
      <c r="AO37" s="4">
        <v>1</v>
      </c>
      <c r="AP37" s="4"/>
      <c r="AQ37" s="4"/>
      <c r="AR37" s="10"/>
      <c r="AS37" s="10"/>
      <c r="AT37" s="10"/>
      <c r="AU37" s="10"/>
      <c r="AV37" s="10"/>
      <c r="AW37" s="10"/>
    </row>
    <row r="38" spans="1:49" x14ac:dyDescent="0.25">
      <c r="A38" s="4">
        <v>35</v>
      </c>
      <c r="B38" s="4">
        <v>24</v>
      </c>
      <c r="C38" s="3" t="s">
        <v>47</v>
      </c>
      <c r="D38" s="5">
        <v>6000</v>
      </c>
      <c r="E38" s="5">
        <v>7085</v>
      </c>
      <c r="F38" s="8">
        <f t="shared" si="1"/>
        <v>42.51</v>
      </c>
      <c r="G38" s="8"/>
      <c r="H38" s="16"/>
      <c r="I38" s="16"/>
      <c r="J38" s="16"/>
      <c r="K38" s="4"/>
      <c r="L38" s="4"/>
      <c r="M38" s="4"/>
      <c r="N38" s="4">
        <f>2*2.6</f>
        <v>5.2</v>
      </c>
      <c r="O38" s="4"/>
      <c r="P38" s="4"/>
      <c r="Q38" s="8">
        <f t="shared" ref="Q38:Q54" si="15">(D38*E38)/1000000</f>
        <v>42.51</v>
      </c>
      <c r="R38" s="4"/>
      <c r="S38" s="8">
        <f>(D38*E38)/1000000</f>
        <v>42.51</v>
      </c>
      <c r="T38" s="4"/>
      <c r="U38" s="8"/>
      <c r="V38" s="8">
        <f>(D38*E38)/1000000</f>
        <v>42.51</v>
      </c>
      <c r="W38" s="8">
        <f>2*3*((D38+E38)/1000)</f>
        <v>78.510000000000005</v>
      </c>
      <c r="X38" s="4"/>
      <c r="Y38" s="4"/>
      <c r="Z38" s="4">
        <v>1</v>
      </c>
      <c r="AA38" s="4"/>
      <c r="AB38" s="4"/>
      <c r="AC38" s="4"/>
      <c r="AD38" s="4"/>
      <c r="AE38" s="4"/>
      <c r="AF38" s="10"/>
      <c r="AG38" s="4"/>
      <c r="AH38" s="4"/>
      <c r="AI38" s="4"/>
      <c r="AJ38" s="4"/>
      <c r="AK38" s="4"/>
      <c r="AL38" s="4"/>
      <c r="AM38" s="4"/>
      <c r="AN38" s="4"/>
      <c r="AO38" s="4"/>
      <c r="AP38" s="4"/>
      <c r="AQ38" s="4"/>
      <c r="AR38" s="10"/>
      <c r="AS38" s="10"/>
      <c r="AT38" s="10"/>
      <c r="AU38" s="10"/>
      <c r="AV38" s="10"/>
      <c r="AW38" s="10"/>
    </row>
    <row r="39" spans="1:49" x14ac:dyDescent="0.25">
      <c r="A39" s="4">
        <v>36</v>
      </c>
      <c r="B39" s="4">
        <v>25</v>
      </c>
      <c r="C39" s="3" t="s">
        <v>48</v>
      </c>
      <c r="D39" s="5">
        <v>6000</v>
      </c>
      <c r="E39" s="5">
        <v>7085</v>
      </c>
      <c r="F39" s="8">
        <f t="shared" si="1"/>
        <v>42.51</v>
      </c>
      <c r="G39" s="8"/>
      <c r="H39" s="16"/>
      <c r="I39" s="16"/>
      <c r="J39" s="16"/>
      <c r="K39" s="4"/>
      <c r="L39" s="4"/>
      <c r="M39" s="4"/>
      <c r="N39" s="4">
        <f>2*2.6</f>
        <v>5.2</v>
      </c>
      <c r="O39" s="4"/>
      <c r="P39" s="4"/>
      <c r="Q39" s="8">
        <f t="shared" si="15"/>
        <v>42.51</v>
      </c>
      <c r="R39" s="4"/>
      <c r="S39" s="8">
        <f>(D39*E39)/1000000</f>
        <v>42.51</v>
      </c>
      <c r="T39" s="4"/>
      <c r="U39" s="8"/>
      <c r="V39" s="8">
        <f>(D39*E39)/1000000</f>
        <v>42.51</v>
      </c>
      <c r="W39" s="8">
        <f>2*3*((D39+E39)/1000)</f>
        <v>78.510000000000005</v>
      </c>
      <c r="X39" s="4"/>
      <c r="Y39" s="4"/>
      <c r="Z39" s="4">
        <v>1</v>
      </c>
      <c r="AA39" s="4"/>
      <c r="AB39" s="4"/>
      <c r="AC39" s="4"/>
      <c r="AD39" s="4"/>
      <c r="AE39" s="4"/>
      <c r="AF39" s="10"/>
      <c r="AG39" s="4"/>
      <c r="AH39" s="4"/>
      <c r="AI39" s="4"/>
      <c r="AJ39" s="4"/>
      <c r="AK39" s="4"/>
      <c r="AL39" s="4"/>
      <c r="AM39" s="4"/>
      <c r="AN39" s="4"/>
      <c r="AO39" s="4"/>
      <c r="AP39" s="4"/>
      <c r="AQ39" s="4"/>
      <c r="AR39" s="10"/>
      <c r="AS39" s="10"/>
      <c r="AT39" s="10"/>
      <c r="AU39" s="10"/>
      <c r="AV39" s="10"/>
      <c r="AW39" s="10"/>
    </row>
    <row r="40" spans="1:49" x14ac:dyDescent="0.25">
      <c r="A40" s="4">
        <v>37</v>
      </c>
      <c r="B40" s="4">
        <v>26</v>
      </c>
      <c r="C40" s="3" t="s">
        <v>49</v>
      </c>
      <c r="D40" s="5">
        <v>6000</v>
      </c>
      <c r="E40" s="5">
        <v>7085</v>
      </c>
      <c r="F40" s="8">
        <f t="shared" si="1"/>
        <v>42.51</v>
      </c>
      <c r="G40" s="8"/>
      <c r="H40" s="16"/>
      <c r="I40" s="16"/>
      <c r="J40" s="16"/>
      <c r="K40" s="4"/>
      <c r="L40" s="4"/>
      <c r="M40" s="4"/>
      <c r="N40" s="4">
        <f>2*2.6</f>
        <v>5.2</v>
      </c>
      <c r="O40" s="4"/>
      <c r="P40" s="4"/>
      <c r="Q40" s="8">
        <f t="shared" si="15"/>
        <v>42.51</v>
      </c>
      <c r="R40" s="4"/>
      <c r="S40" s="8">
        <f>(D40*E40)/1000000</f>
        <v>42.51</v>
      </c>
      <c r="T40" s="4"/>
      <c r="U40" s="8"/>
      <c r="V40" s="8">
        <f>(D40*E40)/1000000</f>
        <v>42.51</v>
      </c>
      <c r="W40" s="8">
        <f>2*3*((D40+E40)/1000)</f>
        <v>78.510000000000005</v>
      </c>
      <c r="X40" s="4"/>
      <c r="Y40" s="4"/>
      <c r="Z40" s="4">
        <v>1</v>
      </c>
      <c r="AA40" s="4"/>
      <c r="AB40" s="4"/>
      <c r="AC40" s="4"/>
      <c r="AD40" s="4"/>
      <c r="AE40" s="4"/>
      <c r="AF40" s="10"/>
      <c r="AG40" s="4"/>
      <c r="AH40" s="4"/>
      <c r="AI40" s="4"/>
      <c r="AJ40" s="4"/>
      <c r="AK40" s="4"/>
      <c r="AL40" s="4"/>
      <c r="AM40" s="4"/>
      <c r="AN40" s="4"/>
      <c r="AO40" s="4"/>
      <c r="AP40" s="4"/>
      <c r="AQ40" s="4"/>
      <c r="AR40" s="10"/>
      <c r="AS40" s="10"/>
      <c r="AT40" s="10"/>
      <c r="AU40" s="10"/>
      <c r="AV40" s="10"/>
      <c r="AW40" s="10"/>
    </row>
    <row r="41" spans="1:49" x14ac:dyDescent="0.25">
      <c r="A41" s="4">
        <v>38</v>
      </c>
      <c r="B41" s="4">
        <v>27</v>
      </c>
      <c r="C41" s="3" t="s">
        <v>50</v>
      </c>
      <c r="D41" s="5">
        <v>6000</v>
      </c>
      <c r="E41" s="5">
        <v>7085</v>
      </c>
      <c r="F41" s="8">
        <f t="shared" si="1"/>
        <v>42.51</v>
      </c>
      <c r="G41" s="8"/>
      <c r="H41" s="16"/>
      <c r="I41" s="16"/>
      <c r="J41" s="16"/>
      <c r="K41" s="4"/>
      <c r="L41" s="4"/>
      <c r="M41" s="4"/>
      <c r="N41" s="4">
        <f>2*2.6</f>
        <v>5.2</v>
      </c>
      <c r="O41" s="4"/>
      <c r="P41" s="4"/>
      <c r="Q41" s="8">
        <f t="shared" si="15"/>
        <v>42.51</v>
      </c>
      <c r="R41" s="4"/>
      <c r="S41" s="8">
        <f>(D41*E41)/1000000</f>
        <v>42.51</v>
      </c>
      <c r="T41" s="4"/>
      <c r="U41" s="8"/>
      <c r="V41" s="8">
        <f>(D41*E41)/1000000</f>
        <v>42.51</v>
      </c>
      <c r="W41" s="8">
        <f>2*3*((D41+E41)/1000)</f>
        <v>78.510000000000005</v>
      </c>
      <c r="X41" s="4"/>
      <c r="Y41" s="4"/>
      <c r="Z41" s="4">
        <v>1</v>
      </c>
      <c r="AA41" s="4"/>
      <c r="AB41" s="4"/>
      <c r="AC41" s="4"/>
      <c r="AD41" s="4"/>
      <c r="AE41" s="4"/>
      <c r="AF41" s="10"/>
      <c r="AG41" s="4"/>
      <c r="AH41" s="4"/>
      <c r="AI41" s="4"/>
      <c r="AJ41" s="4"/>
      <c r="AK41" s="4"/>
      <c r="AL41" s="4"/>
      <c r="AM41" s="4"/>
      <c r="AN41" s="4"/>
      <c r="AO41" s="4"/>
      <c r="AP41" s="4"/>
      <c r="AQ41" s="4"/>
      <c r="AR41" s="10"/>
      <c r="AS41" s="10"/>
      <c r="AT41" s="10"/>
      <c r="AU41" s="10"/>
      <c r="AV41" s="10"/>
      <c r="AW41" s="10"/>
    </row>
    <row r="42" spans="1:49" x14ac:dyDescent="0.25">
      <c r="A42" s="4">
        <v>39</v>
      </c>
      <c r="B42" s="4">
        <v>28</v>
      </c>
      <c r="C42" s="3" t="s">
        <v>31</v>
      </c>
      <c r="D42" s="5">
        <v>4950</v>
      </c>
      <c r="E42" s="5">
        <v>7200</v>
      </c>
      <c r="F42" s="8">
        <f t="shared" si="1"/>
        <v>35.64</v>
      </c>
      <c r="G42" s="8"/>
      <c r="H42" s="16"/>
      <c r="I42" s="16"/>
      <c r="J42" s="16"/>
      <c r="K42" s="4">
        <f>0.9*2.6</f>
        <v>2.3400000000000003</v>
      </c>
      <c r="L42" s="4"/>
      <c r="M42" s="4"/>
      <c r="N42" s="4"/>
      <c r="O42" s="4"/>
      <c r="P42" s="4">
        <f>3*1.8*1.8</f>
        <v>9.7200000000000006</v>
      </c>
      <c r="Q42" s="8">
        <f t="shared" si="15"/>
        <v>35.64</v>
      </c>
      <c r="R42" s="4">
        <f>((D42*2+E42*2)/1000)-0.9</f>
        <v>23.400000000000002</v>
      </c>
      <c r="S42" s="8"/>
      <c r="T42" s="4"/>
      <c r="U42" s="8">
        <f t="shared" ref="U42:U54" si="16">(D42*E42)/1000000</f>
        <v>35.64</v>
      </c>
      <c r="V42" s="4"/>
      <c r="W42" s="4"/>
      <c r="X42" s="4"/>
      <c r="Y42" s="4"/>
      <c r="Z42" s="4"/>
      <c r="AA42" s="4"/>
      <c r="AB42" s="4">
        <f t="shared" ref="AB42:AB54" si="17">(2*3.5*((D42+E42)/1000))-(Z42+X42+T42+P42+O42+N42+M42+L42+K42)</f>
        <v>72.989999999999995</v>
      </c>
      <c r="AC42" s="4">
        <f t="shared" ref="AC42:AC54" si="18">(2*3*((D42+E42)/1000))-(Z42+X42+T42+P42+O42+N42+M42+L42+K42)</f>
        <v>60.84</v>
      </c>
      <c r="AD42" s="4"/>
      <c r="AE42" s="4">
        <f t="shared" si="5"/>
        <v>9.7200000000000006</v>
      </c>
      <c r="AF42" s="10"/>
      <c r="AG42" s="4"/>
      <c r="AH42" s="4"/>
      <c r="AI42" s="4"/>
      <c r="AJ42" s="4"/>
      <c r="AK42" s="4"/>
      <c r="AL42" s="4"/>
      <c r="AM42" s="4"/>
      <c r="AN42" s="4"/>
      <c r="AO42" s="4"/>
      <c r="AP42" s="4"/>
      <c r="AQ42" s="4"/>
      <c r="AR42" s="10"/>
      <c r="AS42" s="10"/>
      <c r="AT42" s="10"/>
      <c r="AU42" s="10"/>
      <c r="AV42" s="10"/>
      <c r="AW42" s="10"/>
    </row>
    <row r="43" spans="1:49" x14ac:dyDescent="0.25">
      <c r="A43" s="4">
        <v>40</v>
      </c>
      <c r="B43" s="4">
        <v>29</v>
      </c>
      <c r="C43" s="3" t="s">
        <v>34</v>
      </c>
      <c r="D43" s="5">
        <v>3370</v>
      </c>
      <c r="E43" s="5">
        <v>3215</v>
      </c>
      <c r="F43" s="8">
        <f t="shared" si="1"/>
        <v>10.83455</v>
      </c>
      <c r="G43" s="8"/>
      <c r="H43" s="16"/>
      <c r="I43" s="16"/>
      <c r="J43" s="16"/>
      <c r="K43" s="4">
        <f>0.9*2.6</f>
        <v>2.3400000000000003</v>
      </c>
      <c r="L43" s="4"/>
      <c r="M43" s="4"/>
      <c r="N43" s="4"/>
      <c r="O43" s="4"/>
      <c r="P43" s="4">
        <f>1.5*1.8</f>
        <v>2.7</v>
      </c>
      <c r="Q43" s="8">
        <f t="shared" si="15"/>
        <v>10.83455</v>
      </c>
      <c r="R43" s="4"/>
      <c r="S43" s="8"/>
      <c r="T43" s="4">
        <f>2*1.5*((D43+E43)/1000)-(K43+L43+M43+N43+O43)</f>
        <v>17.414999999999999</v>
      </c>
      <c r="U43" s="8">
        <f t="shared" si="16"/>
        <v>10.83455</v>
      </c>
      <c r="V43" s="4"/>
      <c r="W43" s="4"/>
      <c r="X43" s="4"/>
      <c r="Y43" s="4"/>
      <c r="Z43" s="4"/>
      <c r="AA43" s="4"/>
      <c r="AB43" s="4">
        <f t="shared" si="17"/>
        <v>23.64</v>
      </c>
      <c r="AC43" s="4">
        <f t="shared" si="18"/>
        <v>17.055</v>
      </c>
      <c r="AD43" s="4"/>
      <c r="AE43" s="4">
        <f t="shared" si="5"/>
        <v>2.7</v>
      </c>
      <c r="AF43" s="10"/>
      <c r="AG43" s="4"/>
      <c r="AH43" s="4"/>
      <c r="AI43" s="4"/>
      <c r="AJ43" s="4"/>
      <c r="AK43" s="4"/>
      <c r="AL43" s="4"/>
      <c r="AM43" s="4"/>
      <c r="AN43" s="4"/>
      <c r="AO43" s="4"/>
      <c r="AP43" s="4"/>
      <c r="AQ43" s="4"/>
      <c r="AR43" s="10"/>
      <c r="AS43" s="10"/>
      <c r="AT43" s="10"/>
      <c r="AU43" s="10"/>
      <c r="AV43" s="10"/>
      <c r="AW43" s="10"/>
    </row>
    <row r="44" spans="1:49" x14ac:dyDescent="0.25">
      <c r="A44" s="4">
        <v>41</v>
      </c>
      <c r="B44" s="4">
        <v>30</v>
      </c>
      <c r="C44" s="3" t="s">
        <v>32</v>
      </c>
      <c r="D44" s="5">
        <v>3160</v>
      </c>
      <c r="E44" s="5">
        <v>3215</v>
      </c>
      <c r="F44" s="8">
        <f t="shared" si="1"/>
        <v>10.1594</v>
      </c>
      <c r="G44" s="8"/>
      <c r="H44" s="16"/>
      <c r="I44" s="16"/>
      <c r="J44" s="16"/>
      <c r="K44" s="4">
        <f>1.2*2.6</f>
        <v>3.12</v>
      </c>
      <c r="L44" s="4"/>
      <c r="M44" s="4"/>
      <c r="N44" s="4"/>
      <c r="O44" s="4"/>
      <c r="P44" s="4"/>
      <c r="Q44" s="8">
        <f t="shared" si="15"/>
        <v>10.1594</v>
      </c>
      <c r="R44" s="4">
        <f>((D44*2+E44*2)/1000)-1.2</f>
        <v>11.55</v>
      </c>
      <c r="S44" s="8"/>
      <c r="T44" s="4"/>
      <c r="U44" s="8">
        <f t="shared" si="16"/>
        <v>10.1594</v>
      </c>
      <c r="V44" s="4"/>
      <c r="W44" s="4"/>
      <c r="X44" s="4"/>
      <c r="Y44" s="4"/>
      <c r="Z44" s="4"/>
      <c r="AA44" s="4"/>
      <c r="AB44" s="4">
        <f t="shared" si="17"/>
        <v>41.505000000000003</v>
      </c>
      <c r="AC44" s="4">
        <f t="shared" si="18"/>
        <v>35.130000000000003</v>
      </c>
      <c r="AD44" s="4"/>
      <c r="AE44" s="4"/>
      <c r="AF44" s="10"/>
      <c r="AG44" s="4"/>
      <c r="AH44" s="4"/>
      <c r="AI44" s="4"/>
      <c r="AJ44" s="4"/>
      <c r="AK44" s="4"/>
      <c r="AL44" s="4"/>
      <c r="AM44" s="4"/>
      <c r="AN44" s="4"/>
      <c r="AO44" s="4"/>
      <c r="AP44" s="4"/>
      <c r="AQ44" s="4"/>
      <c r="AR44" s="10"/>
      <c r="AS44" s="10"/>
      <c r="AT44" s="10"/>
      <c r="AU44" s="10"/>
      <c r="AV44" s="10"/>
      <c r="AW44" s="10"/>
    </row>
    <row r="45" spans="1:49" x14ac:dyDescent="0.25">
      <c r="A45" s="4">
        <v>42</v>
      </c>
      <c r="B45" s="4">
        <v>31</v>
      </c>
      <c r="C45" s="3" t="s">
        <v>33</v>
      </c>
      <c r="D45" s="5">
        <v>3045</v>
      </c>
      <c r="E45" s="5">
        <v>3215</v>
      </c>
      <c r="F45" s="8">
        <f t="shared" si="1"/>
        <v>9.7896750000000008</v>
      </c>
      <c r="G45" s="8"/>
      <c r="H45" s="16"/>
      <c r="I45" s="16"/>
      <c r="J45" s="16"/>
      <c r="K45" s="4">
        <f>0.9*2.6</f>
        <v>2.3400000000000003</v>
      </c>
      <c r="L45" s="4"/>
      <c r="M45" s="4"/>
      <c r="N45" s="4"/>
      <c r="O45" s="4"/>
      <c r="P45" s="4"/>
      <c r="Q45" s="8">
        <f t="shared" si="15"/>
        <v>9.7896750000000008</v>
      </c>
      <c r="R45" s="4">
        <f>((D45*2+E45*2)/1000)-0.9</f>
        <v>11.62</v>
      </c>
      <c r="S45" s="8"/>
      <c r="T45" s="4"/>
      <c r="U45" s="8">
        <f t="shared" si="16"/>
        <v>9.7896750000000008</v>
      </c>
      <c r="V45" s="4"/>
      <c r="W45" s="4"/>
      <c r="X45" s="4"/>
      <c r="Y45" s="4"/>
      <c r="Z45" s="4"/>
      <c r="AA45" s="4"/>
      <c r="AB45" s="4">
        <f t="shared" si="17"/>
        <v>41.48</v>
      </c>
      <c r="AC45" s="4">
        <f t="shared" si="18"/>
        <v>35.22</v>
      </c>
      <c r="AD45" s="4"/>
      <c r="AE45" s="4"/>
      <c r="AF45" s="10"/>
      <c r="AG45" s="4"/>
      <c r="AH45" s="4"/>
      <c r="AI45" s="4"/>
      <c r="AJ45" s="4"/>
      <c r="AK45" s="4"/>
      <c r="AL45" s="4"/>
      <c r="AM45" s="4"/>
      <c r="AN45" s="4"/>
      <c r="AO45" s="4"/>
      <c r="AP45" s="4"/>
      <c r="AQ45" s="4"/>
      <c r="AR45" s="10"/>
      <c r="AS45" s="10"/>
      <c r="AT45" s="10"/>
      <c r="AU45" s="10"/>
      <c r="AV45" s="10"/>
      <c r="AW45" s="10"/>
    </row>
    <row r="46" spans="1:49" x14ac:dyDescent="0.25">
      <c r="A46" s="4">
        <v>43</v>
      </c>
      <c r="B46" s="4">
        <v>32</v>
      </c>
      <c r="C46" s="3" t="s">
        <v>35</v>
      </c>
      <c r="D46" s="5">
        <v>3000</v>
      </c>
      <c r="E46" s="5">
        <v>3215</v>
      </c>
      <c r="F46" s="8">
        <f t="shared" si="1"/>
        <v>9.6449999999999996</v>
      </c>
      <c r="G46" s="8"/>
      <c r="H46" s="16"/>
      <c r="I46" s="16"/>
      <c r="J46" s="16"/>
      <c r="K46" s="4">
        <f>0.9*2.6</f>
        <v>2.3400000000000003</v>
      </c>
      <c r="L46" s="4"/>
      <c r="M46" s="4"/>
      <c r="N46" s="4"/>
      <c r="O46" s="4"/>
      <c r="P46" s="4">
        <f>1.5*1.8</f>
        <v>2.7</v>
      </c>
      <c r="Q46" s="8">
        <f t="shared" si="15"/>
        <v>9.6449999999999996</v>
      </c>
      <c r="R46" s="4"/>
      <c r="S46" s="8"/>
      <c r="T46" s="4">
        <f>2*1.5*((D46+E46)/1000)-(K46+L46+M46+N46+O46)</f>
        <v>16.305</v>
      </c>
      <c r="U46" s="8">
        <f t="shared" si="16"/>
        <v>9.6449999999999996</v>
      </c>
      <c r="V46" s="4"/>
      <c r="W46" s="4"/>
      <c r="X46" s="4"/>
      <c r="Y46" s="4"/>
      <c r="Z46" s="4"/>
      <c r="AA46" s="4"/>
      <c r="AB46" s="4">
        <f t="shared" si="17"/>
        <v>22.159999999999997</v>
      </c>
      <c r="AC46" s="4">
        <f t="shared" si="18"/>
        <v>15.945</v>
      </c>
      <c r="AD46" s="4"/>
      <c r="AE46" s="4">
        <f t="shared" si="5"/>
        <v>2.7</v>
      </c>
      <c r="AF46" s="10"/>
      <c r="AG46" s="4"/>
      <c r="AH46" s="4"/>
      <c r="AI46" s="4"/>
      <c r="AJ46" s="4"/>
      <c r="AK46" s="4"/>
      <c r="AL46" s="4"/>
      <c r="AM46" s="4"/>
      <c r="AN46" s="4"/>
      <c r="AO46" s="4"/>
      <c r="AP46" s="4"/>
      <c r="AQ46" s="4"/>
      <c r="AR46" s="10"/>
      <c r="AS46" s="10"/>
      <c r="AT46" s="10"/>
      <c r="AU46" s="10"/>
      <c r="AV46" s="10"/>
      <c r="AW46" s="10"/>
    </row>
    <row r="47" spans="1:49" x14ac:dyDescent="0.25">
      <c r="A47" s="4">
        <v>44</v>
      </c>
      <c r="B47" s="4" t="s">
        <v>61</v>
      </c>
      <c r="C47" s="3" t="s">
        <v>36</v>
      </c>
      <c r="D47" s="5">
        <v>15788</v>
      </c>
      <c r="E47" s="5">
        <v>1376</v>
      </c>
      <c r="F47" s="8">
        <f t="shared" si="1"/>
        <v>21.724288000000001</v>
      </c>
      <c r="G47" s="8"/>
      <c r="H47" s="16"/>
      <c r="I47" s="16"/>
      <c r="J47" s="16"/>
      <c r="K47" s="4"/>
      <c r="L47" s="4"/>
      <c r="M47" s="4"/>
      <c r="N47" s="4"/>
      <c r="O47" s="4"/>
      <c r="P47" s="4">
        <f>5*1.8*1.8</f>
        <v>16.2</v>
      </c>
      <c r="Q47" s="8">
        <f t="shared" si="15"/>
        <v>21.724288000000001</v>
      </c>
      <c r="R47" s="4"/>
      <c r="S47" s="8"/>
      <c r="T47" s="4">
        <f>2*1.5*((D47+E47)/1000)-(K47+L47+M47+N47+O47)</f>
        <v>51.492000000000004</v>
      </c>
      <c r="U47" s="8">
        <f t="shared" si="16"/>
        <v>21.724288000000001</v>
      </c>
      <c r="V47" s="4"/>
      <c r="W47" s="4"/>
      <c r="X47" s="4"/>
      <c r="Y47" s="4"/>
      <c r="Z47" s="4"/>
      <c r="AA47" s="4"/>
      <c r="AB47" s="4">
        <f t="shared" si="17"/>
        <v>52.456000000000003</v>
      </c>
      <c r="AC47" s="4">
        <f t="shared" si="18"/>
        <v>35.292000000000002</v>
      </c>
      <c r="AD47" s="4"/>
      <c r="AE47" s="4">
        <f t="shared" si="5"/>
        <v>16.2</v>
      </c>
      <c r="AF47" s="10"/>
      <c r="AG47" s="4"/>
      <c r="AH47" s="4"/>
      <c r="AI47" s="4"/>
      <c r="AJ47" s="4"/>
      <c r="AK47" s="4"/>
      <c r="AL47" s="4"/>
      <c r="AM47" s="4"/>
      <c r="AN47" s="4"/>
      <c r="AO47" s="4"/>
      <c r="AP47" s="4"/>
      <c r="AQ47" s="4"/>
      <c r="AR47" s="10"/>
      <c r="AS47" s="10"/>
      <c r="AT47" s="10"/>
      <c r="AU47" s="10"/>
      <c r="AV47" s="10"/>
      <c r="AW47" s="10"/>
    </row>
    <row r="48" spans="1:49" x14ac:dyDescent="0.25">
      <c r="A48" s="4">
        <v>45</v>
      </c>
      <c r="B48" s="4" t="s">
        <v>62</v>
      </c>
      <c r="C48" s="3" t="s">
        <v>37</v>
      </c>
      <c r="D48" s="5">
        <v>2020</v>
      </c>
      <c r="E48" s="5">
        <v>8295</v>
      </c>
      <c r="F48" s="8">
        <f t="shared" si="1"/>
        <v>16.7559</v>
      </c>
      <c r="G48" s="8"/>
      <c r="H48" s="16"/>
      <c r="I48" s="16"/>
      <c r="J48" s="16"/>
      <c r="K48" s="4"/>
      <c r="L48" s="4"/>
      <c r="M48" s="4"/>
      <c r="N48" s="4"/>
      <c r="O48" s="4"/>
      <c r="P48" s="4">
        <f>1.8*1.8</f>
        <v>3.24</v>
      </c>
      <c r="Q48" s="8">
        <f t="shared" si="15"/>
        <v>16.7559</v>
      </c>
      <c r="R48" s="4"/>
      <c r="S48" s="8"/>
      <c r="T48" s="4">
        <f>2*1.5*((D48+E48)/1000)-(K48+L48+M48+N48+O48+2*1.5)</f>
        <v>27.945</v>
      </c>
      <c r="U48" s="8">
        <f t="shared" si="16"/>
        <v>16.7559</v>
      </c>
      <c r="V48" s="4"/>
      <c r="W48" s="4"/>
      <c r="X48" s="4"/>
      <c r="Y48" s="4"/>
      <c r="Z48" s="4"/>
      <c r="AA48" s="4"/>
      <c r="AB48" s="4">
        <f t="shared" si="17"/>
        <v>41.019999999999996</v>
      </c>
      <c r="AC48" s="4">
        <f t="shared" si="18"/>
        <v>30.704999999999998</v>
      </c>
      <c r="AD48" s="4"/>
      <c r="AE48" s="4">
        <f t="shared" si="5"/>
        <v>3.24</v>
      </c>
      <c r="AF48" s="10"/>
      <c r="AG48" s="4"/>
      <c r="AH48" s="4"/>
      <c r="AI48" s="4"/>
      <c r="AJ48" s="4"/>
      <c r="AK48" s="4"/>
      <c r="AL48" s="4"/>
      <c r="AM48" s="4"/>
      <c r="AN48" s="4"/>
      <c r="AO48" s="4"/>
      <c r="AP48" s="4"/>
      <c r="AQ48" s="4"/>
      <c r="AR48" s="10"/>
      <c r="AS48" s="10"/>
      <c r="AT48" s="10"/>
      <c r="AU48" s="10"/>
      <c r="AV48" s="10"/>
      <c r="AW48" s="10"/>
    </row>
    <row r="49" spans="1:49" x14ac:dyDescent="0.25">
      <c r="A49" s="4">
        <v>46</v>
      </c>
      <c r="B49" s="4" t="s">
        <v>63</v>
      </c>
      <c r="C49" s="3" t="s">
        <v>38</v>
      </c>
      <c r="D49" s="5">
        <v>34356</v>
      </c>
      <c r="E49" s="5">
        <v>2400</v>
      </c>
      <c r="F49" s="8">
        <f t="shared" si="1"/>
        <v>82.454400000000007</v>
      </c>
      <c r="G49" s="8"/>
      <c r="H49" s="16"/>
      <c r="I49" s="16"/>
      <c r="J49" s="16"/>
      <c r="K49" s="4">
        <f>3*1.8*2.6</f>
        <v>14.040000000000001</v>
      </c>
      <c r="L49" s="4"/>
      <c r="M49" s="4"/>
      <c r="N49" s="4"/>
      <c r="O49" s="4">
        <f>2*2.6</f>
        <v>5.2</v>
      </c>
      <c r="P49" s="4">
        <f>1.5*1.8</f>
        <v>2.7</v>
      </c>
      <c r="Q49" s="8">
        <f t="shared" si="15"/>
        <v>82.454400000000007</v>
      </c>
      <c r="R49" s="4"/>
      <c r="S49" s="8">
        <f>9.2*2.4</f>
        <v>22.08</v>
      </c>
      <c r="T49" s="4">
        <f>2*1.5*((D49+E49)/1000)-(K49+L49+M49+N49+O49+Y82+2*Y84+Y85+2*Y86+Y88+2.4*1.5+3*1.5+2*1.5)</f>
        <v>56.527999999999992</v>
      </c>
      <c r="U49" s="8">
        <f t="shared" si="16"/>
        <v>82.454400000000007</v>
      </c>
      <c r="V49" s="4"/>
      <c r="W49" s="4"/>
      <c r="X49" s="4"/>
      <c r="Y49" s="4"/>
      <c r="Z49" s="4"/>
      <c r="AA49" s="4"/>
      <c r="AB49" s="4">
        <f t="shared" si="17"/>
        <v>178.82400000000001</v>
      </c>
      <c r="AC49" s="4">
        <f t="shared" si="18"/>
        <v>142.06799999999998</v>
      </c>
      <c r="AD49" s="4"/>
      <c r="AE49" s="4">
        <f t="shared" si="5"/>
        <v>2.7</v>
      </c>
      <c r="AF49" s="10"/>
      <c r="AG49" s="4"/>
      <c r="AH49" s="4"/>
      <c r="AI49" s="4"/>
      <c r="AJ49" s="4"/>
      <c r="AK49" s="4"/>
      <c r="AL49" s="4"/>
      <c r="AM49" s="4"/>
      <c r="AN49" s="4"/>
      <c r="AO49" s="4"/>
      <c r="AP49" s="4"/>
      <c r="AQ49" s="4"/>
      <c r="AR49" s="10"/>
      <c r="AS49" s="10"/>
      <c r="AT49" s="10"/>
      <c r="AU49" s="10"/>
      <c r="AV49" s="10"/>
      <c r="AW49" s="10"/>
    </row>
    <row r="50" spans="1:49" x14ac:dyDescent="0.25">
      <c r="A50" s="4">
        <v>47</v>
      </c>
      <c r="B50" s="4" t="s">
        <v>64</v>
      </c>
      <c r="C50" s="3" t="s">
        <v>39</v>
      </c>
      <c r="D50" s="5">
        <v>3000</v>
      </c>
      <c r="E50" s="5">
        <v>15050</v>
      </c>
      <c r="F50" s="8">
        <f t="shared" si="1"/>
        <v>45.15</v>
      </c>
      <c r="G50" s="8"/>
      <c r="H50" s="16"/>
      <c r="I50" s="16"/>
      <c r="J50" s="16"/>
      <c r="K50" s="4"/>
      <c r="L50" s="4"/>
      <c r="M50" s="4"/>
      <c r="N50" s="4"/>
      <c r="O50" s="4">
        <f>2*2.6</f>
        <v>5.2</v>
      </c>
      <c r="P50" s="4"/>
      <c r="Q50" s="8">
        <f t="shared" si="15"/>
        <v>45.15</v>
      </c>
      <c r="R50" s="4"/>
      <c r="S50" s="8"/>
      <c r="T50" s="4">
        <f>2*1.5*((D50+E50)/1000)-(K50+L50+M50+N50+O50+Y86+Y89+Y84)</f>
        <v>38.290000000000006</v>
      </c>
      <c r="U50" s="8">
        <f t="shared" si="16"/>
        <v>45.15</v>
      </c>
      <c r="V50" s="4"/>
      <c r="W50" s="4"/>
      <c r="X50" s="4"/>
      <c r="Y50" s="4"/>
      <c r="Z50" s="4"/>
      <c r="AA50" s="4"/>
      <c r="AB50" s="4">
        <f t="shared" si="17"/>
        <v>82.86</v>
      </c>
      <c r="AC50" s="4">
        <f t="shared" si="18"/>
        <v>64.81</v>
      </c>
      <c r="AD50" s="4"/>
      <c r="AE50" s="4"/>
      <c r="AF50" s="10"/>
      <c r="AG50" s="4"/>
      <c r="AH50" s="4"/>
      <c r="AI50" s="4"/>
      <c r="AJ50" s="4"/>
      <c r="AK50" s="4"/>
      <c r="AL50" s="4"/>
      <c r="AM50" s="4"/>
      <c r="AN50" s="4"/>
      <c r="AO50" s="4"/>
      <c r="AP50" s="4"/>
      <c r="AQ50" s="4"/>
      <c r="AR50" s="10"/>
      <c r="AS50" s="10"/>
      <c r="AT50" s="10"/>
      <c r="AU50" s="10"/>
      <c r="AV50" s="10"/>
      <c r="AW50" s="10"/>
    </row>
    <row r="51" spans="1:49" x14ac:dyDescent="0.25">
      <c r="A51" s="4">
        <v>48</v>
      </c>
      <c r="B51" s="4" t="s">
        <v>65</v>
      </c>
      <c r="C51" s="3" t="s">
        <v>40</v>
      </c>
      <c r="D51" s="5">
        <v>2400</v>
      </c>
      <c r="E51" s="5">
        <v>15050</v>
      </c>
      <c r="F51" s="8">
        <f t="shared" si="1"/>
        <v>36.119999999999997</v>
      </c>
      <c r="G51" s="8"/>
      <c r="H51" s="16"/>
      <c r="I51" s="16"/>
      <c r="J51" s="16"/>
      <c r="K51" s="4"/>
      <c r="L51" s="4"/>
      <c r="M51" s="4"/>
      <c r="N51" s="4"/>
      <c r="O51" s="4"/>
      <c r="P51" s="4">
        <f>2*1.8*1.8</f>
        <v>6.48</v>
      </c>
      <c r="Q51" s="8">
        <f t="shared" si="15"/>
        <v>36.119999999999997</v>
      </c>
      <c r="R51" s="4"/>
      <c r="S51" s="8">
        <f>(D51*E51)/1000000</f>
        <v>36.119999999999997</v>
      </c>
      <c r="T51" s="4">
        <f>2*1.5*((D51+E51)/1000)-(K51+L51+M51+N51+O51+3*Y85)</f>
        <v>44.55</v>
      </c>
      <c r="U51" s="8">
        <f t="shared" si="16"/>
        <v>36.119999999999997</v>
      </c>
      <c r="V51" s="4"/>
      <c r="W51" s="4"/>
      <c r="X51" s="4"/>
      <c r="Y51" s="4"/>
      <c r="Z51" s="4"/>
      <c r="AA51" s="4"/>
      <c r="AB51" s="4">
        <f t="shared" si="17"/>
        <v>71.11999999999999</v>
      </c>
      <c r="AC51" s="4">
        <f t="shared" si="18"/>
        <v>53.669999999999987</v>
      </c>
      <c r="AD51" s="4"/>
      <c r="AE51" s="4">
        <f t="shared" si="5"/>
        <v>6.48</v>
      </c>
      <c r="AF51" s="10"/>
      <c r="AG51" s="4"/>
      <c r="AH51" s="4"/>
      <c r="AI51" s="4"/>
      <c r="AJ51" s="4"/>
      <c r="AK51" s="4"/>
      <c r="AL51" s="4"/>
      <c r="AM51" s="4"/>
      <c r="AN51" s="4"/>
      <c r="AO51" s="4"/>
      <c r="AP51" s="4"/>
      <c r="AQ51" s="4"/>
      <c r="AR51" s="10"/>
      <c r="AS51" s="10"/>
      <c r="AT51" s="10"/>
      <c r="AU51" s="10"/>
      <c r="AV51" s="10"/>
      <c r="AW51" s="10"/>
    </row>
    <row r="52" spans="1:49" x14ac:dyDescent="0.25">
      <c r="A52" s="4">
        <v>49</v>
      </c>
      <c r="B52" s="4" t="s">
        <v>66</v>
      </c>
      <c r="C52" s="3" t="s">
        <v>41</v>
      </c>
      <c r="D52" s="5">
        <v>34356</v>
      </c>
      <c r="E52" s="5">
        <v>2400</v>
      </c>
      <c r="F52" s="8">
        <f t="shared" si="1"/>
        <v>82.454400000000007</v>
      </c>
      <c r="G52" s="8"/>
      <c r="H52" s="16"/>
      <c r="I52" s="16"/>
      <c r="J52" s="16"/>
      <c r="K52" s="4"/>
      <c r="L52" s="4"/>
      <c r="M52" s="4"/>
      <c r="N52" s="4"/>
      <c r="O52" s="4">
        <f>2*2*2.6</f>
        <v>10.4</v>
      </c>
      <c r="P52" s="4">
        <f>1.8*1.8</f>
        <v>3.24</v>
      </c>
      <c r="Q52" s="8">
        <f t="shared" si="15"/>
        <v>82.454400000000007</v>
      </c>
      <c r="R52" s="4"/>
      <c r="S52" s="8">
        <f>24.5*2.4</f>
        <v>58.8</v>
      </c>
      <c r="T52" s="4">
        <f>2*1.5*((D52+E52)/1000)-(K52+L52+M52+N52+O52+2*Y86+5*Y85+4*Y88+2.4*1.5+3*1.5+1.6*1.5)</f>
        <v>50.887999999999998</v>
      </c>
      <c r="U52" s="8">
        <f t="shared" si="16"/>
        <v>82.454400000000007</v>
      </c>
      <c r="V52" s="4"/>
      <c r="W52" s="4"/>
      <c r="X52" s="4"/>
      <c r="Y52" s="4"/>
      <c r="Z52" s="4"/>
      <c r="AA52" s="4"/>
      <c r="AB52" s="4">
        <f t="shared" si="17"/>
        <v>192.76400000000001</v>
      </c>
      <c r="AC52" s="4">
        <f t="shared" si="18"/>
        <v>156.00799999999998</v>
      </c>
      <c r="AD52" s="4"/>
      <c r="AE52" s="4">
        <f t="shared" si="5"/>
        <v>3.24</v>
      </c>
      <c r="AF52" s="10"/>
      <c r="AG52" s="4"/>
      <c r="AH52" s="4"/>
      <c r="AI52" s="4"/>
      <c r="AJ52" s="4"/>
      <c r="AK52" s="4"/>
      <c r="AL52" s="4"/>
      <c r="AM52" s="4"/>
      <c r="AN52" s="4"/>
      <c r="AO52" s="4"/>
      <c r="AP52" s="4"/>
      <c r="AQ52" s="4"/>
      <c r="AR52" s="10"/>
      <c r="AS52" s="10"/>
      <c r="AT52" s="10"/>
      <c r="AU52" s="10"/>
      <c r="AV52" s="10"/>
      <c r="AW52" s="10"/>
    </row>
    <row r="53" spans="1:49" x14ac:dyDescent="0.25">
      <c r="A53" s="4">
        <v>50</v>
      </c>
      <c r="B53" s="4" t="s">
        <v>67</v>
      </c>
      <c r="C53" s="3" t="s">
        <v>42</v>
      </c>
      <c r="D53" s="5">
        <v>1615</v>
      </c>
      <c r="E53" s="5">
        <v>7545</v>
      </c>
      <c r="F53" s="8">
        <f t="shared" si="1"/>
        <v>12.185174999999999</v>
      </c>
      <c r="G53" s="8"/>
      <c r="H53" s="16"/>
      <c r="I53" s="16"/>
      <c r="J53" s="16"/>
      <c r="K53" s="4"/>
      <c r="L53" s="4"/>
      <c r="M53" s="4"/>
      <c r="N53" s="4"/>
      <c r="O53" s="4"/>
      <c r="P53" s="4"/>
      <c r="Q53" s="8">
        <f t="shared" si="15"/>
        <v>12.185174999999999</v>
      </c>
      <c r="R53" s="4"/>
      <c r="S53" s="8"/>
      <c r="T53" s="4">
        <f>2*1.5*((0+E53)/1000)-(K53+L53+M53+N53+O53)</f>
        <v>22.634999999999998</v>
      </c>
      <c r="U53" s="8">
        <f t="shared" si="16"/>
        <v>12.185174999999999</v>
      </c>
      <c r="V53" s="4"/>
      <c r="W53" s="4"/>
      <c r="X53" s="4"/>
      <c r="Y53" s="4"/>
      <c r="Z53" s="4"/>
      <c r="AA53" s="4"/>
      <c r="AB53" s="4">
        <f t="shared" si="17"/>
        <v>41.485000000000007</v>
      </c>
      <c r="AC53" s="4">
        <f t="shared" si="18"/>
        <v>32.325000000000003</v>
      </c>
      <c r="AD53" s="4"/>
      <c r="AE53" s="4"/>
      <c r="AF53" s="10"/>
      <c r="AG53" s="4"/>
      <c r="AH53" s="4"/>
      <c r="AI53" s="4"/>
      <c r="AJ53" s="4"/>
      <c r="AK53" s="4"/>
      <c r="AL53" s="4"/>
      <c r="AM53" s="4"/>
      <c r="AN53" s="4"/>
      <c r="AO53" s="4"/>
      <c r="AP53" s="4"/>
      <c r="AQ53" s="4"/>
      <c r="AR53" s="10"/>
      <c r="AS53" s="10"/>
      <c r="AT53" s="10"/>
      <c r="AU53" s="10"/>
      <c r="AV53" s="10"/>
      <c r="AW53" s="10"/>
    </row>
    <row r="54" spans="1:49" x14ac:dyDescent="0.25">
      <c r="A54" s="4">
        <v>51</v>
      </c>
      <c r="B54" s="4" t="s">
        <v>68</v>
      </c>
      <c r="C54" s="3" t="s">
        <v>43</v>
      </c>
      <c r="D54" s="5">
        <v>35650</v>
      </c>
      <c r="E54" s="5">
        <v>2020</v>
      </c>
      <c r="F54" s="8">
        <f t="shared" si="1"/>
        <v>72.013000000000005</v>
      </c>
      <c r="G54" s="8"/>
      <c r="H54" s="16"/>
      <c r="I54" s="16"/>
      <c r="J54" s="16"/>
      <c r="K54" s="4"/>
      <c r="L54" s="4">
        <f>0.9*2.6</f>
        <v>2.3400000000000003</v>
      </c>
      <c r="M54" s="4"/>
      <c r="N54" s="4"/>
      <c r="O54" s="4"/>
      <c r="P54" s="4"/>
      <c r="Q54" s="8">
        <f t="shared" si="15"/>
        <v>72.013000000000005</v>
      </c>
      <c r="R54" s="4"/>
      <c r="S54" s="8"/>
      <c r="T54" s="4">
        <f>2*1.5*((D54+E54)/1000)-(K54+L54+M54+N54+O54+Y86)</f>
        <v>108.33</v>
      </c>
      <c r="U54" s="8">
        <f t="shared" si="16"/>
        <v>72.013000000000005</v>
      </c>
      <c r="V54" s="4"/>
      <c r="W54" s="4"/>
      <c r="X54" s="4"/>
      <c r="Y54" s="4"/>
      <c r="Z54" s="4"/>
      <c r="AA54" s="4"/>
      <c r="AB54" s="4">
        <f t="shared" si="17"/>
        <v>153.01999999999998</v>
      </c>
      <c r="AC54" s="4">
        <f t="shared" si="18"/>
        <v>115.35000000000001</v>
      </c>
      <c r="AD54" s="4">
        <f t="shared" si="6"/>
        <v>1.1700000000000002</v>
      </c>
      <c r="AE54" s="4"/>
      <c r="AF54" s="10"/>
      <c r="AG54" s="4"/>
      <c r="AH54" s="4"/>
      <c r="AI54" s="4"/>
      <c r="AJ54" s="4"/>
      <c r="AK54" s="4"/>
      <c r="AL54" s="4"/>
      <c r="AM54" s="4"/>
      <c r="AN54" s="4"/>
      <c r="AO54" s="4"/>
      <c r="AP54" s="4"/>
      <c r="AQ54" s="4"/>
      <c r="AR54" s="10"/>
      <c r="AS54" s="10"/>
      <c r="AT54" s="10"/>
      <c r="AU54" s="10"/>
      <c r="AV54" s="10"/>
      <c r="AW54" s="10"/>
    </row>
    <row r="55" spans="1:49" x14ac:dyDescent="0.25">
      <c r="A55" s="4">
        <v>52</v>
      </c>
      <c r="B55" s="4"/>
      <c r="C55" s="3" t="s">
        <v>97</v>
      </c>
      <c r="D55" s="13"/>
      <c r="E55" s="13"/>
      <c r="F55" s="8"/>
      <c r="G55" s="8"/>
      <c r="H55" s="16"/>
      <c r="I55" s="16"/>
      <c r="J55" s="16"/>
      <c r="K55" s="4"/>
      <c r="L55" s="4"/>
      <c r="M55" s="4"/>
      <c r="N55" s="4"/>
      <c r="O55" s="4">
        <f>2*2.6</f>
        <v>5.2</v>
      </c>
      <c r="P55" s="4"/>
      <c r="Q55" s="4"/>
      <c r="R55" s="4"/>
      <c r="S55" s="4"/>
      <c r="T55" s="4"/>
      <c r="U55" s="8"/>
      <c r="V55" s="4"/>
      <c r="W55" s="4"/>
      <c r="X55" s="4"/>
      <c r="Y55" s="4"/>
      <c r="Z55" s="4"/>
      <c r="AA55" s="4"/>
      <c r="AB55" s="4"/>
      <c r="AC55" s="4"/>
      <c r="AD55" s="4"/>
      <c r="AE55" s="4"/>
      <c r="AF55" s="10"/>
      <c r="AG55" s="4"/>
      <c r="AH55" s="4"/>
      <c r="AI55" s="4"/>
      <c r="AJ55" s="4"/>
      <c r="AK55" s="4"/>
      <c r="AL55" s="4"/>
      <c r="AM55" s="4"/>
      <c r="AN55" s="4"/>
      <c r="AO55" s="4"/>
      <c r="AP55" s="4"/>
      <c r="AQ55" s="4"/>
      <c r="AR55" s="10"/>
      <c r="AS55" s="10"/>
      <c r="AT55" s="10"/>
      <c r="AU55" s="10"/>
      <c r="AV55" s="10"/>
      <c r="AW55" s="10"/>
    </row>
    <row r="56" spans="1:49" x14ac:dyDescent="0.25">
      <c r="A56" s="4"/>
      <c r="B56" s="4"/>
      <c r="C56" s="20" t="s">
        <v>126</v>
      </c>
      <c r="D56" s="5"/>
      <c r="E56" s="5"/>
      <c r="F56" s="9">
        <f>SUM(F4:F55)</f>
        <v>1179.9601130000001</v>
      </c>
      <c r="G56" s="9"/>
      <c r="H56" s="17"/>
      <c r="I56" s="17"/>
      <c r="J56" s="17"/>
      <c r="K56" s="9">
        <f t="shared" ref="K56:AQ56" si="19">SUM(K4:K55)</f>
        <v>64.480000000000032</v>
      </c>
      <c r="L56" s="9">
        <f t="shared" si="19"/>
        <v>33.28</v>
      </c>
      <c r="M56" s="9">
        <f t="shared" si="19"/>
        <v>10.08</v>
      </c>
      <c r="N56" s="9">
        <f t="shared" si="19"/>
        <v>26</v>
      </c>
      <c r="O56" s="9">
        <f t="shared" si="19"/>
        <v>31.2</v>
      </c>
      <c r="P56" s="9">
        <f t="shared" si="19"/>
        <v>123.12</v>
      </c>
      <c r="Q56" s="9">
        <f t="shared" si="19"/>
        <v>1166.6401129999999</v>
      </c>
      <c r="R56" s="9">
        <f t="shared" si="19"/>
        <v>281.87999999999994</v>
      </c>
      <c r="S56" s="9">
        <f t="shared" si="19"/>
        <v>443.83462499999996</v>
      </c>
      <c r="T56" s="9">
        <f t="shared" si="19"/>
        <v>795.87060000000008</v>
      </c>
      <c r="U56" s="9">
        <f t="shared" si="19"/>
        <v>972.12011300000006</v>
      </c>
      <c r="V56" s="9">
        <f t="shared" si="19"/>
        <v>207.83999999999997</v>
      </c>
      <c r="W56" s="9">
        <f t="shared" si="19"/>
        <v>387.84</v>
      </c>
      <c r="X56" s="9">
        <f t="shared" si="19"/>
        <v>2.1599999999999997</v>
      </c>
      <c r="Y56" s="9">
        <f t="shared" si="19"/>
        <v>43.20000000000001</v>
      </c>
      <c r="Z56" s="9">
        <f t="shared" si="19"/>
        <v>5</v>
      </c>
      <c r="AA56" s="9">
        <f t="shared" si="19"/>
        <v>13.32</v>
      </c>
      <c r="AB56" s="9">
        <f t="shared" si="19"/>
        <v>2206.1274000000003</v>
      </c>
      <c r="AC56" s="17">
        <f t="shared" si="19"/>
        <v>1740.2533999999996</v>
      </c>
      <c r="AD56" s="17">
        <f t="shared" si="19"/>
        <v>16.64</v>
      </c>
      <c r="AE56" s="17">
        <f t="shared" si="19"/>
        <v>123.12</v>
      </c>
      <c r="AF56" s="9">
        <f t="shared" si="19"/>
        <v>10.724</v>
      </c>
      <c r="AG56" s="9">
        <f t="shared" si="19"/>
        <v>8</v>
      </c>
      <c r="AH56" s="9">
        <f t="shared" si="19"/>
        <v>6</v>
      </c>
      <c r="AI56" s="9">
        <f t="shared" si="19"/>
        <v>1</v>
      </c>
      <c r="AJ56" s="9">
        <f t="shared" si="19"/>
        <v>7</v>
      </c>
      <c r="AK56" s="9">
        <f t="shared" si="19"/>
        <v>6</v>
      </c>
      <c r="AL56" s="9">
        <f t="shared" si="19"/>
        <v>8</v>
      </c>
      <c r="AM56" s="9">
        <f t="shared" si="19"/>
        <v>8</v>
      </c>
      <c r="AN56" s="9">
        <f t="shared" si="19"/>
        <v>8</v>
      </c>
      <c r="AO56" s="9">
        <f t="shared" si="19"/>
        <v>8</v>
      </c>
      <c r="AP56" s="9">
        <f t="shared" si="19"/>
        <v>0</v>
      </c>
      <c r="AQ56" s="9">
        <f t="shared" si="19"/>
        <v>0</v>
      </c>
      <c r="AR56" s="10"/>
      <c r="AS56" s="10"/>
      <c r="AT56" s="10"/>
      <c r="AU56" s="10"/>
      <c r="AV56" s="10"/>
      <c r="AW56" s="10"/>
    </row>
    <row r="57" spans="1:49" x14ac:dyDescent="0.25">
      <c r="A57" s="4"/>
      <c r="B57" s="4"/>
      <c r="C57" s="3"/>
      <c r="D57" s="5"/>
      <c r="E57" s="5"/>
      <c r="F57" s="5"/>
      <c r="G57" s="13"/>
      <c r="H57" s="4"/>
      <c r="I57" s="4"/>
      <c r="J57" s="4"/>
      <c r="K57" s="4"/>
      <c r="L57" s="4"/>
      <c r="M57" s="4"/>
      <c r="N57" s="4"/>
      <c r="O57" s="4"/>
      <c r="P57" s="4"/>
      <c r="Q57" s="4"/>
      <c r="R57" s="4"/>
      <c r="S57" s="4"/>
      <c r="T57" s="4"/>
      <c r="U57" s="4"/>
      <c r="V57" s="4"/>
      <c r="W57" s="4"/>
      <c r="X57" s="4"/>
      <c r="Y57" s="4"/>
      <c r="Z57" s="4"/>
      <c r="AA57" s="4"/>
      <c r="AB57" s="4"/>
      <c r="AC57" s="4"/>
      <c r="AD57" s="4"/>
      <c r="AE57" s="4"/>
      <c r="AF57" s="10"/>
      <c r="AG57" s="10"/>
      <c r="AH57" s="10"/>
      <c r="AI57" s="10"/>
      <c r="AJ57" s="10"/>
      <c r="AK57" s="10"/>
      <c r="AL57" s="10"/>
      <c r="AM57" s="10"/>
      <c r="AN57" s="10"/>
      <c r="AO57" s="10"/>
      <c r="AP57" s="10"/>
      <c r="AQ57" s="10"/>
      <c r="AR57" s="10"/>
      <c r="AS57" s="10"/>
      <c r="AT57" s="10"/>
      <c r="AU57" s="10"/>
      <c r="AV57" s="10"/>
      <c r="AW57" s="10"/>
    </row>
    <row r="58" spans="1:49" x14ac:dyDescent="0.25">
      <c r="A58" s="4"/>
      <c r="B58" s="4"/>
      <c r="C58" s="3"/>
      <c r="D58" s="5"/>
      <c r="E58" s="5"/>
      <c r="F58" s="5"/>
      <c r="G58" s="13"/>
      <c r="H58" s="4"/>
      <c r="I58" s="4"/>
      <c r="J58" s="4"/>
      <c r="K58" s="4"/>
      <c r="L58" s="4"/>
      <c r="M58" s="4"/>
      <c r="N58" s="4"/>
      <c r="O58" s="4"/>
      <c r="P58" s="4"/>
      <c r="Q58" s="4"/>
      <c r="R58" s="4"/>
      <c r="S58" s="4"/>
      <c r="T58" s="4"/>
      <c r="U58" s="4"/>
      <c r="V58" s="4"/>
      <c r="W58" s="4"/>
      <c r="X58" s="4"/>
      <c r="Y58" s="4"/>
      <c r="Z58" s="4"/>
      <c r="AA58" s="4"/>
      <c r="AB58" s="4"/>
      <c r="AC58" s="4"/>
      <c r="AD58" s="4"/>
      <c r="AE58" s="4"/>
      <c r="AF58" s="10"/>
      <c r="AG58" s="10"/>
      <c r="AH58" s="10"/>
      <c r="AI58" s="10"/>
      <c r="AJ58" s="10"/>
      <c r="AK58" s="10"/>
      <c r="AL58" s="10"/>
      <c r="AM58" s="10"/>
      <c r="AN58" s="10"/>
      <c r="AO58" s="10"/>
      <c r="AP58" s="10"/>
      <c r="AQ58" s="10"/>
      <c r="AR58" s="10"/>
      <c r="AS58" s="10"/>
      <c r="AT58" s="10"/>
      <c r="AU58" s="10"/>
      <c r="AV58" s="10"/>
      <c r="AW58" s="10"/>
    </row>
    <row r="59" spans="1:49" x14ac:dyDescent="0.25">
      <c r="A59" s="4"/>
      <c r="B59" s="4"/>
      <c r="C59" s="3"/>
      <c r="D59" s="5"/>
      <c r="E59" s="5"/>
      <c r="F59" s="5"/>
      <c r="G59" s="13"/>
      <c r="H59" s="4"/>
      <c r="I59" s="4"/>
      <c r="J59" s="4"/>
      <c r="K59" s="4"/>
      <c r="L59" s="4"/>
      <c r="M59" s="4"/>
      <c r="N59" s="4"/>
      <c r="O59" s="4"/>
      <c r="P59" s="4"/>
      <c r="Q59" s="4"/>
      <c r="R59" s="4"/>
      <c r="S59" s="4"/>
      <c r="T59" s="4"/>
      <c r="U59" s="4"/>
      <c r="V59" s="4"/>
      <c r="W59" s="4"/>
      <c r="X59" s="4"/>
      <c r="Y59" s="4"/>
      <c r="Z59" s="4"/>
      <c r="AA59" s="4"/>
      <c r="AB59" s="4"/>
      <c r="AC59" s="4"/>
      <c r="AD59" s="4"/>
      <c r="AE59" s="4"/>
      <c r="AF59" s="10"/>
      <c r="AG59" s="10"/>
      <c r="AH59" s="10"/>
      <c r="AI59" s="10"/>
      <c r="AJ59" s="10"/>
      <c r="AK59" s="10"/>
      <c r="AL59" s="10"/>
      <c r="AM59" s="10"/>
      <c r="AN59" s="10"/>
      <c r="AO59" s="10"/>
      <c r="AP59" s="10"/>
      <c r="AQ59" s="10"/>
      <c r="AR59" s="10"/>
      <c r="AS59" s="10"/>
      <c r="AT59" s="10"/>
      <c r="AU59" s="10"/>
      <c r="AV59" s="10"/>
      <c r="AW59" s="10"/>
    </row>
    <row r="60" spans="1:49" x14ac:dyDescent="0.25">
      <c r="A60" s="4"/>
      <c r="B60" s="4"/>
      <c r="C60" s="3"/>
      <c r="D60" s="5"/>
      <c r="E60" s="5"/>
      <c r="F60" s="5"/>
      <c r="G60" s="13"/>
      <c r="H60" s="4"/>
      <c r="I60" s="4"/>
      <c r="J60" s="4"/>
      <c r="K60" s="4"/>
      <c r="L60" s="4"/>
      <c r="M60" s="4"/>
      <c r="N60" s="4"/>
      <c r="O60" s="4"/>
      <c r="P60" s="4"/>
      <c r="Q60" s="4"/>
      <c r="R60" s="4"/>
      <c r="S60" s="4"/>
      <c r="T60" s="4"/>
      <c r="U60" s="4"/>
      <c r="V60" s="4"/>
      <c r="W60" s="4"/>
      <c r="X60" s="4"/>
      <c r="Y60" s="4"/>
      <c r="Z60" s="4"/>
      <c r="AA60" s="4"/>
      <c r="AB60" s="4"/>
      <c r="AC60" s="4"/>
      <c r="AD60" s="4"/>
      <c r="AE60" s="4"/>
      <c r="AF60" s="10"/>
      <c r="AG60" s="10"/>
      <c r="AH60" s="10"/>
      <c r="AI60" s="10"/>
      <c r="AJ60" s="10"/>
      <c r="AK60" s="10"/>
      <c r="AL60" s="10"/>
      <c r="AM60" s="10"/>
      <c r="AN60" s="10"/>
      <c r="AO60" s="10"/>
      <c r="AP60" s="10"/>
      <c r="AQ60" s="10"/>
      <c r="AR60" s="10"/>
      <c r="AS60" s="10"/>
      <c r="AT60" s="10"/>
      <c r="AU60" s="10"/>
      <c r="AV60" s="10"/>
      <c r="AW60" s="10"/>
    </row>
    <row r="61" spans="1:49" x14ac:dyDescent="0.25">
      <c r="A61" s="4"/>
      <c r="B61" s="4"/>
      <c r="C61" s="3"/>
      <c r="D61" s="5"/>
      <c r="E61" s="5"/>
      <c r="F61" s="5"/>
      <c r="G61" s="13"/>
      <c r="H61" s="4"/>
      <c r="I61" s="4"/>
      <c r="J61" s="4"/>
      <c r="K61" s="4"/>
      <c r="L61" s="4"/>
      <c r="M61" s="4"/>
      <c r="N61" s="4"/>
      <c r="O61" s="4"/>
      <c r="P61" s="4"/>
      <c r="Q61" s="4"/>
      <c r="R61" s="4"/>
      <c r="S61" s="4"/>
      <c r="T61" s="4"/>
      <c r="U61" s="4"/>
      <c r="V61" s="4"/>
      <c r="W61" s="4"/>
      <c r="X61" s="4"/>
      <c r="Y61" s="4"/>
      <c r="Z61" s="4"/>
      <c r="AA61" s="4"/>
      <c r="AB61" s="4"/>
      <c r="AC61" s="4"/>
      <c r="AD61" s="4"/>
      <c r="AE61" s="4"/>
      <c r="AF61" s="10"/>
      <c r="AG61" s="10"/>
      <c r="AH61" s="10"/>
      <c r="AI61" s="10"/>
      <c r="AJ61" s="10"/>
      <c r="AK61" s="10"/>
      <c r="AL61" s="10"/>
      <c r="AM61" s="10"/>
      <c r="AN61" s="10"/>
      <c r="AO61" s="10"/>
      <c r="AP61" s="10"/>
      <c r="AQ61" s="10"/>
      <c r="AR61" s="10"/>
      <c r="AS61" s="10"/>
      <c r="AT61" s="10"/>
      <c r="AU61" s="10"/>
      <c r="AV61" s="10"/>
      <c r="AW61" s="10"/>
    </row>
    <row r="62" spans="1:49" x14ac:dyDescent="0.25">
      <c r="A62" s="4"/>
      <c r="B62" s="4"/>
      <c r="C62" s="3"/>
      <c r="D62" s="5"/>
      <c r="E62" s="5"/>
      <c r="F62" s="5"/>
      <c r="G62" s="13"/>
      <c r="H62" s="4"/>
      <c r="I62" s="4"/>
      <c r="J62" s="4"/>
      <c r="K62" s="4"/>
      <c r="L62" s="4"/>
      <c r="M62" s="4"/>
      <c r="N62" s="4"/>
      <c r="O62" s="4"/>
      <c r="P62" s="4"/>
      <c r="Q62" s="4"/>
      <c r="R62" s="4"/>
      <c r="S62" s="4"/>
      <c r="T62" s="4"/>
      <c r="U62" s="4"/>
      <c r="V62" s="4"/>
      <c r="W62" s="4"/>
      <c r="X62" s="4"/>
      <c r="Y62" s="4"/>
      <c r="Z62" s="4"/>
      <c r="AA62" s="4"/>
      <c r="AB62" s="4"/>
      <c r="AC62" s="4"/>
      <c r="AD62" s="4"/>
      <c r="AE62" s="4"/>
      <c r="AF62" s="10"/>
      <c r="AG62" s="10"/>
      <c r="AH62" s="10"/>
      <c r="AI62" s="10"/>
      <c r="AJ62" s="10"/>
      <c r="AK62" s="10"/>
      <c r="AL62" s="10"/>
      <c r="AM62" s="10"/>
      <c r="AN62" s="10"/>
      <c r="AO62" s="10"/>
      <c r="AP62" s="10"/>
      <c r="AQ62" s="10"/>
      <c r="AR62" s="10"/>
      <c r="AS62" s="10"/>
      <c r="AT62" s="10"/>
      <c r="AU62" s="10"/>
      <c r="AV62" s="10"/>
      <c r="AW62" s="10"/>
    </row>
    <row r="63" spans="1:49" x14ac:dyDescent="0.25">
      <c r="A63" s="4"/>
      <c r="B63" s="4"/>
      <c r="C63" s="3"/>
      <c r="D63" s="5"/>
      <c r="E63" s="5"/>
      <c r="F63" s="5"/>
      <c r="G63" s="13"/>
      <c r="H63" s="4"/>
      <c r="I63" s="4"/>
      <c r="J63" s="4"/>
      <c r="K63" s="4"/>
      <c r="L63" s="4"/>
      <c r="M63" s="4"/>
      <c r="N63" s="4"/>
      <c r="O63" s="4"/>
      <c r="P63" s="4"/>
      <c r="Q63" s="4"/>
      <c r="R63" s="4"/>
      <c r="S63" s="4"/>
      <c r="T63" s="4"/>
      <c r="U63" s="4"/>
      <c r="V63" s="4"/>
      <c r="W63" s="4"/>
      <c r="X63" s="4"/>
      <c r="Y63" s="4"/>
      <c r="Z63" s="4"/>
      <c r="AA63" s="4"/>
      <c r="AB63" s="4"/>
      <c r="AC63" s="4"/>
      <c r="AD63" s="4"/>
      <c r="AE63" s="4"/>
      <c r="AF63" s="10"/>
      <c r="AG63" s="10"/>
      <c r="AH63" s="10"/>
      <c r="AI63" s="10"/>
      <c r="AJ63" s="10"/>
      <c r="AK63" s="10"/>
      <c r="AL63" s="10"/>
      <c r="AM63" s="10"/>
      <c r="AN63" s="10"/>
      <c r="AO63" s="10"/>
      <c r="AP63" s="10"/>
      <c r="AQ63" s="10"/>
      <c r="AR63" s="10"/>
      <c r="AS63" s="10"/>
      <c r="AT63" s="10"/>
      <c r="AU63" s="10"/>
      <c r="AV63" s="10"/>
      <c r="AW63" s="10"/>
    </row>
    <row r="64" spans="1:49" x14ac:dyDescent="0.25">
      <c r="A64" s="4"/>
      <c r="B64" s="4"/>
      <c r="C64" s="3"/>
      <c r="D64" s="5"/>
      <c r="E64" s="5"/>
      <c r="F64" s="5"/>
      <c r="G64" s="13"/>
      <c r="H64" s="4"/>
      <c r="I64" s="4"/>
      <c r="J64" s="4"/>
      <c r="K64" s="4"/>
      <c r="L64" s="4"/>
      <c r="M64" s="4"/>
      <c r="N64" s="4"/>
      <c r="O64" s="4"/>
      <c r="P64" s="4"/>
      <c r="Q64" s="4"/>
      <c r="R64" s="4"/>
      <c r="S64" s="4"/>
      <c r="T64" s="4"/>
      <c r="U64" s="4"/>
      <c r="V64" s="4"/>
      <c r="W64" s="4"/>
      <c r="X64" s="4"/>
      <c r="Y64" s="4"/>
      <c r="Z64" s="4"/>
      <c r="AA64" s="4"/>
      <c r="AB64" s="4"/>
      <c r="AC64" s="4"/>
      <c r="AD64" s="4"/>
      <c r="AE64" s="4"/>
      <c r="AF64" s="10"/>
      <c r="AG64" s="10"/>
      <c r="AH64" s="10"/>
      <c r="AI64" s="10"/>
      <c r="AJ64" s="10"/>
      <c r="AK64" s="10"/>
      <c r="AL64" s="10"/>
      <c r="AM64" s="10"/>
      <c r="AN64" s="10"/>
      <c r="AO64" s="10"/>
      <c r="AP64" s="10"/>
      <c r="AQ64" s="10"/>
      <c r="AR64" s="10"/>
      <c r="AS64" s="10"/>
      <c r="AT64" s="10"/>
      <c r="AU64" s="10"/>
      <c r="AV64" s="10"/>
      <c r="AW64" s="10"/>
    </row>
    <row r="76" spans="30:30" x14ac:dyDescent="0.25">
      <c r="AD76" s="6">
        <f>2+2.6+2</f>
        <v>6.6</v>
      </c>
    </row>
    <row r="77" spans="30:30" x14ac:dyDescent="0.25">
      <c r="AD77" s="6">
        <v>0.4</v>
      </c>
    </row>
    <row r="78" spans="30:30" x14ac:dyDescent="0.25">
      <c r="AD78" s="6">
        <f>AD76*AD77</f>
        <v>2.64</v>
      </c>
    </row>
    <row r="79" spans="30:30" x14ac:dyDescent="0.25">
      <c r="AD79" s="6">
        <f>2*2.6</f>
        <v>5.2</v>
      </c>
    </row>
    <row r="80" spans="30:30" x14ac:dyDescent="0.25">
      <c r="AD80" s="6">
        <f>AD79-AD78</f>
        <v>2.56</v>
      </c>
    </row>
    <row r="82" spans="23:25" x14ac:dyDescent="0.25">
      <c r="W82" s="4" t="s">
        <v>75</v>
      </c>
      <c r="X82" s="4" t="s">
        <v>82</v>
      </c>
      <c r="Y82" s="4">
        <f>1.8*2.6</f>
        <v>4.6800000000000006</v>
      </c>
    </row>
    <row r="83" spans="23:25" x14ac:dyDescent="0.25">
      <c r="W83" s="4" t="s">
        <v>76</v>
      </c>
      <c r="X83" s="4" t="s">
        <v>83</v>
      </c>
      <c r="Y83" s="4">
        <f>1.5*2.6</f>
        <v>3.9000000000000004</v>
      </c>
    </row>
    <row r="84" spans="23:25" x14ac:dyDescent="0.25">
      <c r="W84" s="4" t="s">
        <v>77</v>
      </c>
      <c r="X84" s="4" t="s">
        <v>84</v>
      </c>
      <c r="Y84" s="4">
        <f>1.2*2.6</f>
        <v>3.12</v>
      </c>
    </row>
    <row r="85" spans="23:25" x14ac:dyDescent="0.25">
      <c r="W85" s="4" t="s">
        <v>78</v>
      </c>
      <c r="X85" s="4" t="s">
        <v>85</v>
      </c>
      <c r="Y85" s="4">
        <f>1*2.6</f>
        <v>2.6</v>
      </c>
    </row>
    <row r="86" spans="23:25" x14ac:dyDescent="0.25">
      <c r="W86" s="4" t="s">
        <v>79</v>
      </c>
      <c r="X86" s="4" t="s">
        <v>86</v>
      </c>
      <c r="Y86" s="4">
        <f>0.9*2.6</f>
        <v>2.3400000000000003</v>
      </c>
    </row>
    <row r="87" spans="23:25" x14ac:dyDescent="0.25">
      <c r="W87" s="4" t="s">
        <v>80</v>
      </c>
      <c r="X87" s="4" t="s">
        <v>87</v>
      </c>
      <c r="Y87" s="4">
        <f>0.8*2.1</f>
        <v>1.6800000000000002</v>
      </c>
    </row>
    <row r="88" spans="23:25" x14ac:dyDescent="0.25">
      <c r="W88" s="4" t="s">
        <v>81</v>
      </c>
      <c r="X88" s="4" t="s">
        <v>88</v>
      </c>
      <c r="Y88" s="4">
        <f>2*2.6</f>
        <v>5.2</v>
      </c>
    </row>
    <row r="89" spans="23:25" x14ac:dyDescent="0.25">
      <c r="W89" s="4" t="s">
        <v>95</v>
      </c>
      <c r="X89" s="4" t="s">
        <v>88</v>
      </c>
      <c r="Y89" s="4">
        <f>2*2.6</f>
        <v>5.2</v>
      </c>
    </row>
    <row r="90" spans="23:25" x14ac:dyDescent="0.25">
      <c r="W90" s="4" t="s">
        <v>96</v>
      </c>
      <c r="X90" s="4" t="s">
        <v>83</v>
      </c>
      <c r="Y90" s="4">
        <f>1.5*2.6</f>
        <v>3.9000000000000004</v>
      </c>
    </row>
    <row r="93" spans="23:25" x14ac:dyDescent="0.25">
      <c r="W93" s="4" t="s">
        <v>98</v>
      </c>
      <c r="X93" s="4" t="s">
        <v>99</v>
      </c>
    </row>
    <row r="94" spans="23:25" x14ac:dyDescent="0.25">
      <c r="W94" s="4" t="s">
        <v>100</v>
      </c>
      <c r="X94" s="4" t="s">
        <v>101</v>
      </c>
    </row>
    <row r="95" spans="23:25" x14ac:dyDescent="0.25">
      <c r="W95" s="4" t="s">
        <v>102</v>
      </c>
      <c r="X95" s="4" t="s">
        <v>103</v>
      </c>
    </row>
    <row r="96" spans="23:25" x14ac:dyDescent="0.25">
      <c r="W96" s="4" t="s">
        <v>104</v>
      </c>
      <c r="X96" s="4" t="s">
        <v>105</v>
      </c>
    </row>
  </sheetData>
  <mergeCells count="43">
    <mergeCell ref="AW2:AW3"/>
    <mergeCell ref="AR2:AR3"/>
    <mergeCell ref="AS2:AS3"/>
    <mergeCell ref="AT2:AT3"/>
    <mergeCell ref="AU2:AU3"/>
    <mergeCell ref="AV2:AV3"/>
    <mergeCell ref="AH2:AH3"/>
    <mergeCell ref="G2:I2"/>
    <mergeCell ref="K2:O2"/>
    <mergeCell ref="A2:A3"/>
    <mergeCell ref="B2:B3"/>
    <mergeCell ref="C2:C3"/>
    <mergeCell ref="D2:E2"/>
    <mergeCell ref="F2:F3"/>
    <mergeCell ref="U2:U3"/>
    <mergeCell ref="R2:R3"/>
    <mergeCell ref="T2:T3"/>
    <mergeCell ref="S2:S3"/>
    <mergeCell ref="P2:P3"/>
    <mergeCell ref="Q2:Q3"/>
    <mergeCell ref="X2:X3"/>
    <mergeCell ref="Y2:Y3"/>
    <mergeCell ref="AF2:AF3"/>
    <mergeCell ref="Z2:Z3"/>
    <mergeCell ref="AA2:AA3"/>
    <mergeCell ref="V2:W2"/>
    <mergeCell ref="AG2:AG3"/>
    <mergeCell ref="AP2:AP3"/>
    <mergeCell ref="AQ2:AQ3"/>
    <mergeCell ref="AG1:AO1"/>
    <mergeCell ref="J2:J3"/>
    <mergeCell ref="J1:AF1"/>
    <mergeCell ref="AK2:AK3"/>
    <mergeCell ref="AL2:AL3"/>
    <mergeCell ref="AM2:AM3"/>
    <mergeCell ref="AN2:AN3"/>
    <mergeCell ref="AO2:AO3"/>
    <mergeCell ref="AI2:AI3"/>
    <mergeCell ref="AJ2:AJ3"/>
    <mergeCell ref="AB2:AB3"/>
    <mergeCell ref="AC2:AC3"/>
    <mergeCell ref="AD2:AD3"/>
    <mergeCell ref="AE2:AE3"/>
  </mergeCells>
  <conditionalFormatting sqref="A97:XFD1048576 Z93:XFD96 A93:X96 A91:XFD92 A82:U90 W82:XFD90 A2:V2 AG1 AX2:XFD3 A3:I3 AP1:XFD1 A1:J1 X2:AW2 K3:AW3 A4:XFD81">
    <cfRule type="expression" dxfId="0" priority="1">
      <formula>OR(CELL("row")=ROW(), CELL("col")=COLUMN())</formula>
    </cfRule>
  </conditionalFormatting>
  <pageMargins left="0.23622047244094491" right="0.23622047244094491" top="0.74803149606299213" bottom="0.74803149606299213" header="0.31496062992125984" footer="0.31496062992125984"/>
  <pageSetup paperSize="9" scale="21" fitToHeight="0" orientation="portrait" r:id="rId1"/>
  <ignoredErrors>
    <ignoredError sqref="K5"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53"/>
  <sheetViews>
    <sheetView topLeftCell="A28" zoomScaleNormal="100" zoomScaleSheetLayoutView="100" workbookViewId="0">
      <selection activeCell="C3" sqref="C3:E50"/>
    </sheetView>
  </sheetViews>
  <sheetFormatPr defaultRowHeight="14.3" x14ac:dyDescent="0.25"/>
  <cols>
    <col min="1" max="1" width="4.875" style="6" customWidth="1"/>
    <col min="2" max="2" width="6.375" style="6" customWidth="1"/>
    <col min="3" max="3" width="35.25" style="2" customWidth="1"/>
    <col min="4" max="6" width="13.125" style="1" customWidth="1"/>
    <col min="12" max="12" width="4.875" bestFit="1" customWidth="1"/>
    <col min="13" max="13" width="35" customWidth="1"/>
    <col min="14" max="14" width="11.75" bestFit="1" customWidth="1"/>
    <col min="15" max="15" width="12.75" bestFit="1" customWidth="1"/>
    <col min="16" max="16" width="13.875" customWidth="1"/>
  </cols>
  <sheetData>
    <row r="1" spans="1:17" ht="14.3" customHeight="1" x14ac:dyDescent="0.25">
      <c r="A1" s="111" t="s">
        <v>0</v>
      </c>
      <c r="B1" s="112" t="s">
        <v>52</v>
      </c>
      <c r="C1" s="111" t="s">
        <v>1</v>
      </c>
      <c r="D1" s="111" t="s">
        <v>2</v>
      </c>
      <c r="E1" s="111"/>
      <c r="F1" s="111" t="s">
        <v>69</v>
      </c>
      <c r="L1" s="111" t="s">
        <v>0</v>
      </c>
      <c r="M1" s="107" t="s">
        <v>1</v>
      </c>
      <c r="N1" s="111" t="s">
        <v>2</v>
      </c>
      <c r="O1" s="111"/>
      <c r="P1" s="107" t="s">
        <v>70</v>
      </c>
      <c r="Q1" s="112" t="s">
        <v>71</v>
      </c>
    </row>
    <row r="2" spans="1:17" x14ac:dyDescent="0.25">
      <c r="A2" s="111"/>
      <c r="B2" s="113"/>
      <c r="C2" s="111"/>
      <c r="D2" s="7" t="s">
        <v>3</v>
      </c>
      <c r="E2" s="7" t="s">
        <v>4</v>
      </c>
      <c r="F2" s="111"/>
      <c r="L2" s="111"/>
      <c r="M2" s="107"/>
      <c r="N2" s="7" t="s">
        <v>3</v>
      </c>
      <c r="O2" s="7" t="s">
        <v>4</v>
      </c>
      <c r="P2" s="107"/>
      <c r="Q2" s="113"/>
    </row>
    <row r="3" spans="1:17" x14ac:dyDescent="0.25">
      <c r="A3" s="4">
        <v>1</v>
      </c>
      <c r="B3" s="4">
        <v>1</v>
      </c>
      <c r="C3" s="3" t="s">
        <v>5</v>
      </c>
      <c r="D3" s="5">
        <v>4130</v>
      </c>
      <c r="E3" s="5">
        <v>7605</v>
      </c>
      <c r="F3" s="8">
        <f>(D3*E3)/1000000</f>
        <v>31.408650000000002</v>
      </c>
      <c r="L3" s="10">
        <v>1</v>
      </c>
      <c r="M3" s="3" t="s">
        <v>46</v>
      </c>
      <c r="N3" s="5">
        <v>6300</v>
      </c>
      <c r="O3" s="5">
        <v>6000</v>
      </c>
      <c r="P3" s="8">
        <f t="shared" ref="P3:P7" si="0">(N3*O3)/1000000</f>
        <v>37.799999999999997</v>
      </c>
      <c r="Q3" s="10">
        <f>2*((N3*3.5+O3*3.5)/1000)</f>
        <v>86.1</v>
      </c>
    </row>
    <row r="4" spans="1:17" x14ac:dyDescent="0.25">
      <c r="A4" s="4">
        <v>2</v>
      </c>
      <c r="B4" s="4">
        <v>2</v>
      </c>
      <c r="C4" s="3" t="s">
        <v>44</v>
      </c>
      <c r="D4" s="5">
        <v>6395</v>
      </c>
      <c r="E4" s="5">
        <v>6000</v>
      </c>
      <c r="F4" s="8">
        <f t="shared" ref="F4:F50" si="1">(D4*E4)/1000000</f>
        <v>38.369999999999997</v>
      </c>
      <c r="J4" s="2"/>
      <c r="L4" s="10">
        <v>2</v>
      </c>
      <c r="M4" s="3" t="s">
        <v>47</v>
      </c>
      <c r="N4" s="5">
        <v>6000</v>
      </c>
      <c r="O4" s="5">
        <v>7085</v>
      </c>
      <c r="P4" s="8">
        <f t="shared" si="0"/>
        <v>42.51</v>
      </c>
      <c r="Q4" s="10">
        <f t="shared" ref="Q4:Q7" si="2">2*((N4*3.5+O4*3.5)/1000)</f>
        <v>91.594999999999999</v>
      </c>
    </row>
    <row r="5" spans="1:17" x14ac:dyDescent="0.25">
      <c r="A5" s="4">
        <v>3</v>
      </c>
      <c r="B5" s="4">
        <v>3</v>
      </c>
      <c r="C5" s="3" t="s">
        <v>25</v>
      </c>
      <c r="D5" s="5">
        <v>2400</v>
      </c>
      <c r="E5" s="5">
        <v>3715</v>
      </c>
      <c r="F5" s="8">
        <f t="shared" si="1"/>
        <v>8.9160000000000004</v>
      </c>
      <c r="L5" s="10">
        <v>3</v>
      </c>
      <c r="M5" s="3" t="s">
        <v>48</v>
      </c>
      <c r="N5" s="5">
        <v>6000</v>
      </c>
      <c r="O5" s="5">
        <v>7085</v>
      </c>
      <c r="P5" s="8">
        <f t="shared" si="0"/>
        <v>42.51</v>
      </c>
      <c r="Q5" s="10">
        <f t="shared" si="2"/>
        <v>91.594999999999999</v>
      </c>
    </row>
    <row r="6" spans="1:17" x14ac:dyDescent="0.25">
      <c r="A6" s="4">
        <v>4</v>
      </c>
      <c r="B6" s="4">
        <v>4</v>
      </c>
      <c r="C6" s="3" t="s">
        <v>46</v>
      </c>
      <c r="D6" s="5">
        <v>6300</v>
      </c>
      <c r="E6" s="5">
        <v>6000</v>
      </c>
      <c r="F6" s="8">
        <f t="shared" si="1"/>
        <v>37.799999999999997</v>
      </c>
      <c r="L6" s="10">
        <v>4</v>
      </c>
      <c r="M6" s="3" t="s">
        <v>49</v>
      </c>
      <c r="N6" s="5">
        <v>6000</v>
      </c>
      <c r="O6" s="5">
        <v>7085</v>
      </c>
      <c r="P6" s="8">
        <f t="shared" si="0"/>
        <v>42.51</v>
      </c>
      <c r="Q6" s="10">
        <f t="shared" si="2"/>
        <v>91.594999999999999</v>
      </c>
    </row>
    <row r="7" spans="1:17" x14ac:dyDescent="0.25">
      <c r="A7" s="4">
        <v>5</v>
      </c>
      <c r="B7" s="4">
        <v>5</v>
      </c>
      <c r="C7" s="3" t="s">
        <v>6</v>
      </c>
      <c r="D7" s="5">
        <v>3085</v>
      </c>
      <c r="E7" s="5">
        <v>7605</v>
      </c>
      <c r="F7" s="8">
        <f t="shared" si="1"/>
        <v>23.461424999999998</v>
      </c>
      <c r="L7" s="10">
        <v>5</v>
      </c>
      <c r="M7" s="3" t="s">
        <v>50</v>
      </c>
      <c r="N7" s="5">
        <v>6000</v>
      </c>
      <c r="O7" s="5">
        <v>7085</v>
      </c>
      <c r="P7" s="8">
        <f t="shared" si="0"/>
        <v>42.51</v>
      </c>
      <c r="Q7" s="10">
        <f t="shared" si="2"/>
        <v>91.594999999999999</v>
      </c>
    </row>
    <row r="8" spans="1:17" x14ac:dyDescent="0.25">
      <c r="A8" s="4">
        <v>6</v>
      </c>
      <c r="B8" s="4">
        <v>6</v>
      </c>
      <c r="C8" s="3" t="s">
        <v>7</v>
      </c>
      <c r="D8" s="5">
        <v>8645</v>
      </c>
      <c r="E8" s="5">
        <v>7605</v>
      </c>
      <c r="F8" s="8">
        <f t="shared" si="1"/>
        <v>65.745225000000005</v>
      </c>
      <c r="L8" s="10"/>
      <c r="M8" s="10"/>
      <c r="N8" s="10"/>
      <c r="O8" s="10"/>
      <c r="P8" s="11">
        <f>SUM(P3:P7)</f>
        <v>207.83999999999997</v>
      </c>
      <c r="Q8" s="12">
        <f>SUM(Q3:Q7)</f>
        <v>452.48</v>
      </c>
    </row>
    <row r="9" spans="1:17" x14ac:dyDescent="0.25">
      <c r="A9" s="4">
        <v>7</v>
      </c>
      <c r="B9" s="4">
        <v>7</v>
      </c>
      <c r="C9" s="3" t="s">
        <v>8</v>
      </c>
      <c r="D9" s="5">
        <v>2875</v>
      </c>
      <c r="E9" s="5">
        <v>5520</v>
      </c>
      <c r="F9" s="8">
        <f t="shared" si="1"/>
        <v>15.87</v>
      </c>
    </row>
    <row r="10" spans="1:17" x14ac:dyDescent="0.25">
      <c r="A10" s="4">
        <v>8</v>
      </c>
      <c r="B10" s="4" t="s">
        <v>53</v>
      </c>
      <c r="C10" s="3" t="s">
        <v>12</v>
      </c>
      <c r="D10" s="5">
        <v>1200</v>
      </c>
      <c r="E10" s="5">
        <v>1500</v>
      </c>
      <c r="F10" s="8">
        <f t="shared" si="1"/>
        <v>1.8</v>
      </c>
    </row>
    <row r="11" spans="1:17" x14ac:dyDescent="0.25">
      <c r="A11" s="4">
        <v>9</v>
      </c>
      <c r="B11" s="4">
        <v>8</v>
      </c>
      <c r="C11" s="3" t="s">
        <v>9</v>
      </c>
      <c r="D11" s="5">
        <v>2875</v>
      </c>
      <c r="E11" s="5">
        <v>5520</v>
      </c>
      <c r="F11" s="8">
        <f t="shared" si="1"/>
        <v>15.87</v>
      </c>
    </row>
    <row r="12" spans="1:17" x14ac:dyDescent="0.25">
      <c r="A12" s="4">
        <v>10</v>
      </c>
      <c r="B12" s="4" t="s">
        <v>54</v>
      </c>
      <c r="C12" s="3" t="s">
        <v>13</v>
      </c>
      <c r="D12" s="5">
        <v>1200</v>
      </c>
      <c r="E12" s="5">
        <v>1500</v>
      </c>
      <c r="F12" s="8">
        <f t="shared" si="1"/>
        <v>1.8</v>
      </c>
    </row>
    <row r="13" spans="1:17" x14ac:dyDescent="0.25">
      <c r="A13" s="4">
        <v>11</v>
      </c>
      <c r="B13" s="4">
        <v>9</v>
      </c>
      <c r="C13" s="3" t="s">
        <v>10</v>
      </c>
      <c r="D13" s="5">
        <v>5865</v>
      </c>
      <c r="E13" s="5">
        <v>4600</v>
      </c>
      <c r="F13" s="8">
        <f t="shared" si="1"/>
        <v>26.978999999999999</v>
      </c>
    </row>
    <row r="14" spans="1:17" x14ac:dyDescent="0.25">
      <c r="A14" s="4">
        <v>12</v>
      </c>
      <c r="B14" s="4">
        <v>10</v>
      </c>
      <c r="C14" s="3" t="s">
        <v>11</v>
      </c>
      <c r="D14" s="5">
        <v>7135</v>
      </c>
      <c r="E14" s="5">
        <v>3830</v>
      </c>
      <c r="F14" s="8">
        <f t="shared" si="1"/>
        <v>27.32705</v>
      </c>
    </row>
    <row r="15" spans="1:17" x14ac:dyDescent="0.25">
      <c r="A15" s="4">
        <v>13</v>
      </c>
      <c r="B15" s="4">
        <v>11</v>
      </c>
      <c r="C15" s="3" t="s">
        <v>51</v>
      </c>
      <c r="D15" s="5">
        <v>11703</v>
      </c>
      <c r="E15" s="5">
        <v>1800</v>
      </c>
      <c r="F15" s="8">
        <f t="shared" si="1"/>
        <v>21.0654</v>
      </c>
    </row>
    <row r="16" spans="1:17" x14ac:dyDescent="0.25">
      <c r="A16" s="4">
        <v>14</v>
      </c>
      <c r="B16" s="4" t="s">
        <v>55</v>
      </c>
      <c r="C16" s="3" t="s">
        <v>14</v>
      </c>
      <c r="D16" s="5">
        <v>1200</v>
      </c>
      <c r="E16" s="5">
        <v>1800</v>
      </c>
      <c r="F16" s="8">
        <f t="shared" si="1"/>
        <v>2.16</v>
      </c>
    </row>
    <row r="17" spans="1:6" x14ac:dyDescent="0.25">
      <c r="A17" s="4">
        <v>15</v>
      </c>
      <c r="B17" s="4" t="s">
        <v>56</v>
      </c>
      <c r="C17" s="3" t="s">
        <v>15</v>
      </c>
      <c r="D17" s="5">
        <v>1200</v>
      </c>
      <c r="E17" s="5">
        <v>1800</v>
      </c>
      <c r="F17" s="8">
        <f t="shared" si="1"/>
        <v>2.16</v>
      </c>
    </row>
    <row r="18" spans="1:6" x14ac:dyDescent="0.25">
      <c r="A18" s="4">
        <v>16</v>
      </c>
      <c r="B18" s="4" t="s">
        <v>57</v>
      </c>
      <c r="C18" s="3" t="s">
        <v>16</v>
      </c>
      <c r="D18" s="5">
        <v>2080</v>
      </c>
      <c r="E18" s="5">
        <v>1800</v>
      </c>
      <c r="F18" s="8">
        <f t="shared" si="1"/>
        <v>3.7440000000000002</v>
      </c>
    </row>
    <row r="19" spans="1:6" x14ac:dyDescent="0.25">
      <c r="A19" s="4">
        <v>17</v>
      </c>
      <c r="B19" s="4" t="s">
        <v>58</v>
      </c>
      <c r="C19" s="3" t="s">
        <v>17</v>
      </c>
      <c r="D19" s="5">
        <v>1965</v>
      </c>
      <c r="E19" s="5">
        <v>1800</v>
      </c>
      <c r="F19" s="8">
        <f t="shared" si="1"/>
        <v>3.5369999999999999</v>
      </c>
    </row>
    <row r="20" spans="1:6" x14ac:dyDescent="0.25">
      <c r="A20" s="4">
        <v>18</v>
      </c>
      <c r="B20" s="4" t="s">
        <v>59</v>
      </c>
      <c r="C20" s="3" t="s">
        <v>18</v>
      </c>
      <c r="D20" s="5">
        <v>1950</v>
      </c>
      <c r="E20" s="5">
        <v>1800</v>
      </c>
      <c r="F20" s="8">
        <f t="shared" si="1"/>
        <v>3.51</v>
      </c>
    </row>
    <row r="21" spans="1:6" x14ac:dyDescent="0.25">
      <c r="A21" s="4">
        <v>19</v>
      </c>
      <c r="B21" s="4" t="s">
        <v>60</v>
      </c>
      <c r="C21" s="3" t="s">
        <v>18</v>
      </c>
      <c r="D21" s="5">
        <v>1950</v>
      </c>
      <c r="E21" s="5">
        <v>1800</v>
      </c>
      <c r="F21" s="8">
        <f t="shared" si="1"/>
        <v>3.51</v>
      </c>
    </row>
    <row r="22" spans="1:6" x14ac:dyDescent="0.25">
      <c r="A22" s="4">
        <v>20</v>
      </c>
      <c r="B22" s="4">
        <v>12</v>
      </c>
      <c r="C22" s="3" t="s">
        <v>19</v>
      </c>
      <c r="D22" s="5">
        <v>6300</v>
      </c>
      <c r="E22" s="5">
        <v>3600</v>
      </c>
      <c r="F22" s="8">
        <f t="shared" si="1"/>
        <v>22.68</v>
      </c>
    </row>
    <row r="23" spans="1:6" x14ac:dyDescent="0.25">
      <c r="A23" s="4">
        <v>21</v>
      </c>
      <c r="B23" s="4">
        <v>13</v>
      </c>
      <c r="C23" s="3" t="s">
        <v>20</v>
      </c>
      <c r="D23" s="5">
        <v>3135</v>
      </c>
      <c r="E23" s="5">
        <v>3715</v>
      </c>
      <c r="F23" s="8">
        <f t="shared" si="1"/>
        <v>11.646525</v>
      </c>
    </row>
    <row r="24" spans="1:6" x14ac:dyDescent="0.25">
      <c r="A24" s="4">
        <v>22</v>
      </c>
      <c r="B24" s="4">
        <v>14</v>
      </c>
      <c r="C24" s="3" t="s">
        <v>21</v>
      </c>
      <c r="D24" s="5">
        <v>3135</v>
      </c>
      <c r="E24" s="5">
        <v>3520</v>
      </c>
      <c r="F24" s="8">
        <f t="shared" si="1"/>
        <v>11.0352</v>
      </c>
    </row>
    <row r="25" spans="1:6" x14ac:dyDescent="0.25">
      <c r="A25" s="4">
        <v>23</v>
      </c>
      <c r="B25" s="4">
        <v>15</v>
      </c>
      <c r="C25" s="3" t="s">
        <v>22</v>
      </c>
      <c r="D25" s="5">
        <v>3135</v>
      </c>
      <c r="E25" s="5">
        <v>3670</v>
      </c>
      <c r="F25" s="8">
        <f t="shared" si="1"/>
        <v>11.50545</v>
      </c>
    </row>
    <row r="26" spans="1:6" x14ac:dyDescent="0.25">
      <c r="A26" s="4">
        <v>24</v>
      </c>
      <c r="B26" s="4">
        <v>16</v>
      </c>
      <c r="C26" s="3" t="s">
        <v>26</v>
      </c>
      <c r="D26" s="5">
        <v>3135</v>
      </c>
      <c r="E26" s="5">
        <v>2400</v>
      </c>
      <c r="F26" s="8">
        <f t="shared" si="1"/>
        <v>7.524</v>
      </c>
    </row>
    <row r="27" spans="1:6" x14ac:dyDescent="0.25">
      <c r="A27" s="4">
        <v>25</v>
      </c>
      <c r="B27" s="4">
        <v>17</v>
      </c>
      <c r="C27" s="3" t="s">
        <v>23</v>
      </c>
      <c r="D27" s="5">
        <v>3600</v>
      </c>
      <c r="E27" s="5">
        <v>3715</v>
      </c>
      <c r="F27" s="8">
        <f t="shared" si="1"/>
        <v>13.374000000000001</v>
      </c>
    </row>
    <row r="28" spans="1:6" x14ac:dyDescent="0.25">
      <c r="A28" s="4">
        <v>26</v>
      </c>
      <c r="B28" s="4">
        <v>18</v>
      </c>
      <c r="C28" s="3" t="s">
        <v>24</v>
      </c>
      <c r="D28" s="5">
        <v>3600</v>
      </c>
      <c r="E28" s="5">
        <v>3715</v>
      </c>
      <c r="F28" s="8">
        <f t="shared" si="1"/>
        <v>13.374000000000001</v>
      </c>
    </row>
    <row r="29" spans="1:6" x14ac:dyDescent="0.25">
      <c r="A29" s="4">
        <v>27</v>
      </c>
      <c r="B29" s="4">
        <v>19</v>
      </c>
      <c r="C29" s="3" t="s">
        <v>45</v>
      </c>
      <c r="D29" s="5">
        <v>3600</v>
      </c>
      <c r="E29" s="5">
        <v>2500</v>
      </c>
      <c r="F29" s="8">
        <f t="shared" si="1"/>
        <v>9</v>
      </c>
    </row>
    <row r="30" spans="1:6" x14ac:dyDescent="0.25">
      <c r="A30" s="4">
        <v>28</v>
      </c>
      <c r="B30" s="4">
        <v>20</v>
      </c>
      <c r="C30" s="3" t="s">
        <v>27</v>
      </c>
      <c r="D30" s="5">
        <v>3600</v>
      </c>
      <c r="E30" s="5">
        <v>3715</v>
      </c>
      <c r="F30" s="8">
        <f t="shared" si="1"/>
        <v>13.374000000000001</v>
      </c>
    </row>
    <row r="31" spans="1:6" x14ac:dyDescent="0.25">
      <c r="A31" s="4">
        <v>29</v>
      </c>
      <c r="B31" s="4">
        <v>21</v>
      </c>
      <c r="C31" s="3" t="s">
        <v>28</v>
      </c>
      <c r="D31" s="5">
        <v>3630</v>
      </c>
      <c r="E31" s="5">
        <v>3715</v>
      </c>
      <c r="F31" s="8">
        <f t="shared" si="1"/>
        <v>13.48545</v>
      </c>
    </row>
    <row r="32" spans="1:6" x14ac:dyDescent="0.25">
      <c r="A32" s="4">
        <v>30</v>
      </c>
      <c r="B32" s="4">
        <v>22</v>
      </c>
      <c r="C32" s="3" t="s">
        <v>29</v>
      </c>
      <c r="D32" s="5">
        <v>5865</v>
      </c>
      <c r="E32" s="5">
        <v>6230</v>
      </c>
      <c r="F32" s="8">
        <f t="shared" si="1"/>
        <v>36.53895</v>
      </c>
    </row>
    <row r="33" spans="1:6" x14ac:dyDescent="0.25">
      <c r="A33" s="4">
        <v>31</v>
      </c>
      <c r="B33" s="4">
        <v>23</v>
      </c>
      <c r="C33" s="3" t="s">
        <v>30</v>
      </c>
      <c r="D33" s="5">
        <v>7800</v>
      </c>
      <c r="E33" s="5">
        <v>7085</v>
      </c>
      <c r="F33" s="8">
        <f t="shared" si="1"/>
        <v>55.262999999999998</v>
      </c>
    </row>
    <row r="34" spans="1:6" x14ac:dyDescent="0.25">
      <c r="A34" s="4">
        <v>32</v>
      </c>
      <c r="B34" s="4">
        <v>24</v>
      </c>
      <c r="C34" s="3" t="s">
        <v>47</v>
      </c>
      <c r="D34" s="5">
        <v>6000</v>
      </c>
      <c r="E34" s="5">
        <v>7085</v>
      </c>
      <c r="F34" s="8">
        <f t="shared" si="1"/>
        <v>42.51</v>
      </c>
    </row>
    <row r="35" spans="1:6" x14ac:dyDescent="0.25">
      <c r="A35" s="4">
        <v>33</v>
      </c>
      <c r="B35" s="4">
        <v>25</v>
      </c>
      <c r="C35" s="3" t="s">
        <v>48</v>
      </c>
      <c r="D35" s="5">
        <v>6000</v>
      </c>
      <c r="E35" s="5">
        <v>7085</v>
      </c>
      <c r="F35" s="8">
        <f t="shared" si="1"/>
        <v>42.51</v>
      </c>
    </row>
    <row r="36" spans="1:6" x14ac:dyDescent="0.25">
      <c r="A36" s="4">
        <v>34</v>
      </c>
      <c r="B36" s="4">
        <v>26</v>
      </c>
      <c r="C36" s="3" t="s">
        <v>49</v>
      </c>
      <c r="D36" s="5">
        <v>6000</v>
      </c>
      <c r="E36" s="5">
        <v>7085</v>
      </c>
      <c r="F36" s="8">
        <f t="shared" si="1"/>
        <v>42.51</v>
      </c>
    </row>
    <row r="37" spans="1:6" x14ac:dyDescent="0.25">
      <c r="A37" s="4">
        <v>35</v>
      </c>
      <c r="B37" s="4">
        <v>27</v>
      </c>
      <c r="C37" s="3" t="s">
        <v>50</v>
      </c>
      <c r="D37" s="5">
        <v>6000</v>
      </c>
      <c r="E37" s="5">
        <v>7085</v>
      </c>
      <c r="F37" s="8">
        <f t="shared" si="1"/>
        <v>42.51</v>
      </c>
    </row>
    <row r="38" spans="1:6" x14ac:dyDescent="0.25">
      <c r="A38" s="4">
        <v>36</v>
      </c>
      <c r="B38" s="4">
        <v>28</v>
      </c>
      <c r="C38" s="3" t="s">
        <v>31</v>
      </c>
      <c r="D38" s="5">
        <v>4950</v>
      </c>
      <c r="E38" s="5">
        <v>7200</v>
      </c>
      <c r="F38" s="8">
        <f t="shared" si="1"/>
        <v>35.64</v>
      </c>
    </row>
    <row r="39" spans="1:6" x14ac:dyDescent="0.25">
      <c r="A39" s="4">
        <v>37</v>
      </c>
      <c r="B39" s="4">
        <v>29</v>
      </c>
      <c r="C39" s="3" t="s">
        <v>34</v>
      </c>
      <c r="D39" s="5">
        <v>3370</v>
      </c>
      <c r="E39" s="5">
        <v>3215</v>
      </c>
      <c r="F39" s="8">
        <f t="shared" si="1"/>
        <v>10.83455</v>
      </c>
    </row>
    <row r="40" spans="1:6" x14ac:dyDescent="0.25">
      <c r="A40" s="4">
        <v>38</v>
      </c>
      <c r="B40" s="4">
        <v>30</v>
      </c>
      <c r="C40" s="3" t="s">
        <v>32</v>
      </c>
      <c r="D40" s="5">
        <v>3160</v>
      </c>
      <c r="E40" s="5">
        <v>3215</v>
      </c>
      <c r="F40" s="8">
        <f t="shared" si="1"/>
        <v>10.1594</v>
      </c>
    </row>
    <row r="41" spans="1:6" x14ac:dyDescent="0.25">
      <c r="A41" s="4">
        <v>39</v>
      </c>
      <c r="B41" s="4">
        <v>31</v>
      </c>
      <c r="C41" s="3" t="s">
        <v>33</v>
      </c>
      <c r="D41" s="5">
        <v>3045</v>
      </c>
      <c r="E41" s="5">
        <v>3215</v>
      </c>
      <c r="F41" s="8">
        <f t="shared" si="1"/>
        <v>9.7896750000000008</v>
      </c>
    </row>
    <row r="42" spans="1:6" x14ac:dyDescent="0.25">
      <c r="A42" s="4">
        <v>40</v>
      </c>
      <c r="B42" s="4">
        <v>32</v>
      </c>
      <c r="C42" s="3" t="s">
        <v>35</v>
      </c>
      <c r="D42" s="5">
        <v>3000</v>
      </c>
      <c r="E42" s="5">
        <v>3215</v>
      </c>
      <c r="F42" s="8">
        <f t="shared" si="1"/>
        <v>9.6449999999999996</v>
      </c>
    </row>
    <row r="43" spans="1:6" x14ac:dyDescent="0.25">
      <c r="A43" s="4">
        <v>41</v>
      </c>
      <c r="B43" s="4" t="s">
        <v>61</v>
      </c>
      <c r="C43" s="3" t="s">
        <v>36</v>
      </c>
      <c r="D43" s="5">
        <v>15788</v>
      </c>
      <c r="E43" s="5">
        <v>1376</v>
      </c>
      <c r="F43" s="8">
        <f t="shared" si="1"/>
        <v>21.724288000000001</v>
      </c>
    </row>
    <row r="44" spans="1:6" x14ac:dyDescent="0.25">
      <c r="A44" s="4">
        <v>42</v>
      </c>
      <c r="B44" s="4" t="s">
        <v>62</v>
      </c>
      <c r="C44" s="3" t="s">
        <v>37</v>
      </c>
      <c r="D44" s="5">
        <v>2020</v>
      </c>
      <c r="E44" s="5">
        <v>8295</v>
      </c>
      <c r="F44" s="8">
        <f t="shared" si="1"/>
        <v>16.7559</v>
      </c>
    </row>
    <row r="45" spans="1:6" x14ac:dyDescent="0.25">
      <c r="A45" s="4">
        <v>43</v>
      </c>
      <c r="B45" s="4" t="s">
        <v>63</v>
      </c>
      <c r="C45" s="3" t="s">
        <v>38</v>
      </c>
      <c r="D45" s="5">
        <v>34356</v>
      </c>
      <c r="E45" s="5">
        <v>2400</v>
      </c>
      <c r="F45" s="8">
        <f t="shared" si="1"/>
        <v>82.454400000000007</v>
      </c>
    </row>
    <row r="46" spans="1:6" x14ac:dyDescent="0.25">
      <c r="A46" s="4">
        <v>44</v>
      </c>
      <c r="B46" s="4" t="s">
        <v>64</v>
      </c>
      <c r="C46" s="3" t="s">
        <v>39</v>
      </c>
      <c r="D46" s="5">
        <v>3000</v>
      </c>
      <c r="E46" s="5">
        <v>15050</v>
      </c>
      <c r="F46" s="8">
        <f t="shared" si="1"/>
        <v>45.15</v>
      </c>
    </row>
    <row r="47" spans="1:6" x14ac:dyDescent="0.25">
      <c r="A47" s="4">
        <v>45</v>
      </c>
      <c r="B47" s="4" t="s">
        <v>65</v>
      </c>
      <c r="C47" s="3" t="s">
        <v>40</v>
      </c>
      <c r="D47" s="5">
        <v>2400</v>
      </c>
      <c r="E47" s="5">
        <v>15050</v>
      </c>
      <c r="F47" s="8">
        <f t="shared" si="1"/>
        <v>36.119999999999997</v>
      </c>
    </row>
    <row r="48" spans="1:6" x14ac:dyDescent="0.25">
      <c r="A48" s="4">
        <v>46</v>
      </c>
      <c r="B48" s="4" t="s">
        <v>66</v>
      </c>
      <c r="C48" s="3" t="s">
        <v>41</v>
      </c>
      <c r="D48" s="5">
        <v>34356</v>
      </c>
      <c r="E48" s="5">
        <v>2400</v>
      </c>
      <c r="F48" s="8">
        <f t="shared" si="1"/>
        <v>82.454400000000007</v>
      </c>
    </row>
    <row r="49" spans="1:6" x14ac:dyDescent="0.25">
      <c r="A49" s="4">
        <v>47</v>
      </c>
      <c r="B49" s="4" t="s">
        <v>67</v>
      </c>
      <c r="C49" s="3" t="s">
        <v>42</v>
      </c>
      <c r="D49" s="5">
        <v>1615</v>
      </c>
      <c r="E49" s="5">
        <v>7545</v>
      </c>
      <c r="F49" s="8">
        <f t="shared" si="1"/>
        <v>12.185174999999999</v>
      </c>
    </row>
    <row r="50" spans="1:6" x14ac:dyDescent="0.25">
      <c r="A50" s="4">
        <v>48</v>
      </c>
      <c r="B50" s="4" t="s">
        <v>68</v>
      </c>
      <c r="C50" s="3" t="s">
        <v>43</v>
      </c>
      <c r="D50" s="5">
        <v>35650</v>
      </c>
      <c r="E50" s="5">
        <v>2020</v>
      </c>
      <c r="F50" s="8">
        <f t="shared" si="1"/>
        <v>72.013000000000005</v>
      </c>
    </row>
    <row r="51" spans="1:6" x14ac:dyDescent="0.25">
      <c r="A51" s="4"/>
      <c r="B51" s="4"/>
      <c r="C51" s="3"/>
      <c r="D51" s="5"/>
      <c r="E51" s="5"/>
      <c r="F51" s="9">
        <f>SUM(F3:F50)</f>
        <v>1168.800113</v>
      </c>
    </row>
    <row r="52" spans="1:6" x14ac:dyDescent="0.25">
      <c r="A52" s="4"/>
      <c r="B52" s="4"/>
      <c r="C52" s="3"/>
      <c r="D52" s="5"/>
      <c r="E52" s="5"/>
      <c r="F52" s="5"/>
    </row>
    <row r="53" spans="1:6" x14ac:dyDescent="0.25">
      <c r="A53" s="4"/>
      <c r="B53" s="4"/>
      <c r="C53" s="3"/>
      <c r="D53" s="5"/>
      <c r="E53" s="5"/>
      <c r="F53" s="5"/>
    </row>
  </sheetData>
  <mergeCells count="10">
    <mergeCell ref="Q1:Q2"/>
    <mergeCell ref="L1:L2"/>
    <mergeCell ref="M1:M2"/>
    <mergeCell ref="N1:O1"/>
    <mergeCell ref="P1:P2"/>
    <mergeCell ref="D1:E1"/>
    <mergeCell ref="F1:F2"/>
    <mergeCell ref="A1:A2"/>
    <mergeCell ref="C1:C2"/>
    <mergeCell ref="B1:B2"/>
  </mergeCells>
  <printOptions horizontalCentered="1"/>
  <pageMargins left="0.70866141732283472" right="0.70866141732283472" top="1.3385826771653544" bottom="0.55118110236220474" header="0.31496062992125984" footer="0.31496062992125984"/>
  <pageSetup paperSize="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31"/>
  <sheetViews>
    <sheetView zoomScale="90" zoomScaleNormal="90" workbookViewId="0">
      <pane ySplit="2" topLeftCell="A27" activePane="bottomLeft" state="frozen"/>
      <selection pane="bottomLeft" activeCell="D27" sqref="D27"/>
    </sheetView>
  </sheetViews>
  <sheetFormatPr defaultRowHeight="12.9" x14ac:dyDescent="0.25"/>
  <cols>
    <col min="1" max="1" width="5.5" style="53" bestFit="1" customWidth="1"/>
    <col min="2" max="2" width="72.125" style="54" customWidth="1"/>
    <col min="3" max="4" width="9" style="53"/>
    <col min="5" max="5" width="11.375" style="86" customWidth="1"/>
    <col min="6" max="7" width="14.375" style="86" customWidth="1"/>
    <col min="8" max="8" width="14.375" style="90" customWidth="1"/>
    <col min="9" max="11" width="11.375" style="86" hidden="1" customWidth="1"/>
    <col min="12" max="16384" width="9" style="23"/>
  </cols>
  <sheetData>
    <row r="1" spans="1:11" ht="19.7" customHeight="1" x14ac:dyDescent="0.25">
      <c r="A1" s="119" t="s">
        <v>0</v>
      </c>
      <c r="B1" s="120" t="s">
        <v>152</v>
      </c>
      <c r="C1" s="119" t="s">
        <v>153</v>
      </c>
      <c r="D1" s="119" t="s">
        <v>91</v>
      </c>
      <c r="E1" s="114" t="s">
        <v>163</v>
      </c>
      <c r="F1" s="116" t="s">
        <v>508</v>
      </c>
      <c r="G1" s="118" t="s">
        <v>515</v>
      </c>
      <c r="I1" s="85" t="s">
        <v>157</v>
      </c>
      <c r="J1" s="85" t="s">
        <v>158</v>
      </c>
      <c r="K1" s="85" t="s">
        <v>465</v>
      </c>
    </row>
    <row r="2" spans="1:11" ht="19.7" customHeight="1" x14ac:dyDescent="0.25">
      <c r="A2" s="119"/>
      <c r="B2" s="120"/>
      <c r="C2" s="119"/>
      <c r="D2" s="119"/>
      <c r="E2" s="115"/>
      <c r="F2" s="117"/>
      <c r="G2" s="118"/>
      <c r="H2" s="91"/>
      <c r="I2" s="84" t="s">
        <v>163</v>
      </c>
      <c r="J2" s="84" t="s">
        <v>163</v>
      </c>
      <c r="K2" s="84" t="s">
        <v>163</v>
      </c>
    </row>
    <row r="3" spans="1:11" ht="116.85" x14ac:dyDescent="0.25">
      <c r="A3" s="22">
        <v>1</v>
      </c>
      <c r="B3" s="24" t="s">
        <v>480</v>
      </c>
      <c r="C3" s="22" t="s">
        <v>154</v>
      </c>
      <c r="D3" s="22">
        <f>'Estimation-Civil'!H26</f>
        <v>64.480000000000032</v>
      </c>
      <c r="E3" s="85">
        <v>14603</v>
      </c>
      <c r="F3" s="85">
        <f>ROUND(E3*$D3,)</f>
        <v>941601</v>
      </c>
      <c r="G3" s="85" t="s">
        <v>157</v>
      </c>
      <c r="I3" s="85">
        <v>14603</v>
      </c>
      <c r="J3" s="85">
        <v>15255</v>
      </c>
      <c r="K3" s="85">
        <v>12500</v>
      </c>
    </row>
    <row r="4" spans="1:11" ht="233.7" x14ac:dyDescent="0.25">
      <c r="A4" s="22">
        <v>2</v>
      </c>
      <c r="B4" s="24" t="s">
        <v>479</v>
      </c>
      <c r="C4" s="22" t="s">
        <v>154</v>
      </c>
      <c r="D4" s="22">
        <f>'Estimation-Civil'!H31</f>
        <v>14.040000000000003</v>
      </c>
      <c r="E4" s="85">
        <f>'C-Datas'!I57</f>
        <v>4208</v>
      </c>
      <c r="F4" s="85">
        <f t="shared" ref="F4:F30" si="0">ROUND(E4*$D4,)</f>
        <v>59080</v>
      </c>
      <c r="G4" s="85" t="s">
        <v>464</v>
      </c>
      <c r="I4" s="85"/>
      <c r="J4" s="85"/>
      <c r="K4" s="85"/>
    </row>
    <row r="5" spans="1:11" ht="233" x14ac:dyDescent="0.25">
      <c r="A5" s="22">
        <v>3</v>
      </c>
      <c r="B5" s="24" t="s">
        <v>510</v>
      </c>
      <c r="C5" s="22" t="s">
        <v>154</v>
      </c>
      <c r="D5" s="22">
        <f>'Estimation-Civil'!H35</f>
        <v>5.2</v>
      </c>
      <c r="E5" s="85">
        <f>'C-Datas'!I98</f>
        <v>4915</v>
      </c>
      <c r="F5" s="85">
        <f t="shared" si="0"/>
        <v>25558</v>
      </c>
      <c r="G5" s="85" t="s">
        <v>464</v>
      </c>
      <c r="I5" s="85">
        <v>5593</v>
      </c>
      <c r="J5" s="85">
        <f>7400/1.8</f>
        <v>4111.1111111111113</v>
      </c>
      <c r="K5" s="85"/>
    </row>
    <row r="6" spans="1:11" ht="233.7" x14ac:dyDescent="0.25">
      <c r="A6" s="22">
        <v>4</v>
      </c>
      <c r="B6" s="24" t="s">
        <v>478</v>
      </c>
      <c r="C6" s="22" t="s">
        <v>154</v>
      </c>
      <c r="D6" s="22">
        <f>'Estimation-Civil'!H43</f>
        <v>16.380000000000003</v>
      </c>
      <c r="E6" s="85">
        <f>'C-Datas'!I139</f>
        <v>5145</v>
      </c>
      <c r="F6" s="85">
        <f t="shared" si="0"/>
        <v>84275</v>
      </c>
      <c r="G6" s="85" t="s">
        <v>464</v>
      </c>
      <c r="I6" s="85"/>
      <c r="J6" s="85"/>
      <c r="K6" s="85"/>
    </row>
    <row r="7" spans="1:11" ht="221.45" x14ac:dyDescent="0.25">
      <c r="A7" s="22">
        <v>5</v>
      </c>
      <c r="B7" s="24" t="s">
        <v>481</v>
      </c>
      <c r="C7" s="22" t="s">
        <v>154</v>
      </c>
      <c r="D7" s="22">
        <f>'Estimation-Civil'!H51</f>
        <v>11.340000000000002</v>
      </c>
      <c r="E7" s="85">
        <f>'C-Datas'!I6+'C-Datas'!I17</f>
        <v>4132</v>
      </c>
      <c r="F7" s="85">
        <f t="shared" si="0"/>
        <v>46857</v>
      </c>
      <c r="G7" s="85" t="s">
        <v>464</v>
      </c>
      <c r="I7" s="85">
        <v>6734</v>
      </c>
      <c r="J7" s="85">
        <f>5400/1.18</f>
        <v>4576.2711864406783</v>
      </c>
      <c r="K7" s="85">
        <v>3604</v>
      </c>
    </row>
    <row r="8" spans="1:11" ht="233" x14ac:dyDescent="0.25">
      <c r="A8" s="22">
        <v>6</v>
      </c>
      <c r="B8" s="24" t="s">
        <v>482</v>
      </c>
      <c r="C8" s="22" t="s">
        <v>154</v>
      </c>
      <c r="D8" s="22">
        <f>'Estimation-Civil'!H57</f>
        <v>26</v>
      </c>
      <c r="E8" s="85">
        <f>'C-Datas'!I145</f>
        <v>15268</v>
      </c>
      <c r="F8" s="85">
        <f t="shared" si="0"/>
        <v>396968</v>
      </c>
      <c r="G8" s="85" t="s">
        <v>464</v>
      </c>
      <c r="I8" s="85">
        <f>55000/3.15</f>
        <v>17460.317460317459</v>
      </c>
      <c r="J8" s="85">
        <f>29000/1.18</f>
        <v>24576.271186440681</v>
      </c>
      <c r="K8" s="85">
        <f>90000/3.15</f>
        <v>28571.428571428572</v>
      </c>
    </row>
    <row r="9" spans="1:11" ht="220.75" x14ac:dyDescent="0.25">
      <c r="A9" s="22">
        <v>7</v>
      </c>
      <c r="B9" s="24" t="s">
        <v>483</v>
      </c>
      <c r="C9" s="22" t="s">
        <v>154</v>
      </c>
      <c r="D9" s="22">
        <f>'Estimation-Civil'!H89</f>
        <v>123.12</v>
      </c>
      <c r="E9" s="85">
        <f>'C-Datas'!I151</f>
        <v>8088</v>
      </c>
      <c r="F9" s="85">
        <f t="shared" si="0"/>
        <v>995795</v>
      </c>
      <c r="G9" s="85" t="s">
        <v>464</v>
      </c>
      <c r="I9" s="85">
        <v>9517</v>
      </c>
      <c r="J9" s="85">
        <f>9000/1.18</f>
        <v>7627.1186440677966</v>
      </c>
      <c r="K9" s="85">
        <v>8188</v>
      </c>
    </row>
    <row r="10" spans="1:11" ht="155.55000000000001" x14ac:dyDescent="0.25">
      <c r="A10" s="22">
        <v>8</v>
      </c>
      <c r="B10" s="24" t="s">
        <v>484</v>
      </c>
      <c r="C10" s="22" t="s">
        <v>154</v>
      </c>
      <c r="D10" s="22">
        <f>'Estimation-Civil'!H97</f>
        <v>2.1599999999999997</v>
      </c>
      <c r="E10" s="85">
        <f>'C-Datas'!I157</f>
        <v>7279</v>
      </c>
      <c r="F10" s="85">
        <f t="shared" si="0"/>
        <v>15723</v>
      </c>
      <c r="G10" s="85" t="s">
        <v>464</v>
      </c>
      <c r="I10" s="85">
        <v>8564</v>
      </c>
      <c r="J10" s="85">
        <f>12000/1.18</f>
        <v>10169.491525423729</v>
      </c>
      <c r="K10" s="85"/>
    </row>
    <row r="11" spans="1:11" ht="182.05" x14ac:dyDescent="0.25">
      <c r="A11" s="22">
        <v>9</v>
      </c>
      <c r="B11" s="24" t="s">
        <v>485</v>
      </c>
      <c r="C11" s="22" t="s">
        <v>154</v>
      </c>
      <c r="D11" s="75">
        <f>'Estimation-Civil'!H144</f>
        <v>1166.6401129999999</v>
      </c>
      <c r="E11" s="85">
        <f>'C-Datas'!I184</f>
        <v>1672</v>
      </c>
      <c r="F11" s="85">
        <f t="shared" si="0"/>
        <v>1950622</v>
      </c>
      <c r="G11" s="85" t="s">
        <v>464</v>
      </c>
      <c r="I11" s="85">
        <v>1725</v>
      </c>
      <c r="J11" s="85"/>
      <c r="K11" s="85"/>
    </row>
    <row r="12" spans="1:11" ht="130.44999999999999" x14ac:dyDescent="0.25">
      <c r="A12" s="22">
        <v>10</v>
      </c>
      <c r="B12" s="24" t="s">
        <v>486</v>
      </c>
      <c r="C12" s="22" t="s">
        <v>184</v>
      </c>
      <c r="D12" s="75">
        <f>'Estimation-Civil'!H209</f>
        <v>293.10999999999996</v>
      </c>
      <c r="E12" s="85">
        <f>'C-Datas'!I210</f>
        <v>150</v>
      </c>
      <c r="F12" s="85">
        <f t="shared" si="0"/>
        <v>43967</v>
      </c>
      <c r="G12" s="85" t="s">
        <v>464</v>
      </c>
      <c r="I12" s="85"/>
      <c r="J12" s="85"/>
      <c r="K12" s="85"/>
    </row>
    <row r="13" spans="1:11" ht="130.44999999999999" x14ac:dyDescent="0.25">
      <c r="A13" s="22">
        <v>11</v>
      </c>
      <c r="B13" s="24" t="s">
        <v>487</v>
      </c>
      <c r="C13" s="22" t="s">
        <v>154</v>
      </c>
      <c r="D13" s="75">
        <f>'Estimation-Civil'!H302</f>
        <v>783.61800000000017</v>
      </c>
      <c r="E13" s="85">
        <f>'C-Datas'!I238</f>
        <v>1220</v>
      </c>
      <c r="F13" s="85">
        <f t="shared" si="0"/>
        <v>956014</v>
      </c>
      <c r="G13" s="85" t="s">
        <v>464</v>
      </c>
      <c r="I13" s="85"/>
      <c r="J13" s="85"/>
      <c r="K13" s="85"/>
    </row>
    <row r="14" spans="1:11" ht="142.65" x14ac:dyDescent="0.25">
      <c r="A14" s="22">
        <v>12</v>
      </c>
      <c r="B14" s="24" t="s">
        <v>488</v>
      </c>
      <c r="C14" s="22" t="s">
        <v>154</v>
      </c>
      <c r="D14" s="75">
        <f>'Estimation-Civil'!H310</f>
        <v>13.32</v>
      </c>
      <c r="E14" s="85">
        <f>'C-Datas'!I265</f>
        <v>1740</v>
      </c>
      <c r="F14" s="85">
        <f t="shared" si="0"/>
        <v>23177</v>
      </c>
      <c r="G14" s="85" t="s">
        <v>464</v>
      </c>
      <c r="I14" s="85"/>
      <c r="J14" s="85"/>
      <c r="K14" s="85"/>
    </row>
    <row r="15" spans="1:11" ht="65.25" x14ac:dyDescent="0.25">
      <c r="A15" s="22">
        <v>13</v>
      </c>
      <c r="B15" s="24" t="s">
        <v>489</v>
      </c>
      <c r="C15" s="22" t="s">
        <v>154</v>
      </c>
      <c r="D15" s="75">
        <f>'Estimation-Civil'!H326</f>
        <v>235.99462499999998</v>
      </c>
      <c r="E15" s="85">
        <v>4070</v>
      </c>
      <c r="F15" s="85">
        <f t="shared" si="0"/>
        <v>960498</v>
      </c>
      <c r="G15" s="85" t="s">
        <v>157</v>
      </c>
      <c r="I15" s="85"/>
      <c r="J15" s="85"/>
      <c r="K15" s="85"/>
    </row>
    <row r="16" spans="1:11" ht="156.25" x14ac:dyDescent="0.25">
      <c r="A16" s="22">
        <v>14</v>
      </c>
      <c r="B16" s="24" t="s">
        <v>490</v>
      </c>
      <c r="C16" s="22" t="s">
        <v>154</v>
      </c>
      <c r="D16" s="75">
        <f>'Estimation-Civil'!H374</f>
        <v>972.12011300000006</v>
      </c>
      <c r="E16" s="85">
        <f>'C-Datas'!I294</f>
        <v>1347</v>
      </c>
      <c r="F16" s="85">
        <f t="shared" si="0"/>
        <v>1309446</v>
      </c>
      <c r="G16" s="85" t="s">
        <v>464</v>
      </c>
      <c r="I16" s="85"/>
      <c r="J16" s="85"/>
      <c r="K16" s="85"/>
    </row>
    <row r="17" spans="1:11" ht="13.6" x14ac:dyDescent="0.25">
      <c r="A17" s="22">
        <v>15</v>
      </c>
      <c r="B17" s="24" t="s">
        <v>491</v>
      </c>
      <c r="C17" s="22" t="s">
        <v>154</v>
      </c>
      <c r="D17" s="75">
        <f>'Estimation-Civil'!H381</f>
        <v>207.83999999999997</v>
      </c>
      <c r="E17" s="85">
        <v>3420</v>
      </c>
      <c r="F17" s="85">
        <f t="shared" si="0"/>
        <v>710813</v>
      </c>
      <c r="G17" s="85" t="s">
        <v>158</v>
      </c>
      <c r="I17" s="85"/>
      <c r="J17" s="85"/>
      <c r="K17" s="85"/>
    </row>
    <row r="18" spans="1:11" ht="117.55" x14ac:dyDescent="0.25">
      <c r="A18" s="22">
        <v>16</v>
      </c>
      <c r="B18" s="24" t="s">
        <v>492</v>
      </c>
      <c r="C18" s="22" t="s">
        <v>154</v>
      </c>
      <c r="D18" s="75">
        <f>'Estimation-Civil'!H601</f>
        <v>2093.4000000000015</v>
      </c>
      <c r="E18" s="85">
        <f>'C-Datas'!I309</f>
        <v>275</v>
      </c>
      <c r="F18" s="85">
        <f t="shared" si="0"/>
        <v>575685</v>
      </c>
      <c r="G18" s="85" t="s">
        <v>464</v>
      </c>
      <c r="I18" s="85"/>
      <c r="J18" s="85"/>
      <c r="K18" s="85"/>
    </row>
    <row r="19" spans="1:11" ht="78.8" x14ac:dyDescent="0.25">
      <c r="A19" s="22">
        <v>17</v>
      </c>
      <c r="B19" s="24" t="s">
        <v>493</v>
      </c>
      <c r="C19" s="22" t="s">
        <v>154</v>
      </c>
      <c r="D19" s="75">
        <f>'Estimation-Civil'!H821</f>
        <v>1631.1609999999991</v>
      </c>
      <c r="E19" s="85">
        <f>'C-Datas'!I326</f>
        <v>226</v>
      </c>
      <c r="F19" s="85">
        <f t="shared" si="0"/>
        <v>368642</v>
      </c>
      <c r="G19" s="85" t="s">
        <v>464</v>
      </c>
      <c r="I19" s="85"/>
      <c r="J19" s="85"/>
      <c r="K19" s="85"/>
    </row>
    <row r="20" spans="1:11" ht="91.7" x14ac:dyDescent="0.25">
      <c r="A20" s="22">
        <v>18</v>
      </c>
      <c r="B20" s="24" t="s">
        <v>494</v>
      </c>
      <c r="C20" s="22" t="s">
        <v>154</v>
      </c>
      <c r="D20" s="75">
        <f>'Estimation-Civil'!H835</f>
        <v>63.620000000000005</v>
      </c>
      <c r="E20" s="85">
        <f>'C-Datas'!I345</f>
        <v>249</v>
      </c>
      <c r="F20" s="85">
        <f t="shared" si="0"/>
        <v>15841</v>
      </c>
      <c r="G20" s="85" t="s">
        <v>464</v>
      </c>
      <c r="I20" s="85"/>
      <c r="J20" s="85"/>
      <c r="K20" s="85"/>
    </row>
    <row r="21" spans="1:11" ht="129.75" x14ac:dyDescent="0.25">
      <c r="A21" s="22">
        <v>19</v>
      </c>
      <c r="B21" s="24" t="s">
        <v>495</v>
      </c>
      <c r="C21" s="22" t="s">
        <v>154</v>
      </c>
      <c r="D21" s="75">
        <f>'Estimation-Civil'!H840</f>
        <v>10.724</v>
      </c>
      <c r="E21" s="85">
        <f>'C-Datas'!I375</f>
        <v>5973</v>
      </c>
      <c r="F21" s="85">
        <f t="shared" si="0"/>
        <v>64054</v>
      </c>
      <c r="G21" s="85" t="s">
        <v>464</v>
      </c>
      <c r="I21" s="85"/>
      <c r="J21" s="85"/>
      <c r="K21" s="85"/>
    </row>
    <row r="22" spans="1:11" ht="39.4" x14ac:dyDescent="0.25">
      <c r="A22" s="22">
        <v>20</v>
      </c>
      <c r="B22" s="24" t="s">
        <v>496</v>
      </c>
      <c r="C22" s="22" t="s">
        <v>154</v>
      </c>
      <c r="D22" s="75">
        <f>'Estimation-Civil'!H851</f>
        <v>33.479999999999997</v>
      </c>
      <c r="E22" s="85">
        <f>'C-Datas'!I382</f>
        <v>1396</v>
      </c>
      <c r="F22" s="85">
        <f t="shared" si="0"/>
        <v>46738</v>
      </c>
      <c r="G22" s="85" t="s">
        <v>464</v>
      </c>
      <c r="I22" s="85"/>
      <c r="J22" s="85"/>
      <c r="K22" s="85"/>
    </row>
    <row r="23" spans="1:11" ht="13.6" x14ac:dyDescent="0.25">
      <c r="A23" s="22">
        <v>21</v>
      </c>
      <c r="B23" s="24" t="s">
        <v>497</v>
      </c>
      <c r="C23" s="22" t="s">
        <v>155</v>
      </c>
      <c r="D23" s="75">
        <f>'Estimation-Civil'!H905</f>
        <v>61</v>
      </c>
      <c r="E23" s="85">
        <v>600</v>
      </c>
      <c r="F23" s="85">
        <f t="shared" si="0"/>
        <v>36600</v>
      </c>
      <c r="G23" s="85" t="s">
        <v>157</v>
      </c>
      <c r="I23" s="85"/>
      <c r="J23" s="85"/>
      <c r="K23" s="85"/>
    </row>
    <row r="24" spans="1:11" ht="40.1" x14ac:dyDescent="0.25">
      <c r="A24" s="22">
        <v>22</v>
      </c>
      <c r="B24" s="24" t="s">
        <v>498</v>
      </c>
      <c r="C24" s="22" t="s">
        <v>155</v>
      </c>
      <c r="D24" s="75">
        <f>'Estimation-Civil'!H914</f>
        <v>11</v>
      </c>
      <c r="E24" s="85">
        <v>2819</v>
      </c>
      <c r="F24" s="85">
        <f t="shared" si="0"/>
        <v>31009</v>
      </c>
      <c r="G24" s="85" t="s">
        <v>157</v>
      </c>
      <c r="I24" s="85"/>
      <c r="J24" s="85"/>
      <c r="K24" s="85"/>
    </row>
    <row r="25" spans="1:11" ht="104.6" x14ac:dyDescent="0.25">
      <c r="A25" s="22">
        <v>23</v>
      </c>
      <c r="B25" s="24" t="s">
        <v>499</v>
      </c>
      <c r="C25" s="22" t="s">
        <v>154</v>
      </c>
      <c r="D25" s="75">
        <f>'Estimation-Civil'!H946</f>
        <v>123.12</v>
      </c>
      <c r="E25" s="85">
        <f>'C-Datas'!I404</f>
        <v>1489</v>
      </c>
      <c r="F25" s="85">
        <f t="shared" si="0"/>
        <v>183326</v>
      </c>
      <c r="G25" s="85" t="s">
        <v>464</v>
      </c>
      <c r="I25" s="85"/>
      <c r="J25" s="85"/>
      <c r="K25" s="85"/>
    </row>
    <row r="26" spans="1:11" ht="25.85" x14ac:dyDescent="0.25">
      <c r="A26" s="22">
        <v>24</v>
      </c>
      <c r="B26" s="24" t="s">
        <v>187</v>
      </c>
      <c r="C26" s="22" t="s">
        <v>154</v>
      </c>
      <c r="D26" s="75">
        <f>'Estimation-Civil'!H1000</f>
        <v>129.37</v>
      </c>
      <c r="E26" s="85">
        <f>'C-Datas'!I410</f>
        <v>395</v>
      </c>
      <c r="F26" s="85">
        <f t="shared" si="0"/>
        <v>51101</v>
      </c>
      <c r="G26" s="85" t="s">
        <v>464</v>
      </c>
      <c r="I26" s="85"/>
      <c r="J26" s="85"/>
      <c r="K26" s="85"/>
    </row>
    <row r="27" spans="1:11" ht="53" x14ac:dyDescent="0.25">
      <c r="A27" s="22">
        <v>25</v>
      </c>
      <c r="B27" s="24" t="s">
        <v>500</v>
      </c>
      <c r="C27" s="22" t="s">
        <v>154</v>
      </c>
      <c r="D27" s="75">
        <f>'Estimation-Civil'!H1048</f>
        <v>972.86300000000017</v>
      </c>
      <c r="E27" s="85">
        <v>860</v>
      </c>
      <c r="F27" s="85">
        <f t="shared" si="0"/>
        <v>836662</v>
      </c>
      <c r="G27" s="85" t="s">
        <v>158</v>
      </c>
      <c r="I27" s="85"/>
      <c r="J27" s="85"/>
      <c r="K27" s="85"/>
    </row>
    <row r="28" spans="1:11" ht="157.6" x14ac:dyDescent="0.25">
      <c r="A28" s="22">
        <v>26</v>
      </c>
      <c r="B28" s="74" t="s">
        <v>501</v>
      </c>
      <c r="C28" s="22" t="s">
        <v>154</v>
      </c>
      <c r="D28" s="76">
        <f>'Estimation-Civil'!H1056</f>
        <v>13.32</v>
      </c>
      <c r="E28" s="85">
        <f>'C-Datas'!I435</f>
        <v>925</v>
      </c>
      <c r="F28" s="85">
        <f t="shared" si="0"/>
        <v>12321</v>
      </c>
      <c r="G28" s="85" t="s">
        <v>464</v>
      </c>
      <c r="I28" s="85"/>
      <c r="J28" s="85"/>
      <c r="K28" s="85"/>
    </row>
    <row r="29" spans="1:11" ht="91.05" x14ac:dyDescent="0.25">
      <c r="A29" s="22">
        <v>27</v>
      </c>
      <c r="B29" s="74" t="s">
        <v>502</v>
      </c>
      <c r="C29" s="73" t="s">
        <v>154</v>
      </c>
      <c r="D29" s="73">
        <v>20</v>
      </c>
      <c r="E29" s="85">
        <f>'C-Datas'!I467</f>
        <v>956</v>
      </c>
      <c r="F29" s="85">
        <f t="shared" si="0"/>
        <v>19120</v>
      </c>
      <c r="G29" s="85" t="s">
        <v>464</v>
      </c>
      <c r="I29" s="85"/>
      <c r="J29" s="85"/>
      <c r="K29" s="85"/>
    </row>
    <row r="30" spans="1:11" ht="103.95" x14ac:dyDescent="0.25">
      <c r="A30" s="22">
        <v>28</v>
      </c>
      <c r="B30" s="24" t="s">
        <v>503</v>
      </c>
      <c r="C30" s="22" t="s">
        <v>154</v>
      </c>
      <c r="D30" s="22">
        <v>100</v>
      </c>
      <c r="E30" s="85">
        <f>'C-Datas'!I499</f>
        <v>926</v>
      </c>
      <c r="F30" s="85">
        <f t="shared" si="0"/>
        <v>92600</v>
      </c>
      <c r="G30" s="85" t="s">
        <v>464</v>
      </c>
      <c r="I30" s="85"/>
      <c r="J30" s="85"/>
      <c r="K30" s="85"/>
    </row>
    <row r="31" spans="1:11" s="55" customFormat="1" ht="17.7" customHeight="1" x14ac:dyDescent="0.25">
      <c r="A31" s="25"/>
      <c r="B31" s="87"/>
      <c r="C31" s="25"/>
      <c r="D31" s="25"/>
      <c r="E31" s="88" t="s">
        <v>507</v>
      </c>
      <c r="F31" s="89">
        <f>SUM(F3:F30)</f>
        <v>10854093</v>
      </c>
      <c r="G31" s="89"/>
      <c r="H31" s="92"/>
      <c r="I31" s="89"/>
      <c r="J31" s="89"/>
      <c r="K31" s="89"/>
    </row>
  </sheetData>
  <mergeCells count="7">
    <mergeCell ref="E1:E2"/>
    <mergeCell ref="F1:F2"/>
    <mergeCell ref="G1:G2"/>
    <mergeCell ref="A1:A2"/>
    <mergeCell ref="B1:B2"/>
    <mergeCell ref="C1:C2"/>
    <mergeCell ref="D1:D2"/>
  </mergeCell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O1434"/>
  <sheetViews>
    <sheetView workbookViewId="0">
      <pane ySplit="4" topLeftCell="A5" activePane="bottomLeft" state="frozen"/>
      <selection pane="bottomLeft" sqref="A1:XFD1048576"/>
    </sheetView>
  </sheetViews>
  <sheetFormatPr defaultRowHeight="20.05" customHeight="1" x14ac:dyDescent="0.2"/>
  <cols>
    <col min="1" max="1" width="5.5" style="39" customWidth="1"/>
    <col min="2" max="2" width="39.125" style="37" customWidth="1"/>
    <col min="3" max="4" width="4.5" style="39" customWidth="1"/>
    <col min="5" max="7" width="7.625" style="39" customWidth="1"/>
    <col min="8" max="8" width="8.375" style="39" bestFit="1" customWidth="1"/>
    <col min="9" max="9" width="8" style="39" customWidth="1"/>
    <col min="10" max="10" width="9.375" style="62" customWidth="1"/>
    <col min="11" max="11" width="13" style="58" customWidth="1"/>
    <col min="12" max="16384" width="9" style="35"/>
  </cols>
  <sheetData>
    <row r="1" spans="1:11" ht="14.3" x14ac:dyDescent="0.2">
      <c r="A1" s="125"/>
      <c r="B1" s="126"/>
      <c r="C1" s="126"/>
      <c r="D1" s="126"/>
      <c r="E1" s="126"/>
      <c r="F1" s="126"/>
      <c r="G1" s="126"/>
      <c r="H1" s="126"/>
      <c r="I1" s="126"/>
      <c r="J1" s="126"/>
      <c r="K1" s="127"/>
    </row>
    <row r="2" spans="1:11" ht="17" customHeight="1" x14ac:dyDescent="0.2">
      <c r="A2" s="128" t="s">
        <v>167</v>
      </c>
      <c r="B2" s="129"/>
      <c r="C2" s="129"/>
      <c r="D2" s="129"/>
      <c r="E2" s="129"/>
      <c r="F2" s="129"/>
      <c r="G2" s="129"/>
      <c r="H2" s="129"/>
      <c r="I2" s="129"/>
      <c r="J2" s="129"/>
      <c r="K2" s="130"/>
    </row>
    <row r="3" spans="1:11" ht="22.6" customHeight="1" x14ac:dyDescent="0.2">
      <c r="A3" s="131" t="s">
        <v>168</v>
      </c>
      <c r="B3" s="132" t="s">
        <v>169</v>
      </c>
      <c r="C3" s="131" t="s">
        <v>170</v>
      </c>
      <c r="D3" s="131"/>
      <c r="E3" s="131"/>
      <c r="F3" s="131"/>
      <c r="G3" s="131"/>
      <c r="H3" s="131"/>
      <c r="I3" s="134" t="s">
        <v>171</v>
      </c>
      <c r="J3" s="134"/>
      <c r="K3" s="135" t="s">
        <v>172</v>
      </c>
    </row>
    <row r="4" spans="1:11" ht="22.6" customHeight="1" x14ac:dyDescent="0.2">
      <c r="A4" s="131"/>
      <c r="B4" s="133"/>
      <c r="C4" s="131" t="s">
        <v>173</v>
      </c>
      <c r="D4" s="131"/>
      <c r="E4" s="34" t="s">
        <v>174</v>
      </c>
      <c r="F4" s="34" t="s">
        <v>175</v>
      </c>
      <c r="G4" s="34" t="s">
        <v>176</v>
      </c>
      <c r="H4" s="34" t="s">
        <v>91</v>
      </c>
      <c r="I4" s="34" t="s">
        <v>177</v>
      </c>
      <c r="J4" s="59" t="s">
        <v>178</v>
      </c>
      <c r="K4" s="136"/>
    </row>
    <row r="5" spans="1:11" ht="57.1" customHeight="1" x14ac:dyDescent="0.2">
      <c r="A5" s="38">
        <v>1</v>
      </c>
      <c r="B5" s="121" t="s">
        <v>179</v>
      </c>
      <c r="C5" s="121"/>
      <c r="D5" s="121"/>
      <c r="E5" s="121"/>
      <c r="F5" s="121"/>
      <c r="G5" s="121"/>
      <c r="H5" s="38"/>
      <c r="I5" s="38"/>
      <c r="J5" s="60"/>
      <c r="K5" s="56"/>
    </row>
    <row r="6" spans="1:11" ht="20.05" customHeight="1" x14ac:dyDescent="0.2">
      <c r="A6" s="38"/>
      <c r="B6" s="36" t="s">
        <v>5</v>
      </c>
      <c r="C6" s="38">
        <v>1</v>
      </c>
      <c r="D6" s="38">
        <v>1</v>
      </c>
      <c r="E6" s="38">
        <v>1</v>
      </c>
      <c r="F6" s="38">
        <v>2.6</v>
      </c>
      <c r="G6" s="38"/>
      <c r="H6" s="38">
        <f>PRODUCT(C6:F6)</f>
        <v>2.6</v>
      </c>
      <c r="I6" s="38"/>
      <c r="J6" s="60"/>
      <c r="K6" s="56"/>
    </row>
    <row r="7" spans="1:11" ht="20.05" customHeight="1" x14ac:dyDescent="0.2">
      <c r="A7" s="38"/>
      <c r="B7" s="36" t="s">
        <v>44</v>
      </c>
      <c r="C7" s="38">
        <v>1</v>
      </c>
      <c r="D7" s="38">
        <v>1</v>
      </c>
      <c r="E7" s="38">
        <v>1.2</v>
      </c>
      <c r="F7" s="38">
        <v>2.6</v>
      </c>
      <c r="G7" s="38"/>
      <c r="H7" s="38">
        <f t="shared" ref="H7:H42" si="0">PRODUCT(C7:F7)</f>
        <v>3.12</v>
      </c>
      <c r="I7" s="38"/>
      <c r="J7" s="60"/>
      <c r="K7" s="56"/>
    </row>
    <row r="8" spans="1:11" ht="20.05" customHeight="1" x14ac:dyDescent="0.2">
      <c r="A8" s="38"/>
      <c r="B8" s="36" t="s">
        <v>25</v>
      </c>
      <c r="C8" s="38">
        <v>1</v>
      </c>
      <c r="D8" s="38">
        <v>1</v>
      </c>
      <c r="E8" s="38">
        <v>1</v>
      </c>
      <c r="F8" s="38">
        <v>2.6</v>
      </c>
      <c r="G8" s="38"/>
      <c r="H8" s="38">
        <f t="shared" si="0"/>
        <v>2.6</v>
      </c>
      <c r="I8" s="38"/>
      <c r="J8" s="60"/>
      <c r="K8" s="56"/>
    </row>
    <row r="9" spans="1:11" ht="20.05" customHeight="1" x14ac:dyDescent="0.2">
      <c r="A9" s="38"/>
      <c r="B9" s="36" t="s">
        <v>6</v>
      </c>
      <c r="C9" s="38">
        <v>1</v>
      </c>
      <c r="D9" s="38">
        <v>1</v>
      </c>
      <c r="E9" s="38">
        <v>1.2</v>
      </c>
      <c r="F9" s="38">
        <v>2.6</v>
      </c>
      <c r="G9" s="38"/>
      <c r="H9" s="38">
        <f t="shared" si="0"/>
        <v>3.12</v>
      </c>
      <c r="I9" s="38"/>
      <c r="J9" s="60"/>
      <c r="K9" s="56"/>
    </row>
    <row r="10" spans="1:11" ht="20.05" customHeight="1" x14ac:dyDescent="0.2">
      <c r="A10" s="38"/>
      <c r="B10" s="36" t="s">
        <v>19</v>
      </c>
      <c r="C10" s="38">
        <v>1</v>
      </c>
      <c r="D10" s="38">
        <v>1</v>
      </c>
      <c r="E10" s="38">
        <v>1.2</v>
      </c>
      <c r="F10" s="38">
        <v>2.6</v>
      </c>
      <c r="G10" s="38"/>
      <c r="H10" s="38">
        <f t="shared" si="0"/>
        <v>3.12</v>
      </c>
      <c r="I10" s="38"/>
      <c r="J10" s="60"/>
      <c r="K10" s="56"/>
    </row>
    <row r="11" spans="1:11" ht="20.05" customHeight="1" x14ac:dyDescent="0.2">
      <c r="A11" s="38"/>
      <c r="B11" s="36" t="s">
        <v>117</v>
      </c>
      <c r="C11" s="38">
        <v>1</v>
      </c>
      <c r="D11" s="38">
        <v>1</v>
      </c>
      <c r="E11" s="38">
        <v>1</v>
      </c>
      <c r="F11" s="38">
        <v>2.6</v>
      </c>
      <c r="G11" s="38"/>
      <c r="H11" s="38">
        <f t="shared" si="0"/>
        <v>2.6</v>
      </c>
      <c r="I11" s="38"/>
      <c r="J11" s="60"/>
      <c r="K11" s="56"/>
    </row>
    <row r="12" spans="1:11" ht="20.05" customHeight="1" x14ac:dyDescent="0.2">
      <c r="A12" s="38"/>
      <c r="B12" s="36" t="s">
        <v>111</v>
      </c>
      <c r="C12" s="38">
        <v>1</v>
      </c>
      <c r="D12" s="38">
        <v>1</v>
      </c>
      <c r="E12" s="38">
        <v>1</v>
      </c>
      <c r="F12" s="38">
        <v>2.6</v>
      </c>
      <c r="G12" s="38"/>
      <c r="H12" s="38">
        <f t="shared" si="0"/>
        <v>2.6</v>
      </c>
      <c r="I12" s="38"/>
      <c r="J12" s="60"/>
      <c r="K12" s="56"/>
    </row>
    <row r="13" spans="1:11" ht="20.05" customHeight="1" x14ac:dyDescent="0.2">
      <c r="A13" s="38"/>
      <c r="B13" s="36" t="s">
        <v>22</v>
      </c>
      <c r="C13" s="38">
        <v>1</v>
      </c>
      <c r="D13" s="38">
        <v>1</v>
      </c>
      <c r="E13" s="38">
        <v>1</v>
      </c>
      <c r="F13" s="38">
        <v>2.6</v>
      </c>
      <c r="G13" s="38"/>
      <c r="H13" s="38">
        <f t="shared" si="0"/>
        <v>2.6</v>
      </c>
      <c r="I13" s="38"/>
      <c r="J13" s="60"/>
      <c r="K13" s="56"/>
    </row>
    <row r="14" spans="1:11" ht="20.05" customHeight="1" x14ac:dyDescent="0.2">
      <c r="A14" s="38"/>
      <c r="B14" s="36" t="s">
        <v>26</v>
      </c>
      <c r="C14" s="38">
        <v>1</v>
      </c>
      <c r="D14" s="38">
        <v>1</v>
      </c>
      <c r="E14" s="38">
        <v>1</v>
      </c>
      <c r="F14" s="38">
        <v>2.6</v>
      </c>
      <c r="G14" s="38"/>
      <c r="H14" s="38">
        <f t="shared" si="0"/>
        <v>2.6</v>
      </c>
      <c r="I14" s="38"/>
      <c r="J14" s="60"/>
      <c r="K14" s="56"/>
    </row>
    <row r="15" spans="1:11" ht="20.05" customHeight="1" x14ac:dyDescent="0.2">
      <c r="A15" s="38"/>
      <c r="B15" s="36" t="s">
        <v>23</v>
      </c>
      <c r="C15" s="38">
        <v>1</v>
      </c>
      <c r="D15" s="38">
        <v>1</v>
      </c>
      <c r="E15" s="38">
        <v>1</v>
      </c>
      <c r="F15" s="38">
        <v>2.6</v>
      </c>
      <c r="G15" s="38"/>
      <c r="H15" s="38">
        <f t="shared" si="0"/>
        <v>2.6</v>
      </c>
      <c r="I15" s="38"/>
      <c r="J15" s="60"/>
      <c r="K15" s="56"/>
    </row>
    <row r="16" spans="1:11" ht="20.05" customHeight="1" x14ac:dyDescent="0.2">
      <c r="A16" s="38"/>
      <c r="B16" s="36" t="s">
        <v>24</v>
      </c>
      <c r="C16" s="38">
        <v>1</v>
      </c>
      <c r="D16" s="38">
        <v>1</v>
      </c>
      <c r="E16" s="38">
        <v>1</v>
      </c>
      <c r="F16" s="38">
        <v>2.6</v>
      </c>
      <c r="G16" s="38"/>
      <c r="H16" s="38">
        <f t="shared" si="0"/>
        <v>2.6</v>
      </c>
      <c r="I16" s="38"/>
      <c r="J16" s="60"/>
      <c r="K16" s="56"/>
    </row>
    <row r="17" spans="1:11" ht="20.05" customHeight="1" x14ac:dyDescent="0.2">
      <c r="A17" s="38"/>
      <c r="B17" s="36" t="s">
        <v>45</v>
      </c>
      <c r="C17" s="38">
        <v>1</v>
      </c>
      <c r="D17" s="38">
        <v>1</v>
      </c>
      <c r="E17" s="38">
        <v>1</v>
      </c>
      <c r="F17" s="38">
        <v>2.6</v>
      </c>
      <c r="G17" s="38"/>
      <c r="H17" s="38">
        <f t="shared" si="0"/>
        <v>2.6</v>
      </c>
      <c r="I17" s="38"/>
      <c r="J17" s="60"/>
      <c r="K17" s="56"/>
    </row>
    <row r="18" spans="1:11" ht="20.05" customHeight="1" x14ac:dyDescent="0.2">
      <c r="A18" s="38"/>
      <c r="B18" s="36" t="s">
        <v>27</v>
      </c>
      <c r="C18" s="38">
        <v>1</v>
      </c>
      <c r="D18" s="38">
        <v>1</v>
      </c>
      <c r="E18" s="38">
        <v>1</v>
      </c>
      <c r="F18" s="38">
        <v>2.6</v>
      </c>
      <c r="G18" s="38"/>
      <c r="H18" s="38">
        <f t="shared" si="0"/>
        <v>2.6</v>
      </c>
      <c r="I18" s="38"/>
      <c r="J18" s="60"/>
      <c r="K18" s="56"/>
    </row>
    <row r="19" spans="1:11" ht="20.05" customHeight="1" x14ac:dyDescent="0.2">
      <c r="A19" s="38"/>
      <c r="B19" s="36" t="s">
        <v>28</v>
      </c>
      <c r="C19" s="38">
        <v>1</v>
      </c>
      <c r="D19" s="38">
        <v>1</v>
      </c>
      <c r="E19" s="38">
        <v>1</v>
      </c>
      <c r="F19" s="38">
        <v>2.6</v>
      </c>
      <c r="G19" s="38"/>
      <c r="H19" s="38">
        <f t="shared" si="0"/>
        <v>2.6</v>
      </c>
      <c r="I19" s="38"/>
      <c r="J19" s="60"/>
      <c r="K19" s="56"/>
    </row>
    <row r="20" spans="1:11" ht="20.05" customHeight="1" x14ac:dyDescent="0.2">
      <c r="A20" s="38"/>
      <c r="B20" s="36" t="s">
        <v>31</v>
      </c>
      <c r="C20" s="38">
        <v>1</v>
      </c>
      <c r="D20" s="38">
        <v>1</v>
      </c>
      <c r="E20" s="38">
        <v>0.9</v>
      </c>
      <c r="F20" s="38">
        <v>2.6</v>
      </c>
      <c r="G20" s="38"/>
      <c r="H20" s="38">
        <f t="shared" si="0"/>
        <v>2.3400000000000003</v>
      </c>
      <c r="I20" s="38"/>
      <c r="J20" s="60"/>
      <c r="K20" s="56"/>
    </row>
    <row r="21" spans="1:11" ht="20.05" customHeight="1" x14ac:dyDescent="0.2">
      <c r="A21" s="38"/>
      <c r="B21" s="36" t="s">
        <v>34</v>
      </c>
      <c r="C21" s="38">
        <v>1</v>
      </c>
      <c r="D21" s="38">
        <v>1</v>
      </c>
      <c r="E21" s="38">
        <v>0.9</v>
      </c>
      <c r="F21" s="38">
        <v>2.6</v>
      </c>
      <c r="G21" s="38"/>
      <c r="H21" s="38">
        <f t="shared" si="0"/>
        <v>2.3400000000000003</v>
      </c>
      <c r="I21" s="38"/>
      <c r="J21" s="60"/>
      <c r="K21" s="56"/>
    </row>
    <row r="22" spans="1:11" ht="20.05" customHeight="1" x14ac:dyDescent="0.2">
      <c r="A22" s="38"/>
      <c r="B22" s="36" t="s">
        <v>32</v>
      </c>
      <c r="C22" s="38">
        <v>1</v>
      </c>
      <c r="D22" s="38">
        <v>1</v>
      </c>
      <c r="E22" s="38">
        <v>1.2</v>
      </c>
      <c r="F22" s="38">
        <v>2.6</v>
      </c>
      <c r="G22" s="38"/>
      <c r="H22" s="38">
        <f t="shared" si="0"/>
        <v>3.12</v>
      </c>
      <c r="I22" s="38"/>
      <c r="J22" s="60"/>
      <c r="K22" s="56"/>
    </row>
    <row r="23" spans="1:11" ht="20.05" customHeight="1" x14ac:dyDescent="0.2">
      <c r="A23" s="38"/>
      <c r="B23" s="36" t="s">
        <v>33</v>
      </c>
      <c r="C23" s="38">
        <v>1</v>
      </c>
      <c r="D23" s="38">
        <v>1</v>
      </c>
      <c r="E23" s="38">
        <v>0.9</v>
      </c>
      <c r="F23" s="38">
        <v>2.6</v>
      </c>
      <c r="G23" s="38"/>
      <c r="H23" s="38">
        <f t="shared" si="0"/>
        <v>2.3400000000000003</v>
      </c>
      <c r="I23" s="38"/>
      <c r="J23" s="60"/>
      <c r="K23" s="56"/>
    </row>
    <row r="24" spans="1:11" ht="20.05" customHeight="1" x14ac:dyDescent="0.2">
      <c r="A24" s="38"/>
      <c r="B24" s="36" t="s">
        <v>35</v>
      </c>
      <c r="C24" s="38">
        <v>1</v>
      </c>
      <c r="D24" s="38">
        <v>1</v>
      </c>
      <c r="E24" s="38">
        <v>0.9</v>
      </c>
      <c r="F24" s="38">
        <v>2.6</v>
      </c>
      <c r="G24" s="38"/>
      <c r="H24" s="38">
        <f t="shared" si="0"/>
        <v>2.3400000000000003</v>
      </c>
      <c r="I24" s="38"/>
      <c r="J24" s="60"/>
      <c r="K24" s="56"/>
    </row>
    <row r="25" spans="1:11" ht="20.05" customHeight="1" x14ac:dyDescent="0.2">
      <c r="A25" s="38"/>
      <c r="B25" s="36" t="s">
        <v>38</v>
      </c>
      <c r="C25" s="38">
        <v>1</v>
      </c>
      <c r="D25" s="38">
        <v>3</v>
      </c>
      <c r="E25" s="38">
        <v>1.8</v>
      </c>
      <c r="F25" s="38">
        <v>2.6</v>
      </c>
      <c r="G25" s="38"/>
      <c r="H25" s="38">
        <f t="shared" si="0"/>
        <v>14.040000000000001</v>
      </c>
      <c r="I25" s="38"/>
      <c r="J25" s="60"/>
      <c r="K25" s="56"/>
    </row>
    <row r="26" spans="1:11" ht="20.05" customHeight="1" x14ac:dyDescent="0.2">
      <c r="A26" s="38"/>
      <c r="B26" s="36"/>
      <c r="C26" s="38"/>
      <c r="D26" s="38"/>
      <c r="E26" s="38"/>
      <c r="F26" s="38"/>
      <c r="G26" s="38"/>
      <c r="H26" s="40">
        <f>SUM(H6:H25)</f>
        <v>64.480000000000032</v>
      </c>
      <c r="I26" s="38" t="s">
        <v>154</v>
      </c>
      <c r="J26" s="60">
        <v>15254</v>
      </c>
      <c r="K26" s="56">
        <f>ROUND(H26*J26,0)</f>
        <v>983578</v>
      </c>
    </row>
    <row r="27" spans="1:11" ht="42.8" customHeight="1" x14ac:dyDescent="0.2">
      <c r="A27" s="38"/>
      <c r="B27" s="122" t="s">
        <v>218</v>
      </c>
      <c r="C27" s="123"/>
      <c r="D27" s="123"/>
      <c r="E27" s="123"/>
      <c r="F27" s="123"/>
      <c r="G27" s="124"/>
      <c r="H27" s="40"/>
      <c r="I27" s="38"/>
      <c r="J27" s="60"/>
      <c r="K27" s="56"/>
    </row>
    <row r="28" spans="1:11" ht="20.05" customHeight="1" x14ac:dyDescent="0.2">
      <c r="A28" s="38"/>
      <c r="B28" s="36" t="s">
        <v>7</v>
      </c>
      <c r="C28" s="38">
        <v>1</v>
      </c>
      <c r="D28" s="38">
        <v>1</v>
      </c>
      <c r="E28" s="38">
        <v>1.8</v>
      </c>
      <c r="F28" s="38">
        <v>2.6</v>
      </c>
      <c r="G28" s="38"/>
      <c r="H28" s="38">
        <f>PRODUCT(C28:F28)</f>
        <v>4.6800000000000006</v>
      </c>
      <c r="I28" s="38"/>
      <c r="J28" s="60"/>
      <c r="K28" s="56"/>
    </row>
    <row r="29" spans="1:11" ht="20.05" customHeight="1" x14ac:dyDescent="0.2">
      <c r="A29" s="38"/>
      <c r="B29" s="36" t="s">
        <v>10</v>
      </c>
      <c r="C29" s="38">
        <v>1</v>
      </c>
      <c r="D29" s="38">
        <v>1</v>
      </c>
      <c r="E29" s="38">
        <v>1.8</v>
      </c>
      <c r="F29" s="38">
        <v>2.6</v>
      </c>
      <c r="G29" s="38"/>
      <c r="H29" s="38">
        <f>PRODUCT(C29:F29)</f>
        <v>4.6800000000000006</v>
      </c>
      <c r="I29" s="38"/>
      <c r="J29" s="60"/>
      <c r="K29" s="56"/>
    </row>
    <row r="30" spans="1:11" ht="20.05" customHeight="1" x14ac:dyDescent="0.2">
      <c r="A30" s="38"/>
      <c r="B30" s="36" t="s">
        <v>30</v>
      </c>
      <c r="C30" s="38">
        <v>1</v>
      </c>
      <c r="D30" s="38">
        <v>1</v>
      </c>
      <c r="E30" s="38">
        <v>1.8</v>
      </c>
      <c r="F30" s="38">
        <v>2.6</v>
      </c>
      <c r="G30" s="38"/>
      <c r="H30" s="38">
        <f>PRODUCT(C30:F30)</f>
        <v>4.6800000000000006</v>
      </c>
      <c r="I30" s="38"/>
      <c r="J30" s="60"/>
      <c r="K30" s="56"/>
    </row>
    <row r="31" spans="1:11" ht="20.05" customHeight="1" x14ac:dyDescent="0.2">
      <c r="A31" s="38"/>
      <c r="B31" s="36"/>
      <c r="C31" s="38"/>
      <c r="D31" s="38"/>
      <c r="E31" s="38"/>
      <c r="F31" s="38"/>
      <c r="G31" s="38"/>
      <c r="H31" s="40">
        <f>SUM(H28:H30)</f>
        <v>14.040000000000003</v>
      </c>
      <c r="I31" s="38" t="s">
        <v>154</v>
      </c>
      <c r="J31" s="60">
        <f>'C-Datas'!I57</f>
        <v>4208</v>
      </c>
      <c r="K31" s="56">
        <f>ROUND(H31*J31,0)</f>
        <v>59080</v>
      </c>
    </row>
    <row r="32" spans="1:11" ht="75.400000000000006" customHeight="1" x14ac:dyDescent="0.2">
      <c r="A32" s="38">
        <v>2</v>
      </c>
      <c r="B32" s="122" t="s">
        <v>276</v>
      </c>
      <c r="C32" s="123"/>
      <c r="D32" s="123"/>
      <c r="E32" s="123"/>
      <c r="F32" s="123"/>
      <c r="G32" s="124"/>
      <c r="H32" s="38"/>
      <c r="I32" s="38"/>
      <c r="J32" s="60"/>
      <c r="K32" s="56"/>
    </row>
    <row r="33" spans="1:11" ht="20.05" customHeight="1" x14ac:dyDescent="0.2">
      <c r="A33" s="38"/>
      <c r="B33" s="36" t="s">
        <v>8</v>
      </c>
      <c r="C33" s="38">
        <v>1</v>
      </c>
      <c r="D33" s="38">
        <v>1</v>
      </c>
      <c r="E33" s="38">
        <v>1</v>
      </c>
      <c r="F33" s="38">
        <v>2.6</v>
      </c>
      <c r="G33" s="38"/>
      <c r="H33" s="38">
        <f t="shared" si="0"/>
        <v>2.6</v>
      </c>
      <c r="I33" s="38"/>
      <c r="J33" s="60"/>
      <c r="K33" s="56"/>
    </row>
    <row r="34" spans="1:11" ht="20.05" customHeight="1" x14ac:dyDescent="0.2">
      <c r="A34" s="38"/>
      <c r="B34" s="36" t="s">
        <v>9</v>
      </c>
      <c r="C34" s="38">
        <v>1</v>
      </c>
      <c r="D34" s="38">
        <v>1</v>
      </c>
      <c r="E34" s="38">
        <v>1</v>
      </c>
      <c r="F34" s="38">
        <v>2.6</v>
      </c>
      <c r="G34" s="38"/>
      <c r="H34" s="38">
        <f t="shared" si="0"/>
        <v>2.6</v>
      </c>
      <c r="I34" s="38"/>
      <c r="J34" s="60"/>
      <c r="K34" s="56"/>
    </row>
    <row r="35" spans="1:11" ht="20.05" customHeight="1" x14ac:dyDescent="0.2">
      <c r="A35" s="38"/>
      <c r="B35" s="36"/>
      <c r="C35" s="38"/>
      <c r="D35" s="38"/>
      <c r="E35" s="38"/>
      <c r="F35" s="38"/>
      <c r="G35" s="38"/>
      <c r="H35" s="40">
        <f>SUM(H33:H34)</f>
        <v>5.2</v>
      </c>
      <c r="I35" s="38" t="s">
        <v>154</v>
      </c>
      <c r="J35" s="60">
        <f>'C-Datas'!I98</f>
        <v>4915</v>
      </c>
      <c r="K35" s="56">
        <f>ROUND(H35*J35,0)</f>
        <v>25558</v>
      </c>
    </row>
    <row r="36" spans="1:11" ht="62.5" customHeight="1" x14ac:dyDescent="0.2">
      <c r="A36" s="38"/>
      <c r="B36" s="122" t="s">
        <v>263</v>
      </c>
      <c r="C36" s="123"/>
      <c r="D36" s="123"/>
      <c r="E36" s="123"/>
      <c r="F36" s="123"/>
      <c r="G36" s="124"/>
      <c r="H36" s="38"/>
      <c r="I36" s="38"/>
      <c r="J36" s="60"/>
      <c r="K36" s="56"/>
    </row>
    <row r="37" spans="1:11" ht="20.05" customHeight="1" x14ac:dyDescent="0.2">
      <c r="A37" s="38"/>
      <c r="B37" s="36" t="s">
        <v>51</v>
      </c>
      <c r="C37" s="38">
        <v>1</v>
      </c>
      <c r="D37" s="38">
        <v>2</v>
      </c>
      <c r="E37" s="38">
        <v>0.9</v>
      </c>
      <c r="F37" s="38">
        <v>2.6</v>
      </c>
      <c r="G37" s="38"/>
      <c r="H37" s="38">
        <f t="shared" si="0"/>
        <v>4.6800000000000006</v>
      </c>
      <c r="I37" s="38"/>
      <c r="J37" s="60"/>
      <c r="K37" s="56"/>
    </row>
    <row r="38" spans="1:11" ht="20.05" customHeight="1" x14ac:dyDescent="0.2">
      <c r="A38" s="38"/>
      <c r="B38" s="36" t="s">
        <v>16</v>
      </c>
      <c r="C38" s="38">
        <v>1</v>
      </c>
      <c r="D38" s="38">
        <v>1</v>
      </c>
      <c r="E38" s="38">
        <v>0.9</v>
      </c>
      <c r="F38" s="38">
        <v>2.6</v>
      </c>
      <c r="G38" s="38"/>
      <c r="H38" s="38">
        <f t="shared" si="0"/>
        <v>2.3400000000000003</v>
      </c>
      <c r="I38" s="38"/>
      <c r="J38" s="60"/>
      <c r="K38" s="56"/>
    </row>
    <row r="39" spans="1:11" ht="20.05" customHeight="1" x14ac:dyDescent="0.2">
      <c r="A39" s="38"/>
      <c r="B39" s="36" t="s">
        <v>17</v>
      </c>
      <c r="C39" s="38">
        <v>1</v>
      </c>
      <c r="D39" s="38">
        <v>1</v>
      </c>
      <c r="E39" s="38">
        <v>0.9</v>
      </c>
      <c r="F39" s="38">
        <v>2.6</v>
      </c>
      <c r="G39" s="38"/>
      <c r="H39" s="38">
        <f t="shared" si="0"/>
        <v>2.3400000000000003</v>
      </c>
      <c r="I39" s="38"/>
      <c r="J39" s="60"/>
      <c r="K39" s="56"/>
    </row>
    <row r="40" spans="1:11" ht="20.05" customHeight="1" x14ac:dyDescent="0.2">
      <c r="A40" s="38"/>
      <c r="B40" s="36" t="s">
        <v>18</v>
      </c>
      <c r="C40" s="38">
        <v>1</v>
      </c>
      <c r="D40" s="38">
        <v>1</v>
      </c>
      <c r="E40" s="38">
        <v>0.9</v>
      </c>
      <c r="F40" s="38">
        <v>2.6</v>
      </c>
      <c r="G40" s="38"/>
      <c r="H40" s="38">
        <f t="shared" si="0"/>
        <v>2.3400000000000003</v>
      </c>
      <c r="I40" s="38"/>
      <c r="J40" s="60"/>
      <c r="K40" s="56"/>
    </row>
    <row r="41" spans="1:11" ht="20.05" customHeight="1" x14ac:dyDescent="0.2">
      <c r="A41" s="38"/>
      <c r="B41" s="36" t="s">
        <v>106</v>
      </c>
      <c r="C41" s="38">
        <v>1</v>
      </c>
      <c r="D41" s="38">
        <v>1</v>
      </c>
      <c r="E41" s="38">
        <v>0.9</v>
      </c>
      <c r="F41" s="38">
        <v>2.6</v>
      </c>
      <c r="G41" s="38"/>
      <c r="H41" s="38">
        <f t="shared" si="0"/>
        <v>2.3400000000000003</v>
      </c>
      <c r="I41" s="38"/>
      <c r="J41" s="60"/>
      <c r="K41" s="56"/>
    </row>
    <row r="42" spans="1:11" ht="20.05" customHeight="1" x14ac:dyDescent="0.2">
      <c r="A42" s="38"/>
      <c r="B42" s="36" t="s">
        <v>43</v>
      </c>
      <c r="C42" s="38">
        <v>1</v>
      </c>
      <c r="D42" s="38">
        <v>1</v>
      </c>
      <c r="E42" s="38">
        <v>0.9</v>
      </c>
      <c r="F42" s="38">
        <v>2.6</v>
      </c>
      <c r="G42" s="38"/>
      <c r="H42" s="38">
        <f t="shared" si="0"/>
        <v>2.3400000000000003</v>
      </c>
      <c r="I42" s="38"/>
      <c r="J42" s="60"/>
      <c r="K42" s="56"/>
    </row>
    <row r="43" spans="1:11" ht="20.05" customHeight="1" x14ac:dyDescent="0.2">
      <c r="A43" s="38"/>
      <c r="B43" s="36"/>
      <c r="C43" s="38"/>
      <c r="D43" s="38"/>
      <c r="E43" s="38"/>
      <c r="F43" s="38"/>
      <c r="G43" s="38"/>
      <c r="H43" s="40">
        <f>SUM(H37:H42)</f>
        <v>16.380000000000003</v>
      </c>
      <c r="I43" s="38" t="s">
        <v>154</v>
      </c>
      <c r="J43" s="60">
        <f>'C-Datas'!I139</f>
        <v>5145</v>
      </c>
      <c r="K43" s="56">
        <f>ROUND(H43*J43,0)</f>
        <v>84275</v>
      </c>
    </row>
    <row r="44" spans="1:11" ht="60.45" customHeight="1" x14ac:dyDescent="0.2">
      <c r="A44" s="38">
        <v>3</v>
      </c>
      <c r="B44" s="122" t="s">
        <v>295</v>
      </c>
      <c r="C44" s="123"/>
      <c r="D44" s="123"/>
      <c r="E44" s="123"/>
      <c r="F44" s="123"/>
      <c r="G44" s="124"/>
      <c r="H44" s="38"/>
      <c r="I44" s="38"/>
      <c r="J44" s="60"/>
      <c r="K44" s="56"/>
    </row>
    <row r="45" spans="1:11" ht="20.05" customHeight="1" x14ac:dyDescent="0.2">
      <c r="A45" s="38"/>
      <c r="B45" s="36" t="s">
        <v>180</v>
      </c>
      <c r="C45" s="38">
        <v>1</v>
      </c>
      <c r="D45" s="38">
        <v>1</v>
      </c>
      <c r="E45" s="38">
        <v>0.9</v>
      </c>
      <c r="F45" s="38">
        <v>2.1</v>
      </c>
      <c r="G45" s="38"/>
      <c r="H45" s="38">
        <f t="shared" ref="H45:H50" si="1">PRODUCT(C45:F45)</f>
        <v>1.8900000000000001</v>
      </c>
      <c r="I45" s="38"/>
      <c r="J45" s="60"/>
      <c r="K45" s="56"/>
    </row>
    <row r="46" spans="1:11" ht="20.05" customHeight="1" x14ac:dyDescent="0.2">
      <c r="A46" s="38"/>
      <c r="B46" s="36" t="s">
        <v>12</v>
      </c>
      <c r="C46" s="38">
        <v>1</v>
      </c>
      <c r="D46" s="38">
        <v>1</v>
      </c>
      <c r="E46" s="38">
        <v>0.9</v>
      </c>
      <c r="F46" s="38">
        <v>2.1</v>
      </c>
      <c r="G46" s="38"/>
      <c r="H46" s="38">
        <f t="shared" si="1"/>
        <v>1.8900000000000001</v>
      </c>
      <c r="I46" s="38"/>
      <c r="J46" s="60"/>
      <c r="K46" s="56"/>
    </row>
    <row r="47" spans="1:11" ht="20.05" customHeight="1" x14ac:dyDescent="0.2">
      <c r="A47" s="38"/>
      <c r="B47" s="36" t="s">
        <v>13</v>
      </c>
      <c r="C47" s="38">
        <v>1</v>
      </c>
      <c r="D47" s="38">
        <v>1</v>
      </c>
      <c r="E47" s="38">
        <v>0.9</v>
      </c>
      <c r="F47" s="38">
        <v>2.1</v>
      </c>
      <c r="G47" s="38"/>
      <c r="H47" s="38">
        <f t="shared" si="1"/>
        <v>1.8900000000000001</v>
      </c>
      <c r="I47" s="38"/>
      <c r="J47" s="60"/>
      <c r="K47" s="56"/>
    </row>
    <row r="48" spans="1:11" ht="20.05" customHeight="1" x14ac:dyDescent="0.2">
      <c r="A48" s="38"/>
      <c r="B48" s="36" t="s">
        <v>14</v>
      </c>
      <c r="C48" s="38">
        <v>1</v>
      </c>
      <c r="D48" s="38">
        <v>1</v>
      </c>
      <c r="E48" s="38">
        <v>0.9</v>
      </c>
      <c r="F48" s="38">
        <v>2.1</v>
      </c>
      <c r="G48" s="38"/>
      <c r="H48" s="38">
        <f t="shared" si="1"/>
        <v>1.8900000000000001</v>
      </c>
      <c r="I48" s="38"/>
      <c r="J48" s="60"/>
      <c r="K48" s="56"/>
    </row>
    <row r="49" spans="1:11" ht="20.05" customHeight="1" x14ac:dyDescent="0.2">
      <c r="A49" s="38"/>
      <c r="B49" s="36" t="s">
        <v>15</v>
      </c>
      <c r="C49" s="38">
        <v>1</v>
      </c>
      <c r="D49" s="38">
        <v>1</v>
      </c>
      <c r="E49" s="38">
        <v>0.9</v>
      </c>
      <c r="F49" s="38">
        <v>2.1</v>
      </c>
      <c r="G49" s="38"/>
      <c r="H49" s="38">
        <f t="shared" si="1"/>
        <v>1.8900000000000001</v>
      </c>
      <c r="I49" s="38"/>
      <c r="J49" s="60"/>
      <c r="K49" s="56"/>
    </row>
    <row r="50" spans="1:11" ht="20.05" customHeight="1" x14ac:dyDescent="0.2">
      <c r="A50" s="38"/>
      <c r="B50" s="36" t="s">
        <v>181</v>
      </c>
      <c r="C50" s="38">
        <v>1</v>
      </c>
      <c r="D50" s="38">
        <v>1</v>
      </c>
      <c r="E50" s="38">
        <v>0.9</v>
      </c>
      <c r="F50" s="38">
        <v>2.1</v>
      </c>
      <c r="G50" s="38"/>
      <c r="H50" s="38">
        <f t="shared" si="1"/>
        <v>1.8900000000000001</v>
      </c>
      <c r="I50" s="38"/>
      <c r="J50" s="60"/>
      <c r="K50" s="56"/>
    </row>
    <row r="51" spans="1:11" ht="20.05" customHeight="1" x14ac:dyDescent="0.2">
      <c r="A51" s="38"/>
      <c r="B51" s="36"/>
      <c r="C51" s="38"/>
      <c r="D51" s="38"/>
      <c r="E51" s="38"/>
      <c r="F51" s="38"/>
      <c r="G51" s="38"/>
      <c r="H51" s="40">
        <f>SUM(H45:H50)</f>
        <v>11.340000000000002</v>
      </c>
      <c r="I51" s="38" t="s">
        <v>154</v>
      </c>
      <c r="J51" s="60">
        <f>'C-Datas'!I6+'C-Datas'!I17</f>
        <v>4132</v>
      </c>
      <c r="K51" s="56">
        <f>ROUND(H51*J51,0)</f>
        <v>46857</v>
      </c>
    </row>
    <row r="52" spans="1:11" ht="60.45" customHeight="1" x14ac:dyDescent="0.2">
      <c r="A52" s="38">
        <v>4</v>
      </c>
      <c r="B52" s="122" t="s">
        <v>296</v>
      </c>
      <c r="C52" s="123"/>
      <c r="D52" s="123"/>
      <c r="E52" s="123"/>
      <c r="F52" s="123"/>
      <c r="G52" s="124"/>
      <c r="H52" s="38"/>
      <c r="I52" s="38"/>
      <c r="J52" s="60"/>
      <c r="K52" s="56"/>
    </row>
    <row r="53" spans="1:11" ht="20.05" customHeight="1" x14ac:dyDescent="0.2">
      <c r="A53" s="38"/>
      <c r="B53" s="36" t="s">
        <v>29</v>
      </c>
      <c r="C53" s="38">
        <v>1</v>
      </c>
      <c r="D53" s="38">
        <v>1</v>
      </c>
      <c r="E53" s="38">
        <v>2</v>
      </c>
      <c r="F53" s="38">
        <v>2.6</v>
      </c>
      <c r="G53" s="38"/>
      <c r="H53" s="38">
        <f t="shared" ref="H53:H56" si="2">PRODUCT(C53:F53)</f>
        <v>5.2</v>
      </c>
      <c r="I53" s="38"/>
      <c r="J53" s="60"/>
      <c r="K53" s="56"/>
    </row>
    <row r="54" spans="1:11" ht="20.05" customHeight="1" x14ac:dyDescent="0.2">
      <c r="A54" s="38"/>
      <c r="B54" s="36" t="s">
        <v>38</v>
      </c>
      <c r="C54" s="38">
        <v>1</v>
      </c>
      <c r="D54" s="38">
        <v>1</v>
      </c>
      <c r="E54" s="38">
        <v>2</v>
      </c>
      <c r="F54" s="38">
        <v>2.6</v>
      </c>
      <c r="G54" s="38"/>
      <c r="H54" s="38">
        <f t="shared" si="2"/>
        <v>5.2</v>
      </c>
      <c r="I54" s="38"/>
      <c r="J54" s="60"/>
      <c r="K54" s="56"/>
    </row>
    <row r="55" spans="1:11" ht="20.05" customHeight="1" x14ac:dyDescent="0.2">
      <c r="A55" s="38"/>
      <c r="B55" s="36" t="s">
        <v>39</v>
      </c>
      <c r="C55" s="38">
        <v>1</v>
      </c>
      <c r="D55" s="38">
        <v>1</v>
      </c>
      <c r="E55" s="38">
        <v>2</v>
      </c>
      <c r="F55" s="38">
        <v>2.6</v>
      </c>
      <c r="G55" s="38"/>
      <c r="H55" s="38">
        <f t="shared" si="2"/>
        <v>5.2</v>
      </c>
      <c r="I55" s="38"/>
      <c r="J55" s="60"/>
      <c r="K55" s="56"/>
    </row>
    <row r="56" spans="1:11" ht="20.05" customHeight="1" x14ac:dyDescent="0.2">
      <c r="A56" s="38"/>
      <c r="B56" s="36" t="s">
        <v>41</v>
      </c>
      <c r="C56" s="38">
        <v>1</v>
      </c>
      <c r="D56" s="38">
        <v>2</v>
      </c>
      <c r="E56" s="38">
        <v>2</v>
      </c>
      <c r="F56" s="38">
        <v>2.6</v>
      </c>
      <c r="G56" s="38"/>
      <c r="H56" s="38">
        <f t="shared" si="2"/>
        <v>10.4</v>
      </c>
      <c r="I56" s="38"/>
      <c r="J56" s="60"/>
      <c r="K56" s="56"/>
    </row>
    <row r="57" spans="1:11" ht="20.05" customHeight="1" x14ac:dyDescent="0.2">
      <c r="A57" s="38"/>
      <c r="B57" s="36"/>
      <c r="C57" s="38"/>
      <c r="D57" s="38"/>
      <c r="E57" s="38"/>
      <c r="F57" s="38"/>
      <c r="G57" s="38"/>
      <c r="H57" s="40">
        <f>SUM(H53:H56)</f>
        <v>26</v>
      </c>
      <c r="I57" s="38" t="s">
        <v>154</v>
      </c>
      <c r="J57" s="60">
        <f>'C-Datas'!I145</f>
        <v>15268</v>
      </c>
      <c r="K57" s="56">
        <f>ROUND(H57*J57,0)</f>
        <v>396968</v>
      </c>
    </row>
    <row r="58" spans="1:11" ht="59.8" customHeight="1" x14ac:dyDescent="0.2">
      <c r="A58" s="38">
        <v>5</v>
      </c>
      <c r="B58" s="122" t="s">
        <v>300</v>
      </c>
      <c r="C58" s="123"/>
      <c r="D58" s="123"/>
      <c r="E58" s="123"/>
      <c r="F58" s="123"/>
      <c r="G58" s="124"/>
      <c r="H58" s="38"/>
      <c r="I58" s="38"/>
      <c r="J58" s="60"/>
      <c r="K58" s="56"/>
    </row>
    <row r="59" spans="1:11" ht="20.05" customHeight="1" x14ac:dyDescent="0.2">
      <c r="A59" s="38"/>
      <c r="B59" s="36" t="s">
        <v>5</v>
      </c>
      <c r="C59" s="38">
        <v>1</v>
      </c>
      <c r="D59" s="38">
        <v>2</v>
      </c>
      <c r="E59" s="38">
        <v>1.8</v>
      </c>
      <c r="F59" s="38">
        <v>1.8</v>
      </c>
      <c r="G59" s="38"/>
      <c r="H59" s="38">
        <f t="shared" ref="H59:H88" si="3">PRODUCT(C59:F59)</f>
        <v>6.48</v>
      </c>
      <c r="I59" s="38"/>
      <c r="J59" s="60"/>
      <c r="K59" s="56"/>
    </row>
    <row r="60" spans="1:11" ht="20.05" customHeight="1" x14ac:dyDescent="0.2">
      <c r="A60" s="38"/>
      <c r="B60" s="36"/>
      <c r="C60" s="38">
        <v>1</v>
      </c>
      <c r="D60" s="38">
        <v>2</v>
      </c>
      <c r="E60" s="38">
        <v>1.5</v>
      </c>
      <c r="F60" s="38">
        <v>1.8</v>
      </c>
      <c r="G60" s="38"/>
      <c r="H60" s="38">
        <f t="shared" si="3"/>
        <v>5.4</v>
      </c>
      <c r="I60" s="38"/>
      <c r="J60" s="60"/>
      <c r="K60" s="56"/>
    </row>
    <row r="61" spans="1:11" ht="20.05" customHeight="1" x14ac:dyDescent="0.2">
      <c r="A61" s="38"/>
      <c r="B61" s="36" t="s">
        <v>6</v>
      </c>
      <c r="C61" s="38">
        <v>1</v>
      </c>
      <c r="D61" s="38">
        <v>1</v>
      </c>
      <c r="E61" s="38">
        <v>1.8</v>
      </c>
      <c r="F61" s="38">
        <v>1.8</v>
      </c>
      <c r="G61" s="38"/>
      <c r="H61" s="38">
        <f t="shared" si="3"/>
        <v>3.24</v>
      </c>
      <c r="I61" s="38"/>
      <c r="J61" s="60"/>
      <c r="K61" s="56"/>
    </row>
    <row r="62" spans="1:11" ht="20.05" customHeight="1" x14ac:dyDescent="0.2">
      <c r="A62" s="38"/>
      <c r="B62" s="36" t="s">
        <v>7</v>
      </c>
      <c r="C62" s="38">
        <v>1</v>
      </c>
      <c r="D62" s="38">
        <v>1</v>
      </c>
      <c r="E62" s="38">
        <v>1.8</v>
      </c>
      <c r="F62" s="38">
        <v>1.8</v>
      </c>
      <c r="G62" s="38"/>
      <c r="H62" s="38">
        <f t="shared" si="3"/>
        <v>3.24</v>
      </c>
      <c r="I62" s="38"/>
      <c r="J62" s="60"/>
      <c r="K62" s="56"/>
    </row>
    <row r="63" spans="1:11" ht="20.05" customHeight="1" x14ac:dyDescent="0.2">
      <c r="A63" s="38"/>
      <c r="B63" s="36"/>
      <c r="C63" s="38">
        <v>1</v>
      </c>
      <c r="D63" s="38">
        <v>4</v>
      </c>
      <c r="E63" s="38">
        <v>1.5</v>
      </c>
      <c r="F63" s="38">
        <v>1.8</v>
      </c>
      <c r="G63" s="38"/>
      <c r="H63" s="38">
        <f t="shared" si="3"/>
        <v>10.8</v>
      </c>
      <c r="I63" s="38"/>
      <c r="J63" s="60"/>
      <c r="K63" s="56"/>
    </row>
    <row r="64" spans="1:11" ht="20.05" customHeight="1" x14ac:dyDescent="0.2">
      <c r="A64" s="38"/>
      <c r="B64" s="36" t="s">
        <v>8</v>
      </c>
      <c r="C64" s="38">
        <v>1</v>
      </c>
      <c r="D64" s="38">
        <v>1</v>
      </c>
      <c r="E64" s="38">
        <v>1.2</v>
      </c>
      <c r="F64" s="38">
        <v>1.8</v>
      </c>
      <c r="G64" s="38"/>
      <c r="H64" s="38">
        <f t="shared" si="3"/>
        <v>2.16</v>
      </c>
      <c r="I64" s="38"/>
      <c r="J64" s="60"/>
      <c r="K64" s="56"/>
    </row>
    <row r="65" spans="1:11" ht="20.05" customHeight="1" x14ac:dyDescent="0.2">
      <c r="A65" s="38"/>
      <c r="B65" s="36" t="s">
        <v>9</v>
      </c>
      <c r="C65" s="38">
        <v>1</v>
      </c>
      <c r="D65" s="38">
        <v>1</v>
      </c>
      <c r="E65" s="38">
        <v>1.2</v>
      </c>
      <c r="F65" s="38">
        <v>1.8</v>
      </c>
      <c r="G65" s="38"/>
      <c r="H65" s="38">
        <f t="shared" si="3"/>
        <v>2.16</v>
      </c>
      <c r="I65" s="38"/>
      <c r="J65" s="60"/>
      <c r="K65" s="56"/>
    </row>
    <row r="66" spans="1:11" ht="20.05" customHeight="1" x14ac:dyDescent="0.2">
      <c r="A66" s="38"/>
      <c r="B66" s="36" t="s">
        <v>11</v>
      </c>
      <c r="C66" s="38">
        <v>1</v>
      </c>
      <c r="D66" s="38">
        <v>1</v>
      </c>
      <c r="E66" s="38">
        <v>1.8</v>
      </c>
      <c r="F66" s="38">
        <v>1.8</v>
      </c>
      <c r="G66" s="38"/>
      <c r="H66" s="38">
        <f t="shared" si="3"/>
        <v>3.24</v>
      </c>
      <c r="I66" s="38"/>
      <c r="J66" s="60"/>
      <c r="K66" s="56"/>
    </row>
    <row r="67" spans="1:11" ht="20.05" customHeight="1" x14ac:dyDescent="0.2">
      <c r="A67" s="38"/>
      <c r="B67" s="36" t="s">
        <v>16</v>
      </c>
      <c r="C67" s="38">
        <v>1</v>
      </c>
      <c r="D67" s="38">
        <v>1</v>
      </c>
      <c r="E67" s="38">
        <v>1.2</v>
      </c>
      <c r="F67" s="38">
        <v>1.8</v>
      </c>
      <c r="G67" s="38"/>
      <c r="H67" s="38">
        <f t="shared" si="3"/>
        <v>2.16</v>
      </c>
      <c r="I67" s="38"/>
      <c r="J67" s="60"/>
      <c r="K67" s="56"/>
    </row>
    <row r="68" spans="1:11" ht="20.05" customHeight="1" x14ac:dyDescent="0.2">
      <c r="A68" s="38"/>
      <c r="B68" s="36" t="s">
        <v>17</v>
      </c>
      <c r="C68" s="38">
        <v>1</v>
      </c>
      <c r="D68" s="38">
        <v>1</v>
      </c>
      <c r="E68" s="38">
        <v>0.9</v>
      </c>
      <c r="F68" s="38">
        <v>1.8</v>
      </c>
      <c r="G68" s="38"/>
      <c r="H68" s="38">
        <f t="shared" si="3"/>
        <v>1.62</v>
      </c>
      <c r="I68" s="38"/>
      <c r="J68" s="60"/>
      <c r="K68" s="56"/>
    </row>
    <row r="69" spans="1:11" ht="20.05" customHeight="1" x14ac:dyDescent="0.2">
      <c r="A69" s="38"/>
      <c r="B69" s="36" t="s">
        <v>18</v>
      </c>
      <c r="C69" s="38">
        <v>1</v>
      </c>
      <c r="D69" s="38">
        <v>1</v>
      </c>
      <c r="E69" s="38">
        <v>1.2</v>
      </c>
      <c r="F69" s="38">
        <v>1.8</v>
      </c>
      <c r="G69" s="38"/>
      <c r="H69" s="38">
        <f t="shared" si="3"/>
        <v>2.16</v>
      </c>
      <c r="I69" s="38"/>
      <c r="J69" s="60"/>
      <c r="K69" s="56"/>
    </row>
    <row r="70" spans="1:11" ht="20.05" customHeight="1" x14ac:dyDescent="0.2">
      <c r="A70" s="38"/>
      <c r="B70" s="36" t="s">
        <v>106</v>
      </c>
      <c r="C70" s="38">
        <v>1</v>
      </c>
      <c r="D70" s="38">
        <v>1</v>
      </c>
      <c r="E70" s="38">
        <v>1.2</v>
      </c>
      <c r="F70" s="38">
        <v>1.8</v>
      </c>
      <c r="G70" s="38"/>
      <c r="H70" s="38">
        <f t="shared" si="3"/>
        <v>2.16</v>
      </c>
      <c r="I70" s="38"/>
      <c r="J70" s="60"/>
      <c r="K70" s="56"/>
    </row>
    <row r="71" spans="1:11" ht="20.05" customHeight="1" x14ac:dyDescent="0.2">
      <c r="A71" s="38"/>
      <c r="B71" s="36" t="s">
        <v>19</v>
      </c>
      <c r="C71" s="38">
        <v>1</v>
      </c>
      <c r="D71" s="38">
        <v>2</v>
      </c>
      <c r="E71" s="38">
        <v>1.8</v>
      </c>
      <c r="F71" s="38">
        <v>1.8</v>
      </c>
      <c r="G71" s="38"/>
      <c r="H71" s="38">
        <f t="shared" si="3"/>
        <v>6.48</v>
      </c>
      <c r="I71" s="38"/>
      <c r="J71" s="60"/>
      <c r="K71" s="56"/>
    </row>
    <row r="72" spans="1:11" ht="20.05" customHeight="1" x14ac:dyDescent="0.2">
      <c r="A72" s="38"/>
      <c r="B72" s="36" t="s">
        <v>117</v>
      </c>
      <c r="C72" s="38">
        <v>1</v>
      </c>
      <c r="D72" s="38">
        <v>1</v>
      </c>
      <c r="E72" s="38">
        <v>1.2</v>
      </c>
      <c r="F72" s="38">
        <v>1.8</v>
      </c>
      <c r="G72" s="38"/>
      <c r="H72" s="38">
        <f t="shared" si="3"/>
        <v>2.16</v>
      </c>
      <c r="I72" s="38"/>
      <c r="J72" s="60"/>
      <c r="K72" s="56"/>
    </row>
    <row r="73" spans="1:11" ht="20.05" customHeight="1" x14ac:dyDescent="0.2">
      <c r="A73" s="38"/>
      <c r="B73" s="36" t="s">
        <v>111</v>
      </c>
      <c r="C73" s="38">
        <v>1</v>
      </c>
      <c r="D73" s="38">
        <v>1</v>
      </c>
      <c r="E73" s="38">
        <v>1.2</v>
      </c>
      <c r="F73" s="38">
        <v>1.8</v>
      </c>
      <c r="G73" s="38"/>
      <c r="H73" s="38">
        <f t="shared" si="3"/>
        <v>2.16</v>
      </c>
      <c r="I73" s="38"/>
      <c r="J73" s="60"/>
      <c r="K73" s="56"/>
    </row>
    <row r="74" spans="1:11" ht="20.05" customHeight="1" x14ac:dyDescent="0.2">
      <c r="A74" s="38"/>
      <c r="B74" s="36" t="s">
        <v>22</v>
      </c>
      <c r="C74" s="38">
        <v>1</v>
      </c>
      <c r="D74" s="38">
        <v>1</v>
      </c>
      <c r="E74" s="38">
        <v>1.2</v>
      </c>
      <c r="F74" s="38">
        <v>1.8</v>
      </c>
      <c r="G74" s="38"/>
      <c r="H74" s="38">
        <f t="shared" si="3"/>
        <v>2.16</v>
      </c>
      <c r="I74" s="38"/>
      <c r="J74" s="60"/>
      <c r="K74" s="56"/>
    </row>
    <row r="75" spans="1:11" ht="20.05" customHeight="1" x14ac:dyDescent="0.2">
      <c r="A75" s="38"/>
      <c r="B75" s="36" t="s">
        <v>23</v>
      </c>
      <c r="C75" s="38">
        <v>1</v>
      </c>
      <c r="D75" s="38">
        <v>1</v>
      </c>
      <c r="E75" s="38">
        <v>1.8</v>
      </c>
      <c r="F75" s="38">
        <v>1.8</v>
      </c>
      <c r="G75" s="38"/>
      <c r="H75" s="38">
        <f t="shared" si="3"/>
        <v>3.24</v>
      </c>
      <c r="I75" s="38"/>
      <c r="J75" s="60"/>
      <c r="K75" s="56"/>
    </row>
    <row r="76" spans="1:11" ht="20.05" customHeight="1" x14ac:dyDescent="0.2">
      <c r="A76" s="38"/>
      <c r="B76" s="36" t="s">
        <v>24</v>
      </c>
      <c r="C76" s="38">
        <v>1</v>
      </c>
      <c r="D76" s="38">
        <v>1</v>
      </c>
      <c r="E76" s="38">
        <v>1.5</v>
      </c>
      <c r="F76" s="38">
        <v>1.8</v>
      </c>
      <c r="G76" s="38"/>
      <c r="H76" s="38">
        <f t="shared" si="3"/>
        <v>2.7</v>
      </c>
      <c r="I76" s="38"/>
      <c r="J76" s="60"/>
      <c r="K76" s="56"/>
    </row>
    <row r="77" spans="1:11" ht="20.05" customHeight="1" x14ac:dyDescent="0.2">
      <c r="A77" s="38"/>
      <c r="B77" s="36" t="s">
        <v>45</v>
      </c>
      <c r="C77" s="38">
        <v>1</v>
      </c>
      <c r="D77" s="38">
        <v>1</v>
      </c>
      <c r="E77" s="38">
        <v>1.8</v>
      </c>
      <c r="F77" s="38">
        <v>1.8</v>
      </c>
      <c r="G77" s="38"/>
      <c r="H77" s="38">
        <f t="shared" si="3"/>
        <v>3.24</v>
      </c>
      <c r="I77" s="38"/>
      <c r="J77" s="60"/>
      <c r="K77" s="56"/>
    </row>
    <row r="78" spans="1:11" ht="20.05" customHeight="1" x14ac:dyDescent="0.2">
      <c r="A78" s="38"/>
      <c r="B78" s="36" t="s">
        <v>27</v>
      </c>
      <c r="C78" s="38">
        <v>1</v>
      </c>
      <c r="D78" s="38">
        <v>1</v>
      </c>
      <c r="E78" s="38">
        <v>1.8</v>
      </c>
      <c r="F78" s="38">
        <v>1.8</v>
      </c>
      <c r="G78" s="38"/>
      <c r="H78" s="38">
        <f t="shared" si="3"/>
        <v>3.24</v>
      </c>
      <c r="I78" s="38"/>
      <c r="J78" s="60"/>
      <c r="K78" s="56"/>
    </row>
    <row r="79" spans="1:11" ht="20.05" customHeight="1" x14ac:dyDescent="0.2">
      <c r="A79" s="38"/>
      <c r="B79" s="36" t="s">
        <v>28</v>
      </c>
      <c r="C79" s="38">
        <v>1</v>
      </c>
      <c r="D79" s="38">
        <v>1</v>
      </c>
      <c r="E79" s="38">
        <v>1.5</v>
      </c>
      <c r="F79" s="38">
        <v>1.8</v>
      </c>
      <c r="G79" s="38"/>
      <c r="H79" s="38">
        <f t="shared" si="3"/>
        <v>2.7</v>
      </c>
      <c r="I79" s="38"/>
      <c r="J79" s="60"/>
      <c r="K79" s="56"/>
    </row>
    <row r="80" spans="1:11" ht="20.05" customHeight="1" x14ac:dyDescent="0.2">
      <c r="A80" s="38"/>
      <c r="B80" s="36" t="s">
        <v>30</v>
      </c>
      <c r="C80" s="38">
        <v>1</v>
      </c>
      <c r="D80" s="38">
        <v>1</v>
      </c>
      <c r="E80" s="38">
        <v>1.8</v>
      </c>
      <c r="F80" s="38">
        <v>1.8</v>
      </c>
      <c r="G80" s="38"/>
      <c r="H80" s="38">
        <f t="shared" si="3"/>
        <v>3.24</v>
      </c>
      <c r="I80" s="38"/>
      <c r="J80" s="60"/>
      <c r="K80" s="56"/>
    </row>
    <row r="81" spans="1:11" ht="20.05" customHeight="1" x14ac:dyDescent="0.2">
      <c r="A81" s="38"/>
      <c r="B81" s="36" t="s">
        <v>31</v>
      </c>
      <c r="C81" s="38">
        <v>1</v>
      </c>
      <c r="D81" s="38">
        <v>3</v>
      </c>
      <c r="E81" s="38">
        <v>1.8</v>
      </c>
      <c r="F81" s="38">
        <v>1.8</v>
      </c>
      <c r="G81" s="38"/>
      <c r="H81" s="38">
        <f t="shared" si="3"/>
        <v>9.7200000000000006</v>
      </c>
      <c r="I81" s="38"/>
      <c r="J81" s="60"/>
      <c r="K81" s="56"/>
    </row>
    <row r="82" spans="1:11" ht="20.05" customHeight="1" x14ac:dyDescent="0.2">
      <c r="A82" s="38"/>
      <c r="B82" s="36" t="s">
        <v>34</v>
      </c>
      <c r="C82" s="38">
        <v>1</v>
      </c>
      <c r="D82" s="38">
        <v>1</v>
      </c>
      <c r="E82" s="38">
        <v>1.5</v>
      </c>
      <c r="F82" s="38">
        <v>1.8</v>
      </c>
      <c r="G82" s="38"/>
      <c r="H82" s="38">
        <f t="shared" si="3"/>
        <v>2.7</v>
      </c>
      <c r="I82" s="38"/>
      <c r="J82" s="60"/>
      <c r="K82" s="56"/>
    </row>
    <row r="83" spans="1:11" ht="20.05" customHeight="1" x14ac:dyDescent="0.2">
      <c r="A83" s="38"/>
      <c r="B83" s="36" t="s">
        <v>35</v>
      </c>
      <c r="C83" s="38">
        <v>1</v>
      </c>
      <c r="D83" s="38">
        <v>1</v>
      </c>
      <c r="E83" s="38">
        <v>1.5</v>
      </c>
      <c r="F83" s="38">
        <v>1.8</v>
      </c>
      <c r="G83" s="38"/>
      <c r="H83" s="38">
        <f t="shared" si="3"/>
        <v>2.7</v>
      </c>
      <c r="I83" s="38"/>
      <c r="J83" s="60"/>
      <c r="K83" s="56"/>
    </row>
    <row r="84" spans="1:11" ht="20.05" customHeight="1" x14ac:dyDescent="0.2">
      <c r="A84" s="38"/>
      <c r="B84" s="36" t="s">
        <v>36</v>
      </c>
      <c r="C84" s="38">
        <v>1</v>
      </c>
      <c r="D84" s="38">
        <v>5</v>
      </c>
      <c r="E84" s="38">
        <v>1.8</v>
      </c>
      <c r="F84" s="38">
        <v>1.8</v>
      </c>
      <c r="G84" s="38"/>
      <c r="H84" s="38">
        <f t="shared" si="3"/>
        <v>16.2</v>
      </c>
      <c r="I84" s="38"/>
      <c r="J84" s="60"/>
      <c r="K84" s="56"/>
    </row>
    <row r="85" spans="1:11" ht="20.05" customHeight="1" x14ac:dyDescent="0.2">
      <c r="A85" s="38"/>
      <c r="B85" s="36" t="s">
        <v>37</v>
      </c>
      <c r="C85" s="38">
        <v>1</v>
      </c>
      <c r="D85" s="38">
        <v>1</v>
      </c>
      <c r="E85" s="38">
        <v>1.8</v>
      </c>
      <c r="F85" s="38">
        <v>1.8</v>
      </c>
      <c r="G85" s="38"/>
      <c r="H85" s="38">
        <f t="shared" si="3"/>
        <v>3.24</v>
      </c>
      <c r="I85" s="38"/>
      <c r="J85" s="60"/>
      <c r="K85" s="56"/>
    </row>
    <row r="86" spans="1:11" ht="20.05" customHeight="1" x14ac:dyDescent="0.2">
      <c r="A86" s="38"/>
      <c r="B86" s="36" t="s">
        <v>38</v>
      </c>
      <c r="C86" s="38">
        <v>1</v>
      </c>
      <c r="D86" s="38">
        <v>1</v>
      </c>
      <c r="E86" s="38">
        <v>1.5</v>
      </c>
      <c r="F86" s="38">
        <v>1.8</v>
      </c>
      <c r="G86" s="38"/>
      <c r="H86" s="38">
        <f t="shared" si="3"/>
        <v>2.7</v>
      </c>
      <c r="I86" s="38"/>
      <c r="J86" s="60"/>
      <c r="K86" s="56"/>
    </row>
    <row r="87" spans="1:11" ht="20.05" customHeight="1" x14ac:dyDescent="0.2">
      <c r="A87" s="38"/>
      <c r="B87" s="36" t="s">
        <v>40</v>
      </c>
      <c r="C87" s="38">
        <v>1</v>
      </c>
      <c r="D87" s="38">
        <v>2</v>
      </c>
      <c r="E87" s="38">
        <v>1.8</v>
      </c>
      <c r="F87" s="38">
        <v>1.8</v>
      </c>
      <c r="G87" s="38"/>
      <c r="H87" s="38">
        <f t="shared" si="3"/>
        <v>6.48</v>
      </c>
      <c r="I87" s="38"/>
      <c r="J87" s="60"/>
      <c r="K87" s="56"/>
    </row>
    <row r="88" spans="1:11" ht="20.05" customHeight="1" x14ac:dyDescent="0.2">
      <c r="A88" s="38"/>
      <c r="B88" s="36" t="s">
        <v>41</v>
      </c>
      <c r="C88" s="38">
        <v>1</v>
      </c>
      <c r="D88" s="38">
        <v>1</v>
      </c>
      <c r="E88" s="38">
        <v>1.8</v>
      </c>
      <c r="F88" s="38">
        <v>1.8</v>
      </c>
      <c r="G88" s="38"/>
      <c r="H88" s="38">
        <f t="shared" si="3"/>
        <v>3.24</v>
      </c>
      <c r="I88" s="38"/>
      <c r="J88" s="60"/>
      <c r="K88" s="56"/>
    </row>
    <row r="89" spans="1:11" ht="20.05" customHeight="1" x14ac:dyDescent="0.2">
      <c r="A89" s="38"/>
      <c r="B89" s="36"/>
      <c r="C89" s="38"/>
      <c r="D89" s="38"/>
      <c r="E89" s="38"/>
      <c r="F89" s="38"/>
      <c r="G89" s="38"/>
      <c r="H89" s="40">
        <f>SUM(H59:H88)</f>
        <v>123.12</v>
      </c>
      <c r="I89" s="38" t="s">
        <v>154</v>
      </c>
      <c r="J89" s="60">
        <f>'C-Datas'!I151</f>
        <v>8088</v>
      </c>
      <c r="K89" s="56">
        <f>ROUND(H89*J89,0)</f>
        <v>995795</v>
      </c>
    </row>
    <row r="90" spans="1:11" ht="59.8" customHeight="1" x14ac:dyDescent="0.2">
      <c r="A90" s="38">
        <v>6</v>
      </c>
      <c r="B90" s="122" t="s">
        <v>302</v>
      </c>
      <c r="C90" s="137"/>
      <c r="D90" s="137"/>
      <c r="E90" s="137"/>
      <c r="F90" s="137"/>
      <c r="G90" s="138"/>
      <c r="H90" s="38"/>
      <c r="I90" s="38"/>
      <c r="J90" s="60"/>
      <c r="K90" s="56"/>
    </row>
    <row r="91" spans="1:11" ht="20.05" customHeight="1" x14ac:dyDescent="0.2">
      <c r="A91" s="38"/>
      <c r="B91" s="36" t="s">
        <v>180</v>
      </c>
      <c r="C91" s="38">
        <v>1</v>
      </c>
      <c r="D91" s="38">
        <v>1</v>
      </c>
      <c r="E91" s="38">
        <v>0.6</v>
      </c>
      <c r="F91" s="38">
        <v>0.6</v>
      </c>
      <c r="G91" s="38"/>
      <c r="H91" s="38">
        <f t="shared" ref="H91:H96" si="4">PRODUCT(C91:F91)</f>
        <v>0.36</v>
      </c>
      <c r="I91" s="38"/>
      <c r="J91" s="60"/>
      <c r="K91" s="56"/>
    </row>
    <row r="92" spans="1:11" ht="20.05" customHeight="1" x14ac:dyDescent="0.2">
      <c r="A92" s="38"/>
      <c r="B92" s="36" t="s">
        <v>12</v>
      </c>
      <c r="C92" s="38">
        <v>1</v>
      </c>
      <c r="D92" s="38">
        <v>1</v>
      </c>
      <c r="E92" s="38">
        <v>0.6</v>
      </c>
      <c r="F92" s="38">
        <v>0.6</v>
      </c>
      <c r="G92" s="38"/>
      <c r="H92" s="38">
        <f t="shared" si="4"/>
        <v>0.36</v>
      </c>
      <c r="I92" s="38"/>
      <c r="J92" s="60"/>
      <c r="K92" s="56"/>
    </row>
    <row r="93" spans="1:11" ht="20.05" customHeight="1" x14ac:dyDescent="0.2">
      <c r="A93" s="38"/>
      <c r="B93" s="36" t="s">
        <v>13</v>
      </c>
      <c r="C93" s="38">
        <v>1</v>
      </c>
      <c r="D93" s="38">
        <v>1</v>
      </c>
      <c r="E93" s="38">
        <v>0.6</v>
      </c>
      <c r="F93" s="38">
        <v>0.6</v>
      </c>
      <c r="G93" s="38"/>
      <c r="H93" s="38">
        <f t="shared" si="4"/>
        <v>0.36</v>
      </c>
      <c r="I93" s="38"/>
      <c r="J93" s="60"/>
      <c r="K93" s="56"/>
    </row>
    <row r="94" spans="1:11" ht="20.05" customHeight="1" x14ac:dyDescent="0.2">
      <c r="A94" s="38"/>
      <c r="B94" s="36" t="s">
        <v>14</v>
      </c>
      <c r="C94" s="38">
        <v>1</v>
      </c>
      <c r="D94" s="38">
        <v>1</v>
      </c>
      <c r="E94" s="38">
        <v>0.6</v>
      </c>
      <c r="F94" s="38">
        <v>0.6</v>
      </c>
      <c r="G94" s="38"/>
      <c r="H94" s="38">
        <f t="shared" si="4"/>
        <v>0.36</v>
      </c>
      <c r="I94" s="38"/>
      <c r="J94" s="60"/>
      <c r="K94" s="56"/>
    </row>
    <row r="95" spans="1:11" ht="20.05" customHeight="1" x14ac:dyDescent="0.2">
      <c r="A95" s="38"/>
      <c r="B95" s="36" t="s">
        <v>15</v>
      </c>
      <c r="C95" s="38">
        <v>1</v>
      </c>
      <c r="D95" s="38">
        <v>1</v>
      </c>
      <c r="E95" s="38">
        <v>0.6</v>
      </c>
      <c r="F95" s="38">
        <v>0.6</v>
      </c>
      <c r="G95" s="38"/>
      <c r="H95" s="38">
        <f t="shared" si="4"/>
        <v>0.36</v>
      </c>
      <c r="I95" s="38"/>
      <c r="J95" s="60"/>
      <c r="K95" s="56"/>
    </row>
    <row r="96" spans="1:11" ht="20.05" customHeight="1" x14ac:dyDescent="0.2">
      <c r="A96" s="38"/>
      <c r="B96" s="36" t="s">
        <v>181</v>
      </c>
      <c r="C96" s="38">
        <v>1</v>
      </c>
      <c r="D96" s="38">
        <v>1</v>
      </c>
      <c r="E96" s="38">
        <v>0.6</v>
      </c>
      <c r="F96" s="38">
        <v>0.6</v>
      </c>
      <c r="G96" s="38"/>
      <c r="H96" s="38">
        <f t="shared" si="4"/>
        <v>0.36</v>
      </c>
      <c r="I96" s="38"/>
      <c r="J96" s="60"/>
      <c r="K96" s="56"/>
    </row>
    <row r="97" spans="1:11" ht="20.05" customHeight="1" x14ac:dyDescent="0.2">
      <c r="A97" s="38"/>
      <c r="B97" s="36"/>
      <c r="C97" s="38"/>
      <c r="D97" s="38"/>
      <c r="E97" s="38"/>
      <c r="F97" s="38"/>
      <c r="G97" s="38"/>
      <c r="H97" s="40">
        <f>SUM(H91:H96)</f>
        <v>2.1599999999999997</v>
      </c>
      <c r="I97" s="38" t="s">
        <v>154</v>
      </c>
      <c r="J97" s="60">
        <f>'C-Datas'!I157</f>
        <v>7279</v>
      </c>
      <c r="K97" s="56">
        <f>ROUND(H97*J97,0)</f>
        <v>15723</v>
      </c>
    </row>
    <row r="98" spans="1:11" ht="58.45" customHeight="1" x14ac:dyDescent="0.2">
      <c r="A98" s="38">
        <v>7</v>
      </c>
      <c r="B98" s="122" t="s">
        <v>305</v>
      </c>
      <c r="C98" s="123"/>
      <c r="D98" s="123"/>
      <c r="E98" s="123"/>
      <c r="F98" s="123"/>
      <c r="G98" s="124"/>
      <c r="H98" s="38"/>
      <c r="I98" s="38"/>
      <c r="J98" s="60"/>
      <c r="K98" s="56"/>
    </row>
    <row r="99" spans="1:11" ht="20.05" customHeight="1" x14ac:dyDescent="0.2">
      <c r="A99" s="38"/>
      <c r="B99" s="36" t="s">
        <v>5</v>
      </c>
      <c r="C99" s="38">
        <v>1</v>
      </c>
      <c r="D99" s="38">
        <v>1</v>
      </c>
      <c r="E99" s="41">
        <v>4.13</v>
      </c>
      <c r="F99" s="41">
        <v>7.6050000000000004</v>
      </c>
      <c r="G99" s="38"/>
      <c r="H99" s="41">
        <f t="shared" ref="H99:H143" si="5">PRODUCT(C99:F99)</f>
        <v>31.408650000000002</v>
      </c>
      <c r="I99" s="38"/>
      <c r="J99" s="60"/>
      <c r="K99" s="56"/>
    </row>
    <row r="100" spans="1:11" ht="20.05" customHeight="1" x14ac:dyDescent="0.2">
      <c r="A100" s="38"/>
      <c r="B100" s="36" t="s">
        <v>44</v>
      </c>
      <c r="C100" s="38">
        <v>1</v>
      </c>
      <c r="D100" s="38">
        <v>1</v>
      </c>
      <c r="E100" s="41">
        <v>6.3949999999999996</v>
      </c>
      <c r="F100" s="41">
        <v>6</v>
      </c>
      <c r="G100" s="38"/>
      <c r="H100" s="41">
        <f t="shared" si="5"/>
        <v>38.369999999999997</v>
      </c>
      <c r="I100" s="38"/>
      <c r="J100" s="60"/>
      <c r="K100" s="56"/>
    </row>
    <row r="101" spans="1:11" ht="20.05" customHeight="1" x14ac:dyDescent="0.2">
      <c r="A101" s="38"/>
      <c r="B101" s="36" t="s">
        <v>25</v>
      </c>
      <c r="C101" s="38">
        <v>1</v>
      </c>
      <c r="D101" s="38">
        <v>1</v>
      </c>
      <c r="E101" s="41">
        <v>2.4</v>
      </c>
      <c r="F101" s="41">
        <v>3.7149999999999999</v>
      </c>
      <c r="G101" s="38"/>
      <c r="H101" s="41">
        <f t="shared" si="5"/>
        <v>8.9159999999999986</v>
      </c>
      <c r="I101" s="38"/>
      <c r="J101" s="60"/>
      <c r="K101" s="56"/>
    </row>
    <row r="102" spans="1:11" ht="20.05" customHeight="1" x14ac:dyDescent="0.2">
      <c r="A102" s="38"/>
      <c r="B102" s="36" t="s">
        <v>112</v>
      </c>
      <c r="C102" s="38">
        <v>1</v>
      </c>
      <c r="D102" s="38">
        <v>1</v>
      </c>
      <c r="E102" s="41">
        <v>2.4</v>
      </c>
      <c r="F102" s="41">
        <v>2.4</v>
      </c>
      <c r="G102" s="38"/>
      <c r="H102" s="41">
        <f t="shared" si="5"/>
        <v>5.76</v>
      </c>
      <c r="I102" s="38"/>
      <c r="J102" s="60"/>
      <c r="K102" s="56"/>
    </row>
    <row r="103" spans="1:11" ht="20.05" customHeight="1" x14ac:dyDescent="0.2">
      <c r="A103" s="38"/>
      <c r="B103" s="36" t="s">
        <v>46</v>
      </c>
      <c r="C103" s="38">
        <v>1</v>
      </c>
      <c r="D103" s="38">
        <v>1</v>
      </c>
      <c r="E103" s="41">
        <v>6.3</v>
      </c>
      <c r="F103" s="41">
        <v>6</v>
      </c>
      <c r="G103" s="38"/>
      <c r="H103" s="41">
        <f t="shared" si="5"/>
        <v>37.799999999999997</v>
      </c>
      <c r="I103" s="38"/>
      <c r="J103" s="60"/>
      <c r="K103" s="56"/>
    </row>
    <row r="104" spans="1:11" ht="20.05" customHeight="1" x14ac:dyDescent="0.2">
      <c r="A104" s="38"/>
      <c r="B104" s="36" t="s">
        <v>6</v>
      </c>
      <c r="C104" s="38">
        <v>1</v>
      </c>
      <c r="D104" s="38">
        <v>1</v>
      </c>
      <c r="E104" s="41">
        <v>3.085</v>
      </c>
      <c r="F104" s="41">
        <v>7.6050000000000004</v>
      </c>
      <c r="G104" s="38"/>
      <c r="H104" s="41">
        <f t="shared" si="5"/>
        <v>23.461425000000002</v>
      </c>
      <c r="I104" s="38"/>
      <c r="J104" s="60"/>
      <c r="K104" s="56"/>
    </row>
    <row r="105" spans="1:11" ht="20.05" customHeight="1" x14ac:dyDescent="0.2">
      <c r="A105" s="38"/>
      <c r="B105" s="36" t="s">
        <v>7</v>
      </c>
      <c r="C105" s="38">
        <v>1</v>
      </c>
      <c r="D105" s="38">
        <v>1</v>
      </c>
      <c r="E105" s="41">
        <v>8.6449999999999996</v>
      </c>
      <c r="F105" s="41">
        <v>7.6050000000000004</v>
      </c>
      <c r="G105" s="38"/>
      <c r="H105" s="41">
        <f t="shared" si="5"/>
        <v>65.745225000000005</v>
      </c>
      <c r="I105" s="38"/>
      <c r="J105" s="60"/>
      <c r="K105" s="56"/>
    </row>
    <row r="106" spans="1:11" ht="20.05" customHeight="1" x14ac:dyDescent="0.2">
      <c r="A106" s="38"/>
      <c r="B106" s="36" t="s">
        <v>8</v>
      </c>
      <c r="C106" s="38">
        <v>1</v>
      </c>
      <c r="D106" s="38">
        <v>1</v>
      </c>
      <c r="E106" s="41">
        <v>2.875</v>
      </c>
      <c r="F106" s="41">
        <v>5.52</v>
      </c>
      <c r="G106" s="38"/>
      <c r="H106" s="41">
        <f t="shared" si="5"/>
        <v>15.87</v>
      </c>
      <c r="I106" s="38"/>
      <c r="J106" s="60"/>
      <c r="K106" s="56"/>
    </row>
    <row r="107" spans="1:11" ht="20.05" customHeight="1" x14ac:dyDescent="0.2">
      <c r="A107" s="38"/>
      <c r="B107" s="36" t="s">
        <v>9</v>
      </c>
      <c r="C107" s="38">
        <v>1</v>
      </c>
      <c r="D107" s="38">
        <v>1</v>
      </c>
      <c r="E107" s="41">
        <v>2.875</v>
      </c>
      <c r="F107" s="41">
        <v>5.52</v>
      </c>
      <c r="G107" s="38"/>
      <c r="H107" s="41">
        <f t="shared" si="5"/>
        <v>15.87</v>
      </c>
      <c r="I107" s="38"/>
      <c r="J107" s="60"/>
      <c r="K107" s="56"/>
    </row>
    <row r="108" spans="1:11" ht="20.05" customHeight="1" x14ac:dyDescent="0.2">
      <c r="A108" s="38"/>
      <c r="B108" s="36" t="s">
        <v>10</v>
      </c>
      <c r="C108" s="38">
        <v>1</v>
      </c>
      <c r="D108" s="38">
        <v>1</v>
      </c>
      <c r="E108" s="41">
        <v>5.8650000000000002</v>
      </c>
      <c r="F108" s="41">
        <v>4.5999999999999996</v>
      </c>
      <c r="G108" s="38"/>
      <c r="H108" s="41">
        <f t="shared" si="5"/>
        <v>26.978999999999999</v>
      </c>
      <c r="I108" s="38"/>
      <c r="J108" s="60"/>
      <c r="K108" s="56"/>
    </row>
    <row r="109" spans="1:11" ht="20.05" customHeight="1" x14ac:dyDescent="0.2">
      <c r="A109" s="38"/>
      <c r="B109" s="36" t="s">
        <v>11</v>
      </c>
      <c r="C109" s="38">
        <v>1</v>
      </c>
      <c r="D109" s="38">
        <v>1</v>
      </c>
      <c r="E109" s="41">
        <v>7.1349999999999998</v>
      </c>
      <c r="F109" s="41">
        <v>3.83</v>
      </c>
      <c r="G109" s="38"/>
      <c r="H109" s="41">
        <f t="shared" si="5"/>
        <v>27.32705</v>
      </c>
      <c r="I109" s="38"/>
      <c r="J109" s="60"/>
      <c r="K109" s="56"/>
    </row>
    <row r="110" spans="1:11" ht="20.05" customHeight="1" x14ac:dyDescent="0.2">
      <c r="A110" s="38"/>
      <c r="B110" s="36" t="s">
        <v>51</v>
      </c>
      <c r="C110" s="38">
        <v>1</v>
      </c>
      <c r="D110" s="38">
        <v>1</v>
      </c>
      <c r="E110" s="41">
        <v>11.702999999999999</v>
      </c>
      <c r="F110" s="41">
        <v>1.8</v>
      </c>
      <c r="G110" s="38"/>
      <c r="H110" s="41">
        <f t="shared" si="5"/>
        <v>21.0654</v>
      </c>
      <c r="I110" s="38"/>
      <c r="J110" s="60"/>
      <c r="K110" s="56"/>
    </row>
    <row r="111" spans="1:11" ht="20.05" customHeight="1" x14ac:dyDescent="0.2">
      <c r="A111" s="38"/>
      <c r="B111" s="36" t="s">
        <v>16</v>
      </c>
      <c r="C111" s="38">
        <v>1</v>
      </c>
      <c r="D111" s="38">
        <v>1</v>
      </c>
      <c r="E111" s="41">
        <v>2.08</v>
      </c>
      <c r="F111" s="41">
        <v>1.8</v>
      </c>
      <c r="G111" s="38"/>
      <c r="H111" s="41">
        <f t="shared" si="5"/>
        <v>3.7440000000000002</v>
      </c>
      <c r="I111" s="38"/>
      <c r="J111" s="60"/>
      <c r="K111" s="56"/>
    </row>
    <row r="112" spans="1:11" ht="20.05" customHeight="1" x14ac:dyDescent="0.2">
      <c r="A112" s="38"/>
      <c r="B112" s="36" t="s">
        <v>17</v>
      </c>
      <c r="C112" s="38">
        <v>1</v>
      </c>
      <c r="D112" s="38">
        <v>1</v>
      </c>
      <c r="E112" s="41">
        <v>1.9650000000000001</v>
      </c>
      <c r="F112" s="41">
        <v>1.8</v>
      </c>
      <c r="G112" s="38"/>
      <c r="H112" s="41">
        <f t="shared" si="5"/>
        <v>3.5370000000000004</v>
      </c>
      <c r="I112" s="38"/>
      <c r="J112" s="60"/>
      <c r="K112" s="56"/>
    </row>
    <row r="113" spans="1:11" ht="20.05" customHeight="1" x14ac:dyDescent="0.2">
      <c r="A113" s="38"/>
      <c r="B113" s="36" t="s">
        <v>18</v>
      </c>
      <c r="C113" s="38">
        <v>1</v>
      </c>
      <c r="D113" s="38">
        <v>1</v>
      </c>
      <c r="E113" s="41">
        <v>1.95</v>
      </c>
      <c r="F113" s="41">
        <v>1.8</v>
      </c>
      <c r="G113" s="38"/>
      <c r="H113" s="41">
        <f t="shared" si="5"/>
        <v>3.51</v>
      </c>
      <c r="I113" s="38"/>
      <c r="J113" s="60"/>
      <c r="K113" s="56"/>
    </row>
    <row r="114" spans="1:11" ht="20.05" customHeight="1" x14ac:dyDescent="0.2">
      <c r="A114" s="38"/>
      <c r="B114" s="36" t="s">
        <v>106</v>
      </c>
      <c r="C114" s="38">
        <v>1</v>
      </c>
      <c r="D114" s="38">
        <v>1</v>
      </c>
      <c r="E114" s="41">
        <v>1.95</v>
      </c>
      <c r="F114" s="41">
        <v>1.8</v>
      </c>
      <c r="G114" s="38"/>
      <c r="H114" s="41">
        <f t="shared" si="5"/>
        <v>3.51</v>
      </c>
      <c r="I114" s="38"/>
      <c r="J114" s="60"/>
      <c r="K114" s="56"/>
    </row>
    <row r="115" spans="1:11" ht="20.05" customHeight="1" x14ac:dyDescent="0.2">
      <c r="A115" s="38"/>
      <c r="B115" s="36" t="s">
        <v>19</v>
      </c>
      <c r="C115" s="38">
        <v>1</v>
      </c>
      <c r="D115" s="38">
        <v>1</v>
      </c>
      <c r="E115" s="41">
        <v>6.3</v>
      </c>
      <c r="F115" s="41">
        <v>3.6</v>
      </c>
      <c r="G115" s="38"/>
      <c r="H115" s="41">
        <f t="shared" si="5"/>
        <v>22.68</v>
      </c>
      <c r="I115" s="38"/>
      <c r="J115" s="60"/>
      <c r="K115" s="56"/>
    </row>
    <row r="116" spans="1:11" ht="20.05" customHeight="1" x14ac:dyDescent="0.2">
      <c r="A116" s="38"/>
      <c r="B116" s="36" t="s">
        <v>117</v>
      </c>
      <c r="C116" s="38">
        <v>1</v>
      </c>
      <c r="D116" s="38">
        <v>1</v>
      </c>
      <c r="E116" s="41">
        <v>3.1349999999999998</v>
      </c>
      <c r="F116" s="41">
        <v>3.7149999999999999</v>
      </c>
      <c r="G116" s="38"/>
      <c r="H116" s="41">
        <f t="shared" si="5"/>
        <v>11.646524999999999</v>
      </c>
      <c r="I116" s="38"/>
      <c r="J116" s="60"/>
      <c r="K116" s="56"/>
    </row>
    <row r="117" spans="1:11" ht="20.05" customHeight="1" x14ac:dyDescent="0.2">
      <c r="A117" s="38"/>
      <c r="B117" s="36" t="s">
        <v>111</v>
      </c>
      <c r="C117" s="38">
        <v>1</v>
      </c>
      <c r="D117" s="38">
        <v>1</v>
      </c>
      <c r="E117" s="41">
        <v>3.1349999999999998</v>
      </c>
      <c r="F117" s="41">
        <v>3.52</v>
      </c>
      <c r="G117" s="38"/>
      <c r="H117" s="41">
        <f t="shared" si="5"/>
        <v>11.0352</v>
      </c>
      <c r="I117" s="38"/>
      <c r="J117" s="60"/>
      <c r="K117" s="56"/>
    </row>
    <row r="118" spans="1:11" ht="20.05" customHeight="1" x14ac:dyDescent="0.2">
      <c r="A118" s="38"/>
      <c r="B118" s="36" t="s">
        <v>22</v>
      </c>
      <c r="C118" s="38">
        <v>1</v>
      </c>
      <c r="D118" s="38">
        <v>1</v>
      </c>
      <c r="E118" s="41">
        <v>3.1349999999999998</v>
      </c>
      <c r="F118" s="41">
        <v>3.67</v>
      </c>
      <c r="G118" s="38"/>
      <c r="H118" s="41">
        <f t="shared" si="5"/>
        <v>11.50545</v>
      </c>
      <c r="I118" s="38"/>
      <c r="J118" s="60"/>
      <c r="K118" s="56"/>
    </row>
    <row r="119" spans="1:11" ht="20.05" customHeight="1" x14ac:dyDescent="0.2">
      <c r="A119" s="38"/>
      <c r="B119" s="36" t="s">
        <v>26</v>
      </c>
      <c r="C119" s="38">
        <v>1</v>
      </c>
      <c r="D119" s="38">
        <v>1</v>
      </c>
      <c r="E119" s="41">
        <v>3.1349999999999998</v>
      </c>
      <c r="F119" s="41">
        <v>2.4</v>
      </c>
      <c r="G119" s="38"/>
      <c r="H119" s="41">
        <f t="shared" si="5"/>
        <v>7.5239999999999991</v>
      </c>
      <c r="I119" s="38"/>
      <c r="J119" s="60"/>
      <c r="K119" s="56"/>
    </row>
    <row r="120" spans="1:11" ht="20.05" customHeight="1" x14ac:dyDescent="0.2">
      <c r="A120" s="38"/>
      <c r="B120" s="36" t="s">
        <v>23</v>
      </c>
      <c r="C120" s="38">
        <v>1</v>
      </c>
      <c r="D120" s="38">
        <v>1</v>
      </c>
      <c r="E120" s="41">
        <v>3.6</v>
      </c>
      <c r="F120" s="41">
        <v>3.7149999999999999</v>
      </c>
      <c r="G120" s="38"/>
      <c r="H120" s="41">
        <f t="shared" si="5"/>
        <v>13.374000000000001</v>
      </c>
      <c r="I120" s="38"/>
      <c r="J120" s="60"/>
      <c r="K120" s="56"/>
    </row>
    <row r="121" spans="1:11" ht="20.05" customHeight="1" x14ac:dyDescent="0.2">
      <c r="A121" s="38"/>
      <c r="B121" s="36" t="s">
        <v>24</v>
      </c>
      <c r="C121" s="38">
        <v>1</v>
      </c>
      <c r="D121" s="38">
        <v>1</v>
      </c>
      <c r="E121" s="41">
        <v>3.6</v>
      </c>
      <c r="F121" s="41">
        <v>3.7149999999999999</v>
      </c>
      <c r="G121" s="38"/>
      <c r="H121" s="41">
        <f t="shared" si="5"/>
        <v>13.374000000000001</v>
      </c>
      <c r="I121" s="38"/>
      <c r="J121" s="60"/>
      <c r="K121" s="56"/>
    </row>
    <row r="122" spans="1:11" ht="20.05" customHeight="1" x14ac:dyDescent="0.2">
      <c r="A122" s="38"/>
      <c r="B122" s="36" t="s">
        <v>45</v>
      </c>
      <c r="C122" s="38">
        <v>1</v>
      </c>
      <c r="D122" s="38">
        <v>1</v>
      </c>
      <c r="E122" s="41">
        <v>3.6</v>
      </c>
      <c r="F122" s="41">
        <v>2.5</v>
      </c>
      <c r="G122" s="38"/>
      <c r="H122" s="41">
        <f t="shared" si="5"/>
        <v>9</v>
      </c>
      <c r="I122" s="38"/>
      <c r="J122" s="60"/>
      <c r="K122" s="56"/>
    </row>
    <row r="123" spans="1:11" ht="20.05" customHeight="1" x14ac:dyDescent="0.2">
      <c r="A123" s="38"/>
      <c r="B123" s="36" t="s">
        <v>27</v>
      </c>
      <c r="C123" s="38">
        <v>1</v>
      </c>
      <c r="D123" s="38">
        <v>1</v>
      </c>
      <c r="E123" s="41">
        <v>3.6</v>
      </c>
      <c r="F123" s="41">
        <v>3.7149999999999999</v>
      </c>
      <c r="G123" s="38"/>
      <c r="H123" s="41">
        <f t="shared" si="5"/>
        <v>13.374000000000001</v>
      </c>
      <c r="I123" s="38"/>
      <c r="J123" s="60"/>
      <c r="K123" s="56"/>
    </row>
    <row r="124" spans="1:11" ht="20.05" customHeight="1" x14ac:dyDescent="0.2">
      <c r="A124" s="38"/>
      <c r="B124" s="36" t="s">
        <v>28</v>
      </c>
      <c r="C124" s="38">
        <v>1</v>
      </c>
      <c r="D124" s="38">
        <v>1</v>
      </c>
      <c r="E124" s="41">
        <v>3.63</v>
      </c>
      <c r="F124" s="41">
        <v>3.7149999999999999</v>
      </c>
      <c r="G124" s="38"/>
      <c r="H124" s="41">
        <f t="shared" si="5"/>
        <v>13.485449999999998</v>
      </c>
      <c r="I124" s="38"/>
      <c r="J124" s="60"/>
      <c r="K124" s="56"/>
    </row>
    <row r="125" spans="1:11" ht="20.05" customHeight="1" x14ac:dyDescent="0.2">
      <c r="A125" s="38"/>
      <c r="B125" s="36" t="s">
        <v>29</v>
      </c>
      <c r="C125" s="38">
        <v>1</v>
      </c>
      <c r="D125" s="38">
        <v>1</v>
      </c>
      <c r="E125" s="41">
        <v>5.8650000000000002</v>
      </c>
      <c r="F125" s="41">
        <v>6.23</v>
      </c>
      <c r="G125" s="38"/>
      <c r="H125" s="41">
        <f t="shared" si="5"/>
        <v>36.538950000000007</v>
      </c>
      <c r="I125" s="38"/>
      <c r="J125" s="60"/>
      <c r="K125" s="56"/>
    </row>
    <row r="126" spans="1:11" ht="20.05" customHeight="1" x14ac:dyDescent="0.2">
      <c r="A126" s="38"/>
      <c r="B126" s="36" t="s">
        <v>30</v>
      </c>
      <c r="C126" s="38">
        <v>1</v>
      </c>
      <c r="D126" s="38">
        <v>1</v>
      </c>
      <c r="E126" s="41">
        <v>7.8</v>
      </c>
      <c r="F126" s="41">
        <v>7.085</v>
      </c>
      <c r="G126" s="38"/>
      <c r="H126" s="41">
        <f t="shared" si="5"/>
        <v>55.262999999999998</v>
      </c>
      <c r="I126" s="38"/>
      <c r="J126" s="60"/>
      <c r="K126" s="56"/>
    </row>
    <row r="127" spans="1:11" ht="20.05" customHeight="1" x14ac:dyDescent="0.2">
      <c r="A127" s="38"/>
      <c r="B127" s="36" t="s">
        <v>47</v>
      </c>
      <c r="C127" s="38">
        <v>1</v>
      </c>
      <c r="D127" s="38">
        <v>1</v>
      </c>
      <c r="E127" s="41">
        <v>6</v>
      </c>
      <c r="F127" s="41">
        <v>7.085</v>
      </c>
      <c r="G127" s="38"/>
      <c r="H127" s="41">
        <f t="shared" si="5"/>
        <v>42.51</v>
      </c>
      <c r="I127" s="38"/>
      <c r="J127" s="60"/>
      <c r="K127" s="56"/>
    </row>
    <row r="128" spans="1:11" ht="20.05" customHeight="1" x14ac:dyDescent="0.2">
      <c r="A128" s="38"/>
      <c r="B128" s="36" t="s">
        <v>48</v>
      </c>
      <c r="C128" s="38">
        <v>1</v>
      </c>
      <c r="D128" s="38">
        <v>1</v>
      </c>
      <c r="E128" s="41">
        <v>6</v>
      </c>
      <c r="F128" s="41">
        <v>7.085</v>
      </c>
      <c r="G128" s="38"/>
      <c r="H128" s="41">
        <f t="shared" si="5"/>
        <v>42.51</v>
      </c>
      <c r="I128" s="38"/>
      <c r="J128" s="60"/>
      <c r="K128" s="56"/>
    </row>
    <row r="129" spans="1:11" ht="20.05" customHeight="1" x14ac:dyDescent="0.2">
      <c r="A129" s="38"/>
      <c r="B129" s="36" t="s">
        <v>49</v>
      </c>
      <c r="C129" s="38">
        <v>1</v>
      </c>
      <c r="D129" s="38">
        <v>1</v>
      </c>
      <c r="E129" s="41">
        <v>6</v>
      </c>
      <c r="F129" s="41">
        <v>7.085</v>
      </c>
      <c r="G129" s="38"/>
      <c r="H129" s="41">
        <f t="shared" si="5"/>
        <v>42.51</v>
      </c>
      <c r="I129" s="38"/>
      <c r="J129" s="60"/>
      <c r="K129" s="56"/>
    </row>
    <row r="130" spans="1:11" ht="20.05" customHeight="1" x14ac:dyDescent="0.2">
      <c r="A130" s="38"/>
      <c r="B130" s="36" t="s">
        <v>50</v>
      </c>
      <c r="C130" s="38">
        <v>1</v>
      </c>
      <c r="D130" s="38">
        <v>1</v>
      </c>
      <c r="E130" s="41">
        <v>6</v>
      </c>
      <c r="F130" s="41">
        <v>7.085</v>
      </c>
      <c r="G130" s="38"/>
      <c r="H130" s="41">
        <f t="shared" si="5"/>
        <v>42.51</v>
      </c>
      <c r="I130" s="38"/>
      <c r="J130" s="60"/>
      <c r="K130" s="56"/>
    </row>
    <row r="131" spans="1:11" ht="20.05" customHeight="1" x14ac:dyDescent="0.2">
      <c r="A131" s="38"/>
      <c r="B131" s="36" t="s">
        <v>31</v>
      </c>
      <c r="C131" s="38">
        <v>1</v>
      </c>
      <c r="D131" s="38">
        <v>1</v>
      </c>
      <c r="E131" s="41">
        <v>4.95</v>
      </c>
      <c r="F131" s="41">
        <v>7.2</v>
      </c>
      <c r="G131" s="38"/>
      <c r="H131" s="41">
        <f t="shared" si="5"/>
        <v>35.64</v>
      </c>
      <c r="I131" s="38"/>
      <c r="J131" s="60"/>
      <c r="K131" s="56"/>
    </row>
    <row r="132" spans="1:11" ht="20.05" customHeight="1" x14ac:dyDescent="0.2">
      <c r="A132" s="38"/>
      <c r="B132" s="36" t="s">
        <v>34</v>
      </c>
      <c r="C132" s="38">
        <v>1</v>
      </c>
      <c r="D132" s="38">
        <v>1</v>
      </c>
      <c r="E132" s="41">
        <v>3.37</v>
      </c>
      <c r="F132" s="41">
        <v>3.2149999999999999</v>
      </c>
      <c r="G132" s="38"/>
      <c r="H132" s="41">
        <f t="shared" si="5"/>
        <v>10.83455</v>
      </c>
      <c r="I132" s="38"/>
      <c r="J132" s="60"/>
      <c r="K132" s="56"/>
    </row>
    <row r="133" spans="1:11" ht="20.05" customHeight="1" x14ac:dyDescent="0.2">
      <c r="A133" s="38"/>
      <c r="B133" s="36" t="s">
        <v>32</v>
      </c>
      <c r="C133" s="38">
        <v>1</v>
      </c>
      <c r="D133" s="38">
        <v>1</v>
      </c>
      <c r="E133" s="41">
        <v>3.16</v>
      </c>
      <c r="F133" s="41">
        <v>3.2149999999999999</v>
      </c>
      <c r="G133" s="38"/>
      <c r="H133" s="41">
        <f t="shared" si="5"/>
        <v>10.1594</v>
      </c>
      <c r="I133" s="38"/>
      <c r="J133" s="60"/>
      <c r="K133" s="56"/>
    </row>
    <row r="134" spans="1:11" ht="20.05" customHeight="1" x14ac:dyDescent="0.2">
      <c r="A134" s="38"/>
      <c r="B134" s="36" t="s">
        <v>33</v>
      </c>
      <c r="C134" s="38">
        <v>1</v>
      </c>
      <c r="D134" s="38">
        <v>1</v>
      </c>
      <c r="E134" s="41">
        <v>3.0449999999999999</v>
      </c>
      <c r="F134" s="41">
        <v>3.2149999999999999</v>
      </c>
      <c r="G134" s="38"/>
      <c r="H134" s="41">
        <f t="shared" si="5"/>
        <v>9.789674999999999</v>
      </c>
      <c r="I134" s="38"/>
      <c r="J134" s="60"/>
      <c r="K134" s="56"/>
    </row>
    <row r="135" spans="1:11" ht="20.05" customHeight="1" x14ac:dyDescent="0.2">
      <c r="A135" s="38"/>
      <c r="B135" s="36" t="s">
        <v>35</v>
      </c>
      <c r="C135" s="38">
        <v>1</v>
      </c>
      <c r="D135" s="38">
        <v>1</v>
      </c>
      <c r="E135" s="41">
        <v>3</v>
      </c>
      <c r="F135" s="41">
        <v>3.2149999999999999</v>
      </c>
      <c r="G135" s="38"/>
      <c r="H135" s="41">
        <f t="shared" si="5"/>
        <v>9.6449999999999996</v>
      </c>
      <c r="I135" s="38"/>
      <c r="J135" s="60"/>
      <c r="K135" s="56"/>
    </row>
    <row r="136" spans="1:11" ht="20.05" customHeight="1" x14ac:dyDescent="0.2">
      <c r="A136" s="38"/>
      <c r="B136" s="36" t="s">
        <v>36</v>
      </c>
      <c r="C136" s="38">
        <v>1</v>
      </c>
      <c r="D136" s="38">
        <v>1</v>
      </c>
      <c r="E136" s="41">
        <v>15.788</v>
      </c>
      <c r="F136" s="41">
        <v>1.3759999999999999</v>
      </c>
      <c r="G136" s="38"/>
      <c r="H136" s="41">
        <f t="shared" si="5"/>
        <v>21.724287999999998</v>
      </c>
      <c r="I136" s="38"/>
      <c r="J136" s="60"/>
      <c r="K136" s="56"/>
    </row>
    <row r="137" spans="1:11" ht="20.05" customHeight="1" x14ac:dyDescent="0.2">
      <c r="A137" s="38"/>
      <c r="B137" s="36" t="s">
        <v>37</v>
      </c>
      <c r="C137" s="38">
        <v>1</v>
      </c>
      <c r="D137" s="38">
        <v>1</v>
      </c>
      <c r="E137" s="41">
        <v>2.02</v>
      </c>
      <c r="F137" s="41">
        <v>8.2949999999999999</v>
      </c>
      <c r="G137" s="38"/>
      <c r="H137" s="41">
        <f t="shared" si="5"/>
        <v>16.7559</v>
      </c>
      <c r="I137" s="38"/>
      <c r="J137" s="60"/>
      <c r="K137" s="56"/>
    </row>
    <row r="138" spans="1:11" ht="20.05" customHeight="1" x14ac:dyDescent="0.2">
      <c r="A138" s="38"/>
      <c r="B138" s="36" t="s">
        <v>38</v>
      </c>
      <c r="C138" s="38">
        <v>1</v>
      </c>
      <c r="D138" s="38">
        <v>1</v>
      </c>
      <c r="E138" s="41">
        <v>34.356000000000002</v>
      </c>
      <c r="F138" s="41">
        <v>2.4</v>
      </c>
      <c r="G138" s="38"/>
      <c r="H138" s="41">
        <f t="shared" si="5"/>
        <v>82.454400000000007</v>
      </c>
      <c r="I138" s="38"/>
      <c r="J138" s="60"/>
      <c r="K138" s="56"/>
    </row>
    <row r="139" spans="1:11" ht="20.05" customHeight="1" x14ac:dyDescent="0.2">
      <c r="A139" s="38"/>
      <c r="B139" s="36" t="s">
        <v>39</v>
      </c>
      <c r="C139" s="38">
        <v>1</v>
      </c>
      <c r="D139" s="38">
        <v>1</v>
      </c>
      <c r="E139" s="41">
        <v>3</v>
      </c>
      <c r="F139" s="41">
        <v>15.05</v>
      </c>
      <c r="G139" s="38"/>
      <c r="H139" s="41">
        <f t="shared" si="5"/>
        <v>45.150000000000006</v>
      </c>
      <c r="I139" s="38"/>
      <c r="J139" s="60"/>
      <c r="K139" s="56"/>
    </row>
    <row r="140" spans="1:11" ht="20.05" customHeight="1" x14ac:dyDescent="0.2">
      <c r="A140" s="38"/>
      <c r="B140" s="36" t="s">
        <v>40</v>
      </c>
      <c r="C140" s="38">
        <v>1</v>
      </c>
      <c r="D140" s="38">
        <v>1</v>
      </c>
      <c r="E140" s="41">
        <v>2.4</v>
      </c>
      <c r="F140" s="41">
        <v>15.05</v>
      </c>
      <c r="G140" s="38"/>
      <c r="H140" s="41">
        <f t="shared" si="5"/>
        <v>36.119999999999997</v>
      </c>
      <c r="I140" s="38"/>
      <c r="J140" s="60"/>
      <c r="K140" s="56"/>
    </row>
    <row r="141" spans="1:11" ht="20.05" customHeight="1" x14ac:dyDescent="0.2">
      <c r="A141" s="38"/>
      <c r="B141" s="36" t="s">
        <v>41</v>
      </c>
      <c r="C141" s="38">
        <v>1</v>
      </c>
      <c r="D141" s="38">
        <v>1</v>
      </c>
      <c r="E141" s="41">
        <v>34.356000000000002</v>
      </c>
      <c r="F141" s="41">
        <v>2.4</v>
      </c>
      <c r="G141" s="38"/>
      <c r="H141" s="41">
        <f t="shared" si="5"/>
        <v>82.454400000000007</v>
      </c>
      <c r="I141" s="38"/>
      <c r="J141" s="60"/>
      <c r="K141" s="56"/>
    </row>
    <row r="142" spans="1:11" ht="20.05" customHeight="1" x14ac:dyDescent="0.2">
      <c r="A142" s="38"/>
      <c r="B142" s="36" t="s">
        <v>42</v>
      </c>
      <c r="C142" s="38">
        <v>1</v>
      </c>
      <c r="D142" s="38">
        <v>1</v>
      </c>
      <c r="E142" s="41">
        <v>1.615</v>
      </c>
      <c r="F142" s="41">
        <v>7.5449999999999999</v>
      </c>
      <c r="G142" s="38"/>
      <c r="H142" s="41">
        <f t="shared" si="5"/>
        <v>12.185174999999999</v>
      </c>
      <c r="I142" s="38"/>
      <c r="J142" s="60"/>
      <c r="K142" s="56"/>
    </row>
    <row r="143" spans="1:11" ht="20.05" customHeight="1" x14ac:dyDescent="0.2">
      <c r="A143" s="38"/>
      <c r="B143" s="36" t="s">
        <v>43</v>
      </c>
      <c r="C143" s="38">
        <v>1</v>
      </c>
      <c r="D143" s="38">
        <v>1</v>
      </c>
      <c r="E143" s="41">
        <v>35.65</v>
      </c>
      <c r="F143" s="41">
        <v>2.02</v>
      </c>
      <c r="G143" s="38"/>
      <c r="H143" s="41">
        <f t="shared" si="5"/>
        <v>72.012999999999991</v>
      </c>
      <c r="I143" s="38"/>
      <c r="J143" s="60"/>
      <c r="K143" s="56"/>
    </row>
    <row r="144" spans="1:11" ht="20.05" customHeight="1" x14ac:dyDescent="0.2">
      <c r="A144" s="38"/>
      <c r="B144" s="36"/>
      <c r="C144" s="38"/>
      <c r="D144" s="38"/>
      <c r="E144" s="38"/>
      <c r="F144" s="38"/>
      <c r="G144" s="38"/>
      <c r="H144" s="42">
        <f>SUM(H99:H143)</f>
        <v>1166.6401129999999</v>
      </c>
      <c r="I144" s="38" t="s">
        <v>154</v>
      </c>
      <c r="J144" s="60">
        <f>'C-Datas'!I184</f>
        <v>1672</v>
      </c>
      <c r="K144" s="56">
        <f>ROUND(H144*J144,0)</f>
        <v>1950622</v>
      </c>
    </row>
    <row r="145" spans="1:11" ht="60.45" customHeight="1" x14ac:dyDescent="0.2">
      <c r="A145" s="38">
        <v>8</v>
      </c>
      <c r="B145" s="122" t="s">
        <v>182</v>
      </c>
      <c r="C145" s="123"/>
      <c r="D145" s="123"/>
      <c r="E145" s="123"/>
      <c r="F145" s="123"/>
      <c r="G145" s="124"/>
      <c r="H145" s="38"/>
      <c r="I145" s="38"/>
      <c r="J145" s="60"/>
      <c r="K145" s="56"/>
    </row>
    <row r="146" spans="1:11" ht="20.05" customHeight="1" x14ac:dyDescent="0.2">
      <c r="A146" s="38"/>
      <c r="B146" s="36" t="s">
        <v>5</v>
      </c>
      <c r="C146" s="38">
        <v>1</v>
      </c>
      <c r="D146" s="38">
        <v>2</v>
      </c>
      <c r="E146" s="41">
        <v>4.13</v>
      </c>
      <c r="F146" s="38"/>
      <c r="G146" s="38"/>
      <c r="H146" s="41">
        <f t="shared" ref="H146:H198" si="6">PRODUCT(C146:F146)</f>
        <v>8.26</v>
      </c>
      <c r="I146" s="38"/>
      <c r="J146" s="60"/>
      <c r="K146" s="56"/>
    </row>
    <row r="147" spans="1:11" ht="20.05" customHeight="1" x14ac:dyDescent="0.2">
      <c r="A147" s="38"/>
      <c r="B147" s="36"/>
      <c r="C147" s="38">
        <v>1</v>
      </c>
      <c r="D147" s="38">
        <v>2</v>
      </c>
      <c r="E147" s="41">
        <v>7.6050000000000004</v>
      </c>
      <c r="F147" s="38"/>
      <c r="G147" s="38"/>
      <c r="H147" s="41">
        <f t="shared" si="6"/>
        <v>15.21</v>
      </c>
      <c r="I147" s="38"/>
      <c r="J147" s="60"/>
      <c r="K147" s="56"/>
    </row>
    <row r="148" spans="1:11" ht="20.05" customHeight="1" x14ac:dyDescent="0.2">
      <c r="A148" s="38"/>
      <c r="B148" s="36" t="s">
        <v>183</v>
      </c>
      <c r="C148" s="38">
        <v>-1</v>
      </c>
      <c r="D148" s="38">
        <v>1</v>
      </c>
      <c r="E148" s="41">
        <v>1</v>
      </c>
      <c r="F148" s="38"/>
      <c r="G148" s="38"/>
      <c r="H148" s="41">
        <f t="shared" si="6"/>
        <v>-1</v>
      </c>
      <c r="I148" s="38"/>
      <c r="J148" s="60"/>
      <c r="K148" s="56"/>
    </row>
    <row r="149" spans="1:11" ht="20.05" customHeight="1" x14ac:dyDescent="0.2">
      <c r="A149" s="38"/>
      <c r="B149" s="36" t="s">
        <v>44</v>
      </c>
      <c r="C149" s="38">
        <v>1</v>
      </c>
      <c r="D149" s="38">
        <v>2</v>
      </c>
      <c r="E149" s="41">
        <v>6.3949999999999996</v>
      </c>
      <c r="F149" s="38"/>
      <c r="G149" s="38"/>
      <c r="H149" s="41">
        <f t="shared" si="6"/>
        <v>12.79</v>
      </c>
      <c r="I149" s="38"/>
      <c r="J149" s="60"/>
      <c r="K149" s="56"/>
    </row>
    <row r="150" spans="1:11" ht="20.05" customHeight="1" x14ac:dyDescent="0.2">
      <c r="A150" s="38"/>
      <c r="B150" s="36"/>
      <c r="C150" s="38">
        <v>1</v>
      </c>
      <c r="D150" s="38">
        <v>2</v>
      </c>
      <c r="E150" s="41">
        <v>6</v>
      </c>
      <c r="F150" s="38"/>
      <c r="G150" s="38"/>
      <c r="H150" s="41">
        <f t="shared" si="6"/>
        <v>12</v>
      </c>
      <c r="I150" s="38"/>
      <c r="J150" s="60"/>
      <c r="K150" s="56"/>
    </row>
    <row r="151" spans="1:11" ht="20.05" customHeight="1" x14ac:dyDescent="0.2">
      <c r="A151" s="38"/>
      <c r="B151" s="36" t="s">
        <v>183</v>
      </c>
      <c r="C151" s="38">
        <v>-1</v>
      </c>
      <c r="D151" s="38">
        <v>1</v>
      </c>
      <c r="E151" s="41">
        <v>1.2</v>
      </c>
      <c r="F151" s="38"/>
      <c r="G151" s="38"/>
      <c r="H151" s="41">
        <f t="shared" si="6"/>
        <v>-1.2</v>
      </c>
      <c r="I151" s="38"/>
      <c r="J151" s="60"/>
      <c r="K151" s="56"/>
    </row>
    <row r="152" spans="1:11" ht="20.05" customHeight="1" x14ac:dyDescent="0.2">
      <c r="A152" s="38"/>
      <c r="B152" s="36" t="s">
        <v>25</v>
      </c>
      <c r="C152" s="38">
        <v>1</v>
      </c>
      <c r="D152" s="38">
        <v>2</v>
      </c>
      <c r="E152" s="41">
        <v>2.4</v>
      </c>
      <c r="F152" s="38"/>
      <c r="G152" s="38"/>
      <c r="H152" s="41">
        <f t="shared" si="6"/>
        <v>4.8</v>
      </c>
      <c r="I152" s="38"/>
      <c r="J152" s="60"/>
      <c r="K152" s="56"/>
    </row>
    <row r="153" spans="1:11" ht="20.05" customHeight="1" x14ac:dyDescent="0.2">
      <c r="A153" s="38"/>
      <c r="B153" s="36"/>
      <c r="C153" s="38">
        <v>1</v>
      </c>
      <c r="D153" s="38">
        <v>2</v>
      </c>
      <c r="E153" s="41">
        <v>3.7149999999999999</v>
      </c>
      <c r="F153" s="38"/>
      <c r="G153" s="38"/>
      <c r="H153" s="41">
        <f t="shared" si="6"/>
        <v>7.43</v>
      </c>
      <c r="I153" s="38"/>
      <c r="J153" s="60"/>
      <c r="K153" s="56"/>
    </row>
    <row r="154" spans="1:11" ht="20.05" customHeight="1" x14ac:dyDescent="0.2">
      <c r="A154" s="38"/>
      <c r="B154" s="36" t="s">
        <v>183</v>
      </c>
      <c r="C154" s="38">
        <v>-1</v>
      </c>
      <c r="D154" s="38">
        <v>1</v>
      </c>
      <c r="E154" s="41">
        <v>1</v>
      </c>
      <c r="F154" s="38"/>
      <c r="G154" s="38"/>
      <c r="H154" s="41">
        <f t="shared" si="6"/>
        <v>-1</v>
      </c>
      <c r="I154" s="38"/>
      <c r="J154" s="60"/>
      <c r="K154" s="56"/>
    </row>
    <row r="155" spans="1:11" ht="20.05" customHeight="1" x14ac:dyDescent="0.2">
      <c r="A155" s="38"/>
      <c r="B155" s="36" t="s">
        <v>6</v>
      </c>
      <c r="C155" s="38">
        <v>1</v>
      </c>
      <c r="D155" s="38">
        <v>2</v>
      </c>
      <c r="E155" s="41">
        <v>3.085</v>
      </c>
      <c r="F155" s="38"/>
      <c r="G155" s="38"/>
      <c r="H155" s="41">
        <f t="shared" si="6"/>
        <v>6.17</v>
      </c>
      <c r="I155" s="38"/>
      <c r="J155" s="60"/>
      <c r="K155" s="56"/>
    </row>
    <row r="156" spans="1:11" ht="20.05" customHeight="1" x14ac:dyDescent="0.2">
      <c r="A156" s="38"/>
      <c r="B156" s="36"/>
      <c r="C156" s="38">
        <v>1</v>
      </c>
      <c r="D156" s="38">
        <v>2</v>
      </c>
      <c r="E156" s="41">
        <v>7.6050000000000004</v>
      </c>
      <c r="F156" s="38"/>
      <c r="G156" s="38"/>
      <c r="H156" s="41">
        <f t="shared" si="6"/>
        <v>15.21</v>
      </c>
      <c r="I156" s="38"/>
      <c r="J156" s="60"/>
      <c r="K156" s="56"/>
    </row>
    <row r="157" spans="1:11" ht="20.05" customHeight="1" x14ac:dyDescent="0.2">
      <c r="A157" s="38"/>
      <c r="B157" s="36" t="s">
        <v>183</v>
      </c>
      <c r="C157" s="38">
        <v>-1</v>
      </c>
      <c r="D157" s="38">
        <v>1</v>
      </c>
      <c r="E157" s="41">
        <v>1.2</v>
      </c>
      <c r="F157" s="38"/>
      <c r="G157" s="38"/>
      <c r="H157" s="41">
        <f t="shared" si="6"/>
        <v>-1.2</v>
      </c>
      <c r="I157" s="38"/>
      <c r="J157" s="60"/>
      <c r="K157" s="56"/>
    </row>
    <row r="158" spans="1:11" ht="20.05" customHeight="1" x14ac:dyDescent="0.2">
      <c r="A158" s="38"/>
      <c r="B158" s="36" t="s">
        <v>8</v>
      </c>
      <c r="C158" s="38">
        <v>1</v>
      </c>
      <c r="D158" s="38">
        <v>2</v>
      </c>
      <c r="E158" s="41">
        <v>2.875</v>
      </c>
      <c r="F158" s="38"/>
      <c r="G158" s="38"/>
      <c r="H158" s="41">
        <f t="shared" si="6"/>
        <v>5.75</v>
      </c>
      <c r="I158" s="38"/>
      <c r="J158" s="60"/>
      <c r="K158" s="56"/>
    </row>
    <row r="159" spans="1:11" ht="20.05" customHeight="1" x14ac:dyDescent="0.2">
      <c r="A159" s="38"/>
      <c r="B159" s="36"/>
      <c r="C159" s="38">
        <v>1</v>
      </c>
      <c r="D159" s="38">
        <v>2</v>
      </c>
      <c r="E159" s="41">
        <v>5.52</v>
      </c>
      <c r="F159" s="38"/>
      <c r="G159" s="38"/>
      <c r="H159" s="41">
        <f t="shared" si="6"/>
        <v>11.04</v>
      </c>
      <c r="I159" s="38"/>
      <c r="J159" s="60"/>
      <c r="K159" s="56"/>
    </row>
    <row r="160" spans="1:11" ht="20.05" customHeight="1" x14ac:dyDescent="0.2">
      <c r="A160" s="38"/>
      <c r="B160" s="36" t="s">
        <v>183</v>
      </c>
      <c r="C160" s="38">
        <v>-1</v>
      </c>
      <c r="D160" s="38">
        <v>1</v>
      </c>
      <c r="E160" s="41">
        <v>1</v>
      </c>
      <c r="F160" s="38"/>
      <c r="G160" s="38"/>
      <c r="H160" s="41">
        <f t="shared" si="6"/>
        <v>-1</v>
      </c>
      <c r="I160" s="38"/>
      <c r="J160" s="60"/>
      <c r="K160" s="56"/>
    </row>
    <row r="161" spans="1:11" ht="20.05" customHeight="1" x14ac:dyDescent="0.2">
      <c r="A161" s="38"/>
      <c r="B161" s="36" t="s">
        <v>9</v>
      </c>
      <c r="C161" s="38">
        <v>1</v>
      </c>
      <c r="D161" s="38">
        <v>2</v>
      </c>
      <c r="E161" s="41">
        <v>2.875</v>
      </c>
      <c r="F161" s="38"/>
      <c r="G161" s="38"/>
      <c r="H161" s="41">
        <f t="shared" si="6"/>
        <v>5.75</v>
      </c>
      <c r="I161" s="38"/>
      <c r="J161" s="60"/>
      <c r="K161" s="56"/>
    </row>
    <row r="162" spans="1:11" ht="20.05" customHeight="1" x14ac:dyDescent="0.2">
      <c r="A162" s="38"/>
      <c r="B162" s="36"/>
      <c r="C162" s="38">
        <v>1</v>
      </c>
      <c r="D162" s="38">
        <v>2</v>
      </c>
      <c r="E162" s="41">
        <v>5.52</v>
      </c>
      <c r="F162" s="38"/>
      <c r="G162" s="38"/>
      <c r="H162" s="41">
        <f t="shared" si="6"/>
        <v>11.04</v>
      </c>
      <c r="I162" s="38"/>
      <c r="J162" s="60"/>
      <c r="K162" s="56"/>
    </row>
    <row r="163" spans="1:11" ht="20.05" customHeight="1" x14ac:dyDescent="0.2">
      <c r="A163" s="38"/>
      <c r="B163" s="36" t="s">
        <v>183</v>
      </c>
      <c r="C163" s="38">
        <v>-1</v>
      </c>
      <c r="D163" s="38">
        <v>1</v>
      </c>
      <c r="E163" s="41">
        <v>1</v>
      </c>
      <c r="F163" s="38"/>
      <c r="G163" s="38"/>
      <c r="H163" s="41">
        <f t="shared" si="6"/>
        <v>-1</v>
      </c>
      <c r="I163" s="38"/>
      <c r="J163" s="60"/>
      <c r="K163" s="56"/>
    </row>
    <row r="164" spans="1:11" ht="20.05" customHeight="1" x14ac:dyDescent="0.2">
      <c r="A164" s="38"/>
      <c r="B164" s="36" t="s">
        <v>16</v>
      </c>
      <c r="C164" s="38">
        <v>1</v>
      </c>
      <c r="D164" s="38">
        <v>2</v>
      </c>
      <c r="E164" s="41">
        <v>2.08</v>
      </c>
      <c r="F164" s="38"/>
      <c r="G164" s="38"/>
      <c r="H164" s="41">
        <f t="shared" si="6"/>
        <v>4.16</v>
      </c>
      <c r="I164" s="38"/>
      <c r="J164" s="60"/>
      <c r="K164" s="56"/>
    </row>
    <row r="165" spans="1:11" ht="20.05" customHeight="1" x14ac:dyDescent="0.2">
      <c r="A165" s="38"/>
      <c r="B165" s="36"/>
      <c r="C165" s="38">
        <v>1</v>
      </c>
      <c r="D165" s="38">
        <v>2</v>
      </c>
      <c r="E165" s="41">
        <v>1.8</v>
      </c>
      <c r="F165" s="38"/>
      <c r="G165" s="38"/>
      <c r="H165" s="41">
        <f t="shared" si="6"/>
        <v>3.6</v>
      </c>
      <c r="I165" s="38"/>
      <c r="J165" s="60"/>
      <c r="K165" s="56"/>
    </row>
    <row r="166" spans="1:11" ht="20.05" customHeight="1" x14ac:dyDescent="0.2">
      <c r="A166" s="38"/>
      <c r="B166" s="36" t="s">
        <v>183</v>
      </c>
      <c r="C166" s="38">
        <v>-1</v>
      </c>
      <c r="D166" s="38">
        <v>1</v>
      </c>
      <c r="E166" s="41">
        <v>0.9</v>
      </c>
      <c r="F166" s="38"/>
      <c r="G166" s="38"/>
      <c r="H166" s="41">
        <f t="shared" si="6"/>
        <v>-0.9</v>
      </c>
      <c r="I166" s="38"/>
      <c r="J166" s="60"/>
      <c r="K166" s="56"/>
    </row>
    <row r="167" spans="1:11" ht="20.05" customHeight="1" x14ac:dyDescent="0.2">
      <c r="A167" s="38"/>
      <c r="B167" s="36" t="s">
        <v>17</v>
      </c>
      <c r="C167" s="38">
        <v>1</v>
      </c>
      <c r="D167" s="38">
        <v>2</v>
      </c>
      <c r="E167" s="41">
        <v>1.9650000000000001</v>
      </c>
      <c r="F167" s="38"/>
      <c r="G167" s="38"/>
      <c r="H167" s="41">
        <f t="shared" si="6"/>
        <v>3.93</v>
      </c>
      <c r="I167" s="38"/>
      <c r="J167" s="60"/>
      <c r="K167" s="56"/>
    </row>
    <row r="168" spans="1:11" ht="20.05" customHeight="1" x14ac:dyDescent="0.2">
      <c r="A168" s="38"/>
      <c r="B168" s="36"/>
      <c r="C168" s="38">
        <v>1</v>
      </c>
      <c r="D168" s="38">
        <v>2</v>
      </c>
      <c r="E168" s="41">
        <v>1.8</v>
      </c>
      <c r="F168" s="38"/>
      <c r="G168" s="38"/>
      <c r="H168" s="41">
        <f t="shared" si="6"/>
        <v>3.6</v>
      </c>
      <c r="I168" s="38"/>
      <c r="J168" s="60"/>
      <c r="K168" s="56"/>
    </row>
    <row r="169" spans="1:11" ht="20.05" customHeight="1" x14ac:dyDescent="0.2">
      <c r="A169" s="38"/>
      <c r="B169" s="36" t="s">
        <v>183</v>
      </c>
      <c r="C169" s="38">
        <v>-1</v>
      </c>
      <c r="D169" s="38">
        <v>1</v>
      </c>
      <c r="E169" s="41">
        <v>0.9</v>
      </c>
      <c r="F169" s="38"/>
      <c r="G169" s="38"/>
      <c r="H169" s="41">
        <f t="shared" si="6"/>
        <v>-0.9</v>
      </c>
      <c r="I169" s="38"/>
      <c r="J169" s="60"/>
      <c r="K169" s="56"/>
    </row>
    <row r="170" spans="1:11" ht="20.05" customHeight="1" x14ac:dyDescent="0.2">
      <c r="A170" s="38"/>
      <c r="B170" s="36" t="s">
        <v>18</v>
      </c>
      <c r="C170" s="38">
        <v>1</v>
      </c>
      <c r="D170" s="38">
        <v>2</v>
      </c>
      <c r="E170" s="41">
        <v>1.95</v>
      </c>
      <c r="F170" s="38"/>
      <c r="G170" s="38"/>
      <c r="H170" s="41">
        <f t="shared" si="6"/>
        <v>3.9</v>
      </c>
      <c r="I170" s="38"/>
      <c r="J170" s="60"/>
      <c r="K170" s="56"/>
    </row>
    <row r="171" spans="1:11" ht="20.05" customHeight="1" x14ac:dyDescent="0.2">
      <c r="A171" s="38"/>
      <c r="B171" s="36"/>
      <c r="C171" s="38">
        <v>1</v>
      </c>
      <c r="D171" s="38">
        <v>2</v>
      </c>
      <c r="E171" s="41">
        <v>1.8</v>
      </c>
      <c r="F171" s="38"/>
      <c r="G171" s="38"/>
      <c r="H171" s="41">
        <f t="shared" si="6"/>
        <v>3.6</v>
      </c>
      <c r="I171" s="38"/>
      <c r="J171" s="60"/>
      <c r="K171" s="56"/>
    </row>
    <row r="172" spans="1:11" ht="20.05" customHeight="1" x14ac:dyDescent="0.2">
      <c r="A172" s="38"/>
      <c r="B172" s="36" t="s">
        <v>183</v>
      </c>
      <c r="C172" s="38">
        <v>-1</v>
      </c>
      <c r="D172" s="38">
        <v>1</v>
      </c>
      <c r="E172" s="41">
        <v>0.9</v>
      </c>
      <c r="F172" s="38"/>
      <c r="G172" s="38"/>
      <c r="H172" s="41">
        <f t="shared" si="6"/>
        <v>-0.9</v>
      </c>
      <c r="I172" s="38"/>
      <c r="J172" s="60"/>
      <c r="K172" s="56"/>
    </row>
    <row r="173" spans="1:11" ht="20.05" customHeight="1" x14ac:dyDescent="0.2">
      <c r="A173" s="38"/>
      <c r="B173" s="36" t="s">
        <v>106</v>
      </c>
      <c r="C173" s="38">
        <v>1</v>
      </c>
      <c r="D173" s="38">
        <v>2</v>
      </c>
      <c r="E173" s="41">
        <v>1.95</v>
      </c>
      <c r="F173" s="38"/>
      <c r="G173" s="38"/>
      <c r="H173" s="41">
        <f t="shared" si="6"/>
        <v>3.9</v>
      </c>
      <c r="I173" s="38"/>
      <c r="J173" s="60"/>
      <c r="K173" s="56"/>
    </row>
    <row r="174" spans="1:11" ht="20.05" customHeight="1" x14ac:dyDescent="0.2">
      <c r="A174" s="38"/>
      <c r="B174" s="36"/>
      <c r="C174" s="38">
        <v>1</v>
      </c>
      <c r="D174" s="38">
        <v>2</v>
      </c>
      <c r="E174" s="41">
        <v>1.8</v>
      </c>
      <c r="F174" s="38"/>
      <c r="G174" s="38"/>
      <c r="H174" s="41">
        <f t="shared" si="6"/>
        <v>3.6</v>
      </c>
      <c r="I174" s="38"/>
      <c r="J174" s="60"/>
      <c r="K174" s="56"/>
    </row>
    <row r="175" spans="1:11" ht="20.05" customHeight="1" x14ac:dyDescent="0.2">
      <c r="A175" s="38"/>
      <c r="B175" s="36" t="s">
        <v>183</v>
      </c>
      <c r="C175" s="38">
        <v>-1</v>
      </c>
      <c r="D175" s="38">
        <v>1</v>
      </c>
      <c r="E175" s="41">
        <v>0.9</v>
      </c>
      <c r="F175" s="38"/>
      <c r="G175" s="38"/>
      <c r="H175" s="41">
        <f t="shared" si="6"/>
        <v>-0.9</v>
      </c>
      <c r="I175" s="38"/>
      <c r="J175" s="60"/>
      <c r="K175" s="56"/>
    </row>
    <row r="176" spans="1:11" ht="20.05" customHeight="1" x14ac:dyDescent="0.2">
      <c r="A176" s="38"/>
      <c r="B176" s="36" t="s">
        <v>19</v>
      </c>
      <c r="C176" s="38">
        <v>1</v>
      </c>
      <c r="D176" s="38">
        <v>2</v>
      </c>
      <c r="E176" s="41">
        <v>6.3</v>
      </c>
      <c r="F176" s="38"/>
      <c r="G176" s="38"/>
      <c r="H176" s="41">
        <f t="shared" si="6"/>
        <v>12.6</v>
      </c>
      <c r="I176" s="38"/>
      <c r="J176" s="60"/>
      <c r="K176" s="56"/>
    </row>
    <row r="177" spans="1:11" ht="20.05" customHeight="1" x14ac:dyDescent="0.2">
      <c r="A177" s="38"/>
      <c r="B177" s="36"/>
      <c r="C177" s="38">
        <v>1</v>
      </c>
      <c r="D177" s="38">
        <v>2</v>
      </c>
      <c r="E177" s="41">
        <v>3.6</v>
      </c>
      <c r="F177" s="38"/>
      <c r="G177" s="38"/>
      <c r="H177" s="41">
        <f t="shared" si="6"/>
        <v>7.2</v>
      </c>
      <c r="I177" s="38"/>
      <c r="J177" s="60"/>
      <c r="K177" s="56"/>
    </row>
    <row r="178" spans="1:11" ht="20.05" customHeight="1" x14ac:dyDescent="0.2">
      <c r="A178" s="38"/>
      <c r="B178" s="36" t="s">
        <v>183</v>
      </c>
      <c r="C178" s="38">
        <v>-1</v>
      </c>
      <c r="D178" s="38">
        <v>1</v>
      </c>
      <c r="E178" s="41">
        <v>1.2</v>
      </c>
      <c r="F178" s="38"/>
      <c r="G178" s="38"/>
      <c r="H178" s="41">
        <f t="shared" si="6"/>
        <v>-1.2</v>
      </c>
      <c r="I178" s="38"/>
      <c r="J178" s="60"/>
      <c r="K178" s="56"/>
    </row>
    <row r="179" spans="1:11" ht="20.05" customHeight="1" x14ac:dyDescent="0.2">
      <c r="A179" s="38"/>
      <c r="B179" s="36" t="s">
        <v>117</v>
      </c>
      <c r="C179" s="38">
        <v>1</v>
      </c>
      <c r="D179" s="38">
        <v>2</v>
      </c>
      <c r="E179" s="41">
        <v>3.1349999999999998</v>
      </c>
      <c r="F179" s="38"/>
      <c r="G179" s="38"/>
      <c r="H179" s="41">
        <f t="shared" si="6"/>
        <v>6.27</v>
      </c>
      <c r="I179" s="38"/>
      <c r="J179" s="60"/>
      <c r="K179" s="56"/>
    </row>
    <row r="180" spans="1:11" ht="20.05" customHeight="1" x14ac:dyDescent="0.2">
      <c r="A180" s="38"/>
      <c r="B180" s="36"/>
      <c r="C180" s="38">
        <v>1</v>
      </c>
      <c r="D180" s="38">
        <v>2</v>
      </c>
      <c r="E180" s="41">
        <v>3.7149999999999999</v>
      </c>
      <c r="F180" s="38"/>
      <c r="G180" s="38"/>
      <c r="H180" s="41">
        <f t="shared" si="6"/>
        <v>7.43</v>
      </c>
      <c r="I180" s="38"/>
      <c r="J180" s="60"/>
      <c r="K180" s="56"/>
    </row>
    <row r="181" spans="1:11" ht="20.05" customHeight="1" x14ac:dyDescent="0.2">
      <c r="A181" s="38"/>
      <c r="B181" s="36" t="s">
        <v>183</v>
      </c>
      <c r="C181" s="38">
        <v>-1</v>
      </c>
      <c r="D181" s="38">
        <v>1</v>
      </c>
      <c r="E181" s="41">
        <v>1</v>
      </c>
      <c r="F181" s="38"/>
      <c r="G181" s="38"/>
      <c r="H181" s="41">
        <f t="shared" si="6"/>
        <v>-1</v>
      </c>
      <c r="I181" s="38"/>
      <c r="J181" s="60"/>
      <c r="K181" s="56"/>
    </row>
    <row r="182" spans="1:11" ht="20.05" customHeight="1" x14ac:dyDescent="0.2">
      <c r="A182" s="38"/>
      <c r="B182" s="36" t="s">
        <v>111</v>
      </c>
      <c r="C182" s="38">
        <v>1</v>
      </c>
      <c r="D182" s="38">
        <v>2</v>
      </c>
      <c r="E182" s="41">
        <v>3.1349999999999998</v>
      </c>
      <c r="F182" s="38"/>
      <c r="G182" s="38"/>
      <c r="H182" s="41">
        <f t="shared" si="6"/>
        <v>6.27</v>
      </c>
      <c r="I182" s="38"/>
      <c r="J182" s="60"/>
      <c r="K182" s="56"/>
    </row>
    <row r="183" spans="1:11" ht="20.05" customHeight="1" x14ac:dyDescent="0.2">
      <c r="A183" s="38"/>
      <c r="B183" s="36"/>
      <c r="C183" s="38">
        <v>1</v>
      </c>
      <c r="D183" s="38">
        <v>2</v>
      </c>
      <c r="E183" s="41">
        <v>3.52</v>
      </c>
      <c r="F183" s="38"/>
      <c r="G183" s="38"/>
      <c r="H183" s="41">
        <f t="shared" si="6"/>
        <v>7.04</v>
      </c>
      <c r="I183" s="38"/>
      <c r="J183" s="60"/>
      <c r="K183" s="56"/>
    </row>
    <row r="184" spans="1:11" ht="20.05" customHeight="1" x14ac:dyDescent="0.2">
      <c r="A184" s="38"/>
      <c r="B184" s="36" t="s">
        <v>183</v>
      </c>
      <c r="C184" s="38">
        <v>-1</v>
      </c>
      <c r="D184" s="38">
        <v>1</v>
      </c>
      <c r="E184" s="41">
        <v>1</v>
      </c>
      <c r="F184" s="38"/>
      <c r="G184" s="38"/>
      <c r="H184" s="41">
        <f t="shared" si="6"/>
        <v>-1</v>
      </c>
      <c r="I184" s="38"/>
      <c r="J184" s="60"/>
      <c r="K184" s="56"/>
    </row>
    <row r="185" spans="1:11" ht="20.05" customHeight="1" x14ac:dyDescent="0.2">
      <c r="A185" s="38"/>
      <c r="B185" s="36" t="s">
        <v>22</v>
      </c>
      <c r="C185" s="38">
        <v>1</v>
      </c>
      <c r="D185" s="38">
        <v>2</v>
      </c>
      <c r="E185" s="41">
        <v>3.1349999999999998</v>
      </c>
      <c r="F185" s="38"/>
      <c r="G185" s="38"/>
      <c r="H185" s="41">
        <f t="shared" si="6"/>
        <v>6.27</v>
      </c>
      <c r="I185" s="38"/>
      <c r="J185" s="60"/>
      <c r="K185" s="56"/>
    </row>
    <row r="186" spans="1:11" ht="20.05" customHeight="1" x14ac:dyDescent="0.2">
      <c r="A186" s="38"/>
      <c r="B186" s="36"/>
      <c r="C186" s="38">
        <v>1</v>
      </c>
      <c r="D186" s="38">
        <v>2</v>
      </c>
      <c r="E186" s="41">
        <v>3.67</v>
      </c>
      <c r="F186" s="38"/>
      <c r="G186" s="38"/>
      <c r="H186" s="41">
        <f t="shared" si="6"/>
        <v>7.34</v>
      </c>
      <c r="I186" s="38"/>
      <c r="J186" s="60"/>
      <c r="K186" s="56"/>
    </row>
    <row r="187" spans="1:11" ht="20.05" customHeight="1" x14ac:dyDescent="0.2">
      <c r="A187" s="38"/>
      <c r="B187" s="36" t="s">
        <v>183</v>
      </c>
      <c r="C187" s="38">
        <v>-1</v>
      </c>
      <c r="D187" s="38">
        <v>1</v>
      </c>
      <c r="E187" s="41">
        <v>1</v>
      </c>
      <c r="F187" s="38"/>
      <c r="G187" s="38"/>
      <c r="H187" s="41">
        <f t="shared" si="6"/>
        <v>-1</v>
      </c>
      <c r="I187" s="38"/>
      <c r="J187" s="60"/>
      <c r="K187" s="56"/>
    </row>
    <row r="188" spans="1:11" ht="20.05" customHeight="1" x14ac:dyDescent="0.2">
      <c r="A188" s="38"/>
      <c r="B188" s="36" t="s">
        <v>23</v>
      </c>
      <c r="C188" s="38">
        <v>1</v>
      </c>
      <c r="D188" s="38">
        <v>2</v>
      </c>
      <c r="E188" s="41">
        <v>3.6</v>
      </c>
      <c r="F188" s="38"/>
      <c r="G188" s="38"/>
      <c r="H188" s="41">
        <f t="shared" si="6"/>
        <v>7.2</v>
      </c>
      <c r="I188" s="38"/>
      <c r="J188" s="60"/>
      <c r="K188" s="56"/>
    </row>
    <row r="189" spans="1:11" ht="20.05" customHeight="1" x14ac:dyDescent="0.2">
      <c r="A189" s="38"/>
      <c r="B189" s="36"/>
      <c r="C189" s="38">
        <v>1</v>
      </c>
      <c r="D189" s="38">
        <v>2</v>
      </c>
      <c r="E189" s="41">
        <v>3.7149999999999999</v>
      </c>
      <c r="F189" s="38"/>
      <c r="G189" s="38"/>
      <c r="H189" s="41">
        <f t="shared" si="6"/>
        <v>7.43</v>
      </c>
      <c r="I189" s="38"/>
      <c r="J189" s="60"/>
      <c r="K189" s="56"/>
    </row>
    <row r="190" spans="1:11" ht="20.05" customHeight="1" x14ac:dyDescent="0.2">
      <c r="A190" s="38"/>
      <c r="B190" s="36" t="s">
        <v>183</v>
      </c>
      <c r="C190" s="38">
        <v>-1</v>
      </c>
      <c r="D190" s="38">
        <v>1</v>
      </c>
      <c r="E190" s="41">
        <v>1</v>
      </c>
      <c r="F190" s="38"/>
      <c r="G190" s="38"/>
      <c r="H190" s="41">
        <f t="shared" si="6"/>
        <v>-1</v>
      </c>
      <c r="I190" s="38"/>
      <c r="J190" s="60"/>
      <c r="K190" s="56"/>
    </row>
    <row r="191" spans="1:11" ht="20.05" customHeight="1" x14ac:dyDescent="0.2">
      <c r="A191" s="38"/>
      <c r="B191" s="36" t="s">
        <v>24</v>
      </c>
      <c r="C191" s="38">
        <v>1</v>
      </c>
      <c r="D191" s="38">
        <v>2</v>
      </c>
      <c r="E191" s="41">
        <v>3.6</v>
      </c>
      <c r="F191" s="38"/>
      <c r="G191" s="38"/>
      <c r="H191" s="41">
        <f t="shared" si="6"/>
        <v>7.2</v>
      </c>
      <c r="I191" s="38"/>
      <c r="J191" s="60"/>
      <c r="K191" s="56"/>
    </row>
    <row r="192" spans="1:11" ht="20.05" customHeight="1" x14ac:dyDescent="0.2">
      <c r="A192" s="38"/>
      <c r="B192" s="36"/>
      <c r="C192" s="38">
        <v>1</v>
      </c>
      <c r="D192" s="38">
        <v>2</v>
      </c>
      <c r="E192" s="41">
        <v>3.7149999999999999</v>
      </c>
      <c r="F192" s="38"/>
      <c r="G192" s="38"/>
      <c r="H192" s="41">
        <f t="shared" si="6"/>
        <v>7.43</v>
      </c>
      <c r="I192" s="38"/>
      <c r="J192" s="60"/>
      <c r="K192" s="56"/>
    </row>
    <row r="193" spans="1:11" ht="20.05" customHeight="1" x14ac:dyDescent="0.2">
      <c r="A193" s="38"/>
      <c r="B193" s="36" t="s">
        <v>183</v>
      </c>
      <c r="C193" s="38">
        <v>-1</v>
      </c>
      <c r="D193" s="38">
        <v>1</v>
      </c>
      <c r="E193" s="41">
        <v>1</v>
      </c>
      <c r="F193" s="38"/>
      <c r="G193" s="38"/>
      <c r="H193" s="41">
        <f t="shared" si="6"/>
        <v>-1</v>
      </c>
      <c r="I193" s="38"/>
      <c r="J193" s="60"/>
      <c r="K193" s="56"/>
    </row>
    <row r="194" spans="1:11" ht="20.05" customHeight="1" x14ac:dyDescent="0.2">
      <c r="A194" s="38"/>
      <c r="B194" s="36" t="s">
        <v>27</v>
      </c>
      <c r="C194" s="38">
        <v>1</v>
      </c>
      <c r="D194" s="38">
        <v>2</v>
      </c>
      <c r="E194" s="41">
        <v>3.6</v>
      </c>
      <c r="F194" s="38"/>
      <c r="G194" s="38"/>
      <c r="H194" s="41">
        <f t="shared" si="6"/>
        <v>7.2</v>
      </c>
      <c r="I194" s="38"/>
      <c r="J194" s="60"/>
      <c r="K194" s="56"/>
    </row>
    <row r="195" spans="1:11" ht="20.05" customHeight="1" x14ac:dyDescent="0.2">
      <c r="A195" s="38"/>
      <c r="B195" s="36"/>
      <c r="C195" s="38">
        <v>1</v>
      </c>
      <c r="D195" s="38">
        <v>2</v>
      </c>
      <c r="E195" s="41">
        <v>3.7149999999999999</v>
      </c>
      <c r="F195" s="38"/>
      <c r="G195" s="38"/>
      <c r="H195" s="41">
        <f t="shared" si="6"/>
        <v>7.43</v>
      </c>
      <c r="I195" s="38"/>
      <c r="J195" s="60"/>
      <c r="K195" s="56"/>
    </row>
    <row r="196" spans="1:11" ht="20.05" customHeight="1" x14ac:dyDescent="0.2">
      <c r="A196" s="38"/>
      <c r="B196" s="36" t="s">
        <v>183</v>
      </c>
      <c r="C196" s="38">
        <v>-1</v>
      </c>
      <c r="D196" s="38">
        <v>1</v>
      </c>
      <c r="E196" s="41">
        <v>1</v>
      </c>
      <c r="F196" s="38"/>
      <c r="G196" s="38"/>
      <c r="H196" s="41">
        <f t="shared" si="6"/>
        <v>-1</v>
      </c>
      <c r="I196" s="38"/>
      <c r="J196" s="60"/>
      <c r="K196" s="56"/>
    </row>
    <row r="197" spans="1:11" ht="20.05" customHeight="1" x14ac:dyDescent="0.2">
      <c r="A197" s="38"/>
      <c r="B197" s="36" t="s">
        <v>28</v>
      </c>
      <c r="C197" s="38">
        <v>1</v>
      </c>
      <c r="D197" s="38">
        <v>2</v>
      </c>
      <c r="E197" s="41">
        <v>3.63</v>
      </c>
      <c r="F197" s="38"/>
      <c r="G197" s="38"/>
      <c r="H197" s="41">
        <f t="shared" si="6"/>
        <v>7.26</v>
      </c>
      <c r="I197" s="38"/>
      <c r="J197" s="60"/>
      <c r="K197" s="56"/>
    </row>
    <row r="198" spans="1:11" ht="20.05" customHeight="1" x14ac:dyDescent="0.2">
      <c r="A198" s="38"/>
      <c r="B198" s="36"/>
      <c r="C198" s="38">
        <v>1</v>
      </c>
      <c r="D198" s="38">
        <v>2</v>
      </c>
      <c r="E198" s="41">
        <v>3.7149999999999999</v>
      </c>
      <c r="F198" s="38"/>
      <c r="G198" s="38"/>
      <c r="H198" s="41">
        <f t="shared" si="6"/>
        <v>7.43</v>
      </c>
      <c r="I198" s="38"/>
      <c r="J198" s="60"/>
      <c r="K198" s="56"/>
    </row>
    <row r="199" spans="1:11" ht="20.05" customHeight="1" x14ac:dyDescent="0.2">
      <c r="A199" s="38"/>
      <c r="B199" s="36" t="s">
        <v>183</v>
      </c>
      <c r="C199" s="38">
        <v>-1</v>
      </c>
      <c r="D199" s="38">
        <v>1</v>
      </c>
      <c r="E199" s="41">
        <v>1</v>
      </c>
      <c r="F199" s="38"/>
      <c r="G199" s="38"/>
      <c r="H199" s="41">
        <f t="shared" ref="H199:H208" si="7">PRODUCT(C199:F199)</f>
        <v>-1</v>
      </c>
      <c r="I199" s="38"/>
      <c r="J199" s="60"/>
      <c r="K199" s="56"/>
    </row>
    <row r="200" spans="1:11" ht="20.05" customHeight="1" x14ac:dyDescent="0.2">
      <c r="A200" s="38"/>
      <c r="B200" s="36" t="s">
        <v>31</v>
      </c>
      <c r="C200" s="38">
        <v>1</v>
      </c>
      <c r="D200" s="38">
        <v>2</v>
      </c>
      <c r="E200" s="41">
        <v>4.95</v>
      </c>
      <c r="F200" s="38"/>
      <c r="G200" s="38"/>
      <c r="H200" s="41">
        <f t="shared" si="7"/>
        <v>9.9</v>
      </c>
      <c r="I200" s="38"/>
      <c r="J200" s="60"/>
      <c r="K200" s="56"/>
    </row>
    <row r="201" spans="1:11" ht="20.05" customHeight="1" x14ac:dyDescent="0.2">
      <c r="A201" s="38"/>
      <c r="B201" s="36"/>
      <c r="C201" s="38">
        <v>1</v>
      </c>
      <c r="D201" s="38">
        <v>2</v>
      </c>
      <c r="E201" s="41">
        <v>7.2</v>
      </c>
      <c r="F201" s="38"/>
      <c r="G201" s="38"/>
      <c r="H201" s="41">
        <f t="shared" si="7"/>
        <v>14.4</v>
      </c>
      <c r="I201" s="38"/>
      <c r="J201" s="60"/>
      <c r="K201" s="56"/>
    </row>
    <row r="202" spans="1:11" ht="20.05" customHeight="1" x14ac:dyDescent="0.2">
      <c r="A202" s="38"/>
      <c r="B202" s="36" t="s">
        <v>183</v>
      </c>
      <c r="C202" s="38">
        <v>-1</v>
      </c>
      <c r="D202" s="38">
        <v>1</v>
      </c>
      <c r="E202" s="41">
        <v>0.9</v>
      </c>
      <c r="F202" s="38"/>
      <c r="G202" s="38"/>
      <c r="H202" s="41">
        <f t="shared" si="7"/>
        <v>-0.9</v>
      </c>
      <c r="I202" s="38"/>
      <c r="J202" s="60"/>
      <c r="K202" s="56"/>
    </row>
    <row r="203" spans="1:11" ht="20.05" customHeight="1" x14ac:dyDescent="0.2">
      <c r="A203" s="38"/>
      <c r="B203" s="36" t="s">
        <v>32</v>
      </c>
      <c r="C203" s="38">
        <v>1</v>
      </c>
      <c r="D203" s="38">
        <v>2</v>
      </c>
      <c r="E203" s="41">
        <v>3.16</v>
      </c>
      <c r="F203" s="38"/>
      <c r="G203" s="38"/>
      <c r="H203" s="41">
        <f t="shared" si="7"/>
        <v>6.32</v>
      </c>
      <c r="I203" s="38"/>
      <c r="J203" s="60"/>
      <c r="K203" s="56"/>
    </row>
    <row r="204" spans="1:11" ht="20.05" customHeight="1" x14ac:dyDescent="0.2">
      <c r="A204" s="38"/>
      <c r="B204" s="36"/>
      <c r="C204" s="38">
        <v>1</v>
      </c>
      <c r="D204" s="38">
        <v>2</v>
      </c>
      <c r="E204" s="41">
        <v>3.2149999999999999</v>
      </c>
      <c r="F204" s="38"/>
      <c r="G204" s="38"/>
      <c r="H204" s="41">
        <f t="shared" si="7"/>
        <v>6.43</v>
      </c>
      <c r="I204" s="38"/>
      <c r="J204" s="60"/>
      <c r="K204" s="56"/>
    </row>
    <row r="205" spans="1:11" ht="20.05" customHeight="1" x14ac:dyDescent="0.2">
      <c r="A205" s="38"/>
      <c r="B205" s="36" t="s">
        <v>183</v>
      </c>
      <c r="C205" s="38">
        <v>-1</v>
      </c>
      <c r="D205" s="38">
        <v>1</v>
      </c>
      <c r="E205" s="41">
        <v>1.2</v>
      </c>
      <c r="F205" s="38"/>
      <c r="G205" s="38"/>
      <c r="H205" s="41">
        <f t="shared" si="7"/>
        <v>-1.2</v>
      </c>
      <c r="I205" s="38"/>
      <c r="J205" s="60"/>
      <c r="K205" s="56"/>
    </row>
    <row r="206" spans="1:11" ht="20.05" customHeight="1" x14ac:dyDescent="0.2">
      <c r="A206" s="38"/>
      <c r="B206" s="36" t="s">
        <v>33</v>
      </c>
      <c r="C206" s="38">
        <v>1</v>
      </c>
      <c r="D206" s="38">
        <v>2</v>
      </c>
      <c r="E206" s="41">
        <v>3.0449999999999999</v>
      </c>
      <c r="F206" s="38"/>
      <c r="G206" s="38"/>
      <c r="H206" s="41">
        <f t="shared" si="7"/>
        <v>6.09</v>
      </c>
      <c r="I206" s="38"/>
      <c r="J206" s="60"/>
      <c r="K206" s="56"/>
    </row>
    <row r="207" spans="1:11" ht="20.05" customHeight="1" x14ac:dyDescent="0.2">
      <c r="A207" s="38"/>
      <c r="B207" s="36"/>
      <c r="C207" s="38">
        <v>1</v>
      </c>
      <c r="D207" s="38">
        <v>2</v>
      </c>
      <c r="E207" s="41">
        <v>3.2149999999999999</v>
      </c>
      <c r="F207" s="38"/>
      <c r="G207" s="38"/>
      <c r="H207" s="41">
        <f t="shared" si="7"/>
        <v>6.43</v>
      </c>
      <c r="I207" s="38"/>
      <c r="J207" s="60"/>
      <c r="K207" s="56"/>
    </row>
    <row r="208" spans="1:11" ht="20.05" customHeight="1" x14ac:dyDescent="0.2">
      <c r="A208" s="38"/>
      <c r="B208" s="36" t="s">
        <v>183</v>
      </c>
      <c r="C208" s="38">
        <v>-1</v>
      </c>
      <c r="D208" s="38">
        <v>1</v>
      </c>
      <c r="E208" s="41">
        <v>0.9</v>
      </c>
      <c r="F208" s="38"/>
      <c r="G208" s="38"/>
      <c r="H208" s="41">
        <f t="shared" si="7"/>
        <v>-0.9</v>
      </c>
      <c r="I208" s="38"/>
      <c r="J208" s="60"/>
      <c r="K208" s="56"/>
    </row>
    <row r="209" spans="1:11" ht="20.05" customHeight="1" x14ac:dyDescent="0.2">
      <c r="A209" s="38"/>
      <c r="B209" s="36"/>
      <c r="C209" s="38"/>
      <c r="D209" s="38"/>
      <c r="E209" s="38"/>
      <c r="F209" s="38"/>
      <c r="G209" s="38"/>
      <c r="H209" s="42">
        <f>SUM(H146:H208)</f>
        <v>293.10999999999996</v>
      </c>
      <c r="I209" s="38" t="s">
        <v>184</v>
      </c>
      <c r="J209" s="60">
        <f>'C-Datas'!I210</f>
        <v>150</v>
      </c>
      <c r="K209" s="56">
        <f>ROUND(H209*J209,0)</f>
        <v>43967</v>
      </c>
    </row>
    <row r="210" spans="1:11" ht="57.75" customHeight="1" x14ac:dyDescent="0.2">
      <c r="A210" s="38">
        <v>9</v>
      </c>
      <c r="B210" s="122" t="s">
        <v>345</v>
      </c>
      <c r="C210" s="123"/>
      <c r="D210" s="123"/>
      <c r="E210" s="123"/>
      <c r="F210" s="123"/>
      <c r="G210" s="124"/>
      <c r="H210" s="38"/>
      <c r="I210" s="38"/>
      <c r="J210" s="60"/>
      <c r="K210" s="56"/>
    </row>
    <row r="211" spans="1:11" ht="20.05" customHeight="1" x14ac:dyDescent="0.2">
      <c r="A211" s="38"/>
      <c r="B211" s="36" t="s">
        <v>25</v>
      </c>
      <c r="C211" s="38">
        <v>1</v>
      </c>
      <c r="D211" s="38">
        <v>2</v>
      </c>
      <c r="E211" s="38">
        <v>2.4</v>
      </c>
      <c r="F211" s="38">
        <v>1.5</v>
      </c>
      <c r="G211" s="38"/>
      <c r="H211" s="41">
        <f t="shared" ref="H211:H245" si="8">PRODUCT(C211:F211)</f>
        <v>7.1999999999999993</v>
      </c>
      <c r="I211" s="38"/>
      <c r="J211" s="60"/>
      <c r="K211" s="56"/>
    </row>
    <row r="212" spans="1:11" ht="20.05" customHeight="1" x14ac:dyDescent="0.2">
      <c r="A212" s="38"/>
      <c r="B212" s="36"/>
      <c r="C212" s="38">
        <v>1</v>
      </c>
      <c r="D212" s="38">
        <v>2</v>
      </c>
      <c r="E212" s="38">
        <v>3.7149999999999999</v>
      </c>
      <c r="F212" s="38">
        <v>1.5</v>
      </c>
      <c r="G212" s="38"/>
      <c r="H212" s="41">
        <f t="shared" si="8"/>
        <v>11.145</v>
      </c>
      <c r="I212" s="38"/>
      <c r="J212" s="60"/>
      <c r="K212" s="56"/>
    </row>
    <row r="213" spans="1:11" ht="20.05" customHeight="1" x14ac:dyDescent="0.2">
      <c r="A213" s="38"/>
      <c r="B213" s="36" t="s">
        <v>183</v>
      </c>
      <c r="C213" s="38">
        <v>-1</v>
      </c>
      <c r="D213" s="38">
        <v>1</v>
      </c>
      <c r="E213" s="38">
        <v>1</v>
      </c>
      <c r="F213" s="38">
        <v>1.5</v>
      </c>
      <c r="G213" s="38"/>
      <c r="H213" s="41">
        <f t="shared" si="8"/>
        <v>-1.5</v>
      </c>
      <c r="I213" s="38"/>
      <c r="J213" s="60"/>
      <c r="K213" s="56"/>
    </row>
    <row r="214" spans="1:11" ht="20.05" customHeight="1" x14ac:dyDescent="0.2">
      <c r="A214" s="38"/>
      <c r="B214" s="36" t="s">
        <v>112</v>
      </c>
      <c r="C214" s="38">
        <v>1</v>
      </c>
      <c r="D214" s="38">
        <v>2</v>
      </c>
      <c r="E214" s="38">
        <v>2.4</v>
      </c>
      <c r="F214" s="38">
        <v>1.5</v>
      </c>
      <c r="G214" s="38"/>
      <c r="H214" s="41">
        <f t="shared" si="8"/>
        <v>7.1999999999999993</v>
      </c>
      <c r="I214" s="38"/>
      <c r="J214" s="60"/>
      <c r="K214" s="56"/>
    </row>
    <row r="215" spans="1:11" ht="20.05" customHeight="1" x14ac:dyDescent="0.2">
      <c r="A215" s="38"/>
      <c r="B215" s="36"/>
      <c r="C215" s="38">
        <v>1</v>
      </c>
      <c r="D215" s="38">
        <v>2</v>
      </c>
      <c r="E215" s="38">
        <v>2.4</v>
      </c>
      <c r="F215" s="38">
        <v>1.5</v>
      </c>
      <c r="G215" s="38"/>
      <c r="H215" s="41">
        <f t="shared" si="8"/>
        <v>7.1999999999999993</v>
      </c>
      <c r="I215" s="38"/>
      <c r="J215" s="60"/>
      <c r="K215" s="56"/>
    </row>
    <row r="216" spans="1:11" ht="20.05" customHeight="1" x14ac:dyDescent="0.2">
      <c r="A216" s="38"/>
      <c r="B216" s="36" t="s">
        <v>6</v>
      </c>
      <c r="C216" s="38">
        <v>1</v>
      </c>
      <c r="D216" s="38">
        <v>2</v>
      </c>
      <c r="E216" s="38">
        <v>3.09</v>
      </c>
      <c r="F216" s="38">
        <v>1.5</v>
      </c>
      <c r="G216" s="38"/>
      <c r="H216" s="41">
        <f t="shared" si="8"/>
        <v>9.27</v>
      </c>
      <c r="I216" s="38"/>
      <c r="J216" s="60"/>
      <c r="K216" s="56"/>
    </row>
    <row r="217" spans="1:11" ht="20.05" customHeight="1" x14ac:dyDescent="0.2">
      <c r="A217" s="38"/>
      <c r="B217" s="36"/>
      <c r="C217" s="38">
        <v>1</v>
      </c>
      <c r="D217" s="38">
        <v>2</v>
      </c>
      <c r="E217" s="38">
        <v>7.6050000000000004</v>
      </c>
      <c r="F217" s="38">
        <v>1.5</v>
      </c>
      <c r="G217" s="38"/>
      <c r="H217" s="41">
        <f t="shared" si="8"/>
        <v>22.815000000000001</v>
      </c>
      <c r="I217" s="38"/>
      <c r="J217" s="60"/>
      <c r="K217" s="56"/>
    </row>
    <row r="218" spans="1:11" ht="20.05" customHeight="1" x14ac:dyDescent="0.2">
      <c r="A218" s="38"/>
      <c r="B218" s="36" t="s">
        <v>183</v>
      </c>
      <c r="C218" s="38">
        <v>-1</v>
      </c>
      <c r="D218" s="38">
        <v>1</v>
      </c>
      <c r="E218" s="38">
        <v>1.2</v>
      </c>
      <c r="F218" s="38">
        <v>1.5</v>
      </c>
      <c r="G218" s="38"/>
      <c r="H218" s="41">
        <f t="shared" si="8"/>
        <v>-1.7999999999999998</v>
      </c>
      <c r="I218" s="38"/>
      <c r="J218" s="60"/>
      <c r="K218" s="56"/>
    </row>
    <row r="219" spans="1:11" ht="20.05" customHeight="1" x14ac:dyDescent="0.2">
      <c r="A219" s="38"/>
      <c r="B219" s="36" t="s">
        <v>7</v>
      </c>
      <c r="C219" s="38">
        <v>1</v>
      </c>
      <c r="D219" s="38">
        <v>2</v>
      </c>
      <c r="E219" s="38">
        <v>8.65</v>
      </c>
      <c r="F219" s="38">
        <v>1.5</v>
      </c>
      <c r="G219" s="38"/>
      <c r="H219" s="41">
        <f t="shared" si="8"/>
        <v>25.950000000000003</v>
      </c>
      <c r="I219" s="38"/>
      <c r="J219" s="60"/>
      <c r="K219" s="56"/>
    </row>
    <row r="220" spans="1:11" ht="20.05" customHeight="1" x14ac:dyDescent="0.2">
      <c r="A220" s="38"/>
      <c r="B220" s="36"/>
      <c r="C220" s="38">
        <v>1</v>
      </c>
      <c r="D220" s="38">
        <v>2</v>
      </c>
      <c r="E220" s="38">
        <v>7.6050000000000004</v>
      </c>
      <c r="F220" s="38">
        <v>1.5</v>
      </c>
      <c r="G220" s="38"/>
      <c r="H220" s="41">
        <f t="shared" si="8"/>
        <v>22.815000000000001</v>
      </c>
      <c r="I220" s="38"/>
      <c r="J220" s="60"/>
      <c r="K220" s="56"/>
    </row>
    <row r="221" spans="1:11" ht="20.05" customHeight="1" x14ac:dyDescent="0.2">
      <c r="A221" s="38"/>
      <c r="B221" s="36" t="s">
        <v>183</v>
      </c>
      <c r="C221" s="38">
        <v>-1</v>
      </c>
      <c r="D221" s="38">
        <v>1</v>
      </c>
      <c r="E221" s="38">
        <v>1.8</v>
      </c>
      <c r="F221" s="38">
        <v>1.5</v>
      </c>
      <c r="G221" s="38"/>
      <c r="H221" s="41">
        <f t="shared" si="8"/>
        <v>-2.7</v>
      </c>
      <c r="I221" s="38"/>
      <c r="J221" s="60"/>
      <c r="K221" s="56"/>
    </row>
    <row r="222" spans="1:11" ht="20.05" customHeight="1" x14ac:dyDescent="0.2">
      <c r="A222" s="38"/>
      <c r="B222" s="36" t="s">
        <v>118</v>
      </c>
      <c r="C222" s="38">
        <v>1</v>
      </c>
      <c r="D222" s="38">
        <v>2</v>
      </c>
      <c r="E222" s="38">
        <v>1.5</v>
      </c>
      <c r="F222" s="38">
        <v>2.1</v>
      </c>
      <c r="G222" s="38"/>
      <c r="H222" s="41">
        <f t="shared" si="8"/>
        <v>6.3000000000000007</v>
      </c>
      <c r="I222" s="38"/>
      <c r="J222" s="60"/>
      <c r="K222" s="56"/>
    </row>
    <row r="223" spans="1:11" ht="20.05" customHeight="1" x14ac:dyDescent="0.2">
      <c r="A223" s="38"/>
      <c r="B223" s="36"/>
      <c r="C223" s="38">
        <v>1</v>
      </c>
      <c r="D223" s="38">
        <v>2</v>
      </c>
      <c r="E223" s="38">
        <v>1.8</v>
      </c>
      <c r="F223" s="38">
        <v>2.1</v>
      </c>
      <c r="G223" s="38"/>
      <c r="H223" s="41">
        <f t="shared" si="8"/>
        <v>7.5600000000000005</v>
      </c>
      <c r="I223" s="38"/>
      <c r="J223" s="60"/>
      <c r="K223" s="56"/>
    </row>
    <row r="224" spans="1:11" ht="20.05" customHeight="1" x14ac:dyDescent="0.2">
      <c r="A224" s="38"/>
      <c r="B224" s="36" t="s">
        <v>183</v>
      </c>
      <c r="C224" s="38">
        <v>-1</v>
      </c>
      <c r="D224" s="38">
        <v>1</v>
      </c>
      <c r="E224" s="38">
        <v>0.8</v>
      </c>
      <c r="F224" s="38">
        <v>2.1</v>
      </c>
      <c r="G224" s="38"/>
      <c r="H224" s="41">
        <f t="shared" si="8"/>
        <v>-1.6800000000000002</v>
      </c>
      <c r="I224" s="38"/>
      <c r="J224" s="60"/>
      <c r="K224" s="56"/>
    </row>
    <row r="225" spans="1:11" ht="20.05" customHeight="1" x14ac:dyDescent="0.2">
      <c r="A225" s="38"/>
      <c r="B225" s="36" t="s">
        <v>12</v>
      </c>
      <c r="C225" s="38">
        <v>1</v>
      </c>
      <c r="D225" s="38">
        <v>2</v>
      </c>
      <c r="E225" s="38">
        <v>1.2</v>
      </c>
      <c r="F225" s="38">
        <v>2.1</v>
      </c>
      <c r="G225" s="38"/>
      <c r="H225" s="41">
        <f t="shared" si="8"/>
        <v>5.04</v>
      </c>
      <c r="I225" s="38"/>
      <c r="J225" s="60"/>
      <c r="K225" s="56"/>
    </row>
    <row r="226" spans="1:11" ht="20.05" customHeight="1" x14ac:dyDescent="0.2">
      <c r="A226" s="38"/>
      <c r="B226" s="36"/>
      <c r="C226" s="38">
        <v>1</v>
      </c>
      <c r="D226" s="38">
        <v>2</v>
      </c>
      <c r="E226" s="38">
        <v>1.5</v>
      </c>
      <c r="F226" s="38">
        <v>2.1</v>
      </c>
      <c r="G226" s="38"/>
      <c r="H226" s="41">
        <f t="shared" si="8"/>
        <v>6.3000000000000007</v>
      </c>
      <c r="I226" s="38"/>
      <c r="J226" s="60"/>
      <c r="K226" s="56"/>
    </row>
    <row r="227" spans="1:11" ht="20.05" customHeight="1" x14ac:dyDescent="0.2">
      <c r="A227" s="38"/>
      <c r="B227" s="36" t="s">
        <v>183</v>
      </c>
      <c r="C227" s="38">
        <v>-1</v>
      </c>
      <c r="D227" s="38">
        <v>1</v>
      </c>
      <c r="E227" s="38">
        <v>0.8</v>
      </c>
      <c r="F227" s="38">
        <v>2.1</v>
      </c>
      <c r="G227" s="38"/>
      <c r="H227" s="41">
        <f t="shared" si="8"/>
        <v>-1.6800000000000002</v>
      </c>
      <c r="I227" s="38"/>
      <c r="J227" s="60"/>
      <c r="K227" s="56"/>
    </row>
    <row r="228" spans="1:11" ht="20.05" customHeight="1" x14ac:dyDescent="0.2">
      <c r="A228" s="38"/>
      <c r="B228" s="36" t="s">
        <v>13</v>
      </c>
      <c r="C228" s="38">
        <v>1</v>
      </c>
      <c r="D228" s="38">
        <v>2</v>
      </c>
      <c r="E228" s="38">
        <v>1.2</v>
      </c>
      <c r="F228" s="38">
        <v>2.1</v>
      </c>
      <c r="G228" s="38"/>
      <c r="H228" s="41">
        <f t="shared" si="8"/>
        <v>5.04</v>
      </c>
      <c r="I228" s="38"/>
      <c r="J228" s="60"/>
      <c r="K228" s="56"/>
    </row>
    <row r="229" spans="1:11" ht="20.05" customHeight="1" x14ac:dyDescent="0.2">
      <c r="A229" s="38"/>
      <c r="B229" s="36"/>
      <c r="C229" s="38">
        <v>1</v>
      </c>
      <c r="D229" s="38">
        <v>2</v>
      </c>
      <c r="E229" s="38">
        <v>1.5</v>
      </c>
      <c r="F229" s="38">
        <v>2.1</v>
      </c>
      <c r="G229" s="38"/>
      <c r="H229" s="41">
        <f t="shared" si="8"/>
        <v>6.3000000000000007</v>
      </c>
      <c r="I229" s="38"/>
      <c r="J229" s="60"/>
      <c r="K229" s="56"/>
    </row>
    <row r="230" spans="1:11" ht="20.05" customHeight="1" x14ac:dyDescent="0.2">
      <c r="A230" s="38"/>
      <c r="B230" s="36" t="s">
        <v>183</v>
      </c>
      <c r="C230" s="38">
        <v>-1</v>
      </c>
      <c r="D230" s="38">
        <v>1</v>
      </c>
      <c r="E230" s="38">
        <v>0.8</v>
      </c>
      <c r="F230" s="38">
        <v>2.1</v>
      </c>
      <c r="G230" s="38"/>
      <c r="H230" s="41">
        <f t="shared" si="8"/>
        <v>-1.6800000000000002</v>
      </c>
      <c r="I230" s="38"/>
      <c r="J230" s="60"/>
      <c r="K230" s="56"/>
    </row>
    <row r="231" spans="1:11" ht="20.05" customHeight="1" x14ac:dyDescent="0.2">
      <c r="A231" s="38"/>
      <c r="B231" s="36" t="s">
        <v>10</v>
      </c>
      <c r="C231" s="38">
        <v>1</v>
      </c>
      <c r="D231" s="38">
        <v>2</v>
      </c>
      <c r="E231" s="38">
        <v>5.87</v>
      </c>
      <c r="F231" s="38">
        <v>1.5</v>
      </c>
      <c r="G231" s="38"/>
      <c r="H231" s="41">
        <f t="shared" si="8"/>
        <v>17.61</v>
      </c>
      <c r="I231" s="38"/>
      <c r="J231" s="60"/>
      <c r="K231" s="56"/>
    </row>
    <row r="232" spans="1:11" ht="20.05" customHeight="1" x14ac:dyDescent="0.2">
      <c r="A232" s="38"/>
      <c r="B232" s="36"/>
      <c r="C232" s="38">
        <v>1</v>
      </c>
      <c r="D232" s="38">
        <v>2</v>
      </c>
      <c r="E232" s="38">
        <v>4.5999999999999996</v>
      </c>
      <c r="F232" s="38">
        <v>1.5</v>
      </c>
      <c r="G232" s="38"/>
      <c r="H232" s="41">
        <f t="shared" si="8"/>
        <v>13.799999999999999</v>
      </c>
      <c r="I232" s="38"/>
      <c r="J232" s="60"/>
      <c r="K232" s="56"/>
    </row>
    <row r="233" spans="1:11" ht="20.05" customHeight="1" x14ac:dyDescent="0.2">
      <c r="A233" s="38"/>
      <c r="B233" s="36" t="s">
        <v>183</v>
      </c>
      <c r="C233" s="38">
        <v>-1</v>
      </c>
      <c r="D233" s="38">
        <v>1</v>
      </c>
      <c r="E233" s="38">
        <v>1.8</v>
      </c>
      <c r="F233" s="38">
        <v>1.5</v>
      </c>
      <c r="G233" s="38"/>
      <c r="H233" s="41">
        <f t="shared" si="8"/>
        <v>-2.7</v>
      </c>
      <c r="I233" s="38"/>
      <c r="J233" s="60"/>
      <c r="K233" s="56"/>
    </row>
    <row r="234" spans="1:11" ht="20.05" customHeight="1" x14ac:dyDescent="0.2">
      <c r="A234" s="38"/>
      <c r="B234" s="36" t="s">
        <v>11</v>
      </c>
      <c r="C234" s="38">
        <v>1</v>
      </c>
      <c r="D234" s="38">
        <v>2</v>
      </c>
      <c r="E234" s="38">
        <v>7.14</v>
      </c>
      <c r="F234" s="38">
        <v>1.5</v>
      </c>
      <c r="G234" s="38"/>
      <c r="H234" s="41">
        <f t="shared" si="8"/>
        <v>21.419999999999998</v>
      </c>
      <c r="I234" s="38"/>
      <c r="J234" s="60"/>
      <c r="K234" s="56"/>
    </row>
    <row r="235" spans="1:11" ht="20.05" customHeight="1" x14ac:dyDescent="0.2">
      <c r="A235" s="38"/>
      <c r="B235" s="36"/>
      <c r="C235" s="38">
        <v>1</v>
      </c>
      <c r="D235" s="38">
        <v>2</v>
      </c>
      <c r="E235" s="38">
        <v>3.83</v>
      </c>
      <c r="F235" s="38">
        <v>1.5</v>
      </c>
      <c r="G235" s="38"/>
      <c r="H235" s="41">
        <f t="shared" si="8"/>
        <v>11.49</v>
      </c>
      <c r="I235" s="38"/>
      <c r="J235" s="60"/>
      <c r="K235" s="56"/>
    </row>
    <row r="236" spans="1:11" ht="20.05" customHeight="1" x14ac:dyDescent="0.2">
      <c r="A236" s="38"/>
      <c r="B236" s="36" t="s">
        <v>51</v>
      </c>
      <c r="C236" s="38">
        <v>1</v>
      </c>
      <c r="D236" s="38">
        <v>2</v>
      </c>
      <c r="E236" s="38">
        <v>11.7</v>
      </c>
      <c r="F236" s="38">
        <v>2.1</v>
      </c>
      <c r="G236" s="38"/>
      <c r="H236" s="41">
        <f t="shared" si="8"/>
        <v>49.14</v>
      </c>
      <c r="I236" s="38"/>
      <c r="J236" s="60"/>
      <c r="K236" s="56"/>
    </row>
    <row r="237" spans="1:11" ht="20.05" customHeight="1" x14ac:dyDescent="0.2">
      <c r="A237" s="38"/>
      <c r="B237" s="36"/>
      <c r="C237" s="38">
        <v>1</v>
      </c>
      <c r="D237" s="38">
        <v>2</v>
      </c>
      <c r="E237" s="38">
        <v>1.8</v>
      </c>
      <c r="F237" s="38">
        <v>2.1</v>
      </c>
      <c r="G237" s="38"/>
      <c r="H237" s="41">
        <f t="shared" si="8"/>
        <v>7.5600000000000005</v>
      </c>
      <c r="I237" s="38"/>
      <c r="J237" s="60"/>
      <c r="K237" s="56"/>
    </row>
    <row r="238" spans="1:11" ht="20.05" customHeight="1" x14ac:dyDescent="0.2">
      <c r="A238" s="38"/>
      <c r="B238" s="36" t="s">
        <v>183</v>
      </c>
      <c r="C238" s="38">
        <v>-1</v>
      </c>
      <c r="D238" s="38">
        <v>1</v>
      </c>
      <c r="E238" s="38">
        <v>0.9</v>
      </c>
      <c r="F238" s="38">
        <v>2.1</v>
      </c>
      <c r="G238" s="38"/>
      <c r="H238" s="41">
        <f t="shared" si="8"/>
        <v>-1.8900000000000001</v>
      </c>
      <c r="I238" s="38"/>
      <c r="J238" s="60"/>
      <c r="K238" s="56"/>
    </row>
    <row r="239" spans="1:11" ht="20.05" customHeight="1" x14ac:dyDescent="0.2">
      <c r="A239" s="38"/>
      <c r="B239" s="36" t="s">
        <v>14</v>
      </c>
      <c r="C239" s="38">
        <v>1</v>
      </c>
      <c r="D239" s="38">
        <v>2</v>
      </c>
      <c r="E239" s="38">
        <v>1.2</v>
      </c>
      <c r="F239" s="38">
        <v>2.1</v>
      </c>
      <c r="G239" s="38"/>
      <c r="H239" s="41">
        <f t="shared" si="8"/>
        <v>5.04</v>
      </c>
      <c r="I239" s="38"/>
      <c r="J239" s="60"/>
      <c r="K239" s="56"/>
    </row>
    <row r="240" spans="1:11" ht="20.05" customHeight="1" x14ac:dyDescent="0.2">
      <c r="A240" s="38"/>
      <c r="B240" s="36"/>
      <c r="C240" s="38">
        <v>1</v>
      </c>
      <c r="D240" s="38">
        <v>2</v>
      </c>
      <c r="E240" s="38">
        <v>1.8</v>
      </c>
      <c r="F240" s="38">
        <v>2.1</v>
      </c>
      <c r="G240" s="38"/>
      <c r="H240" s="41">
        <f t="shared" si="8"/>
        <v>7.5600000000000005</v>
      </c>
      <c r="I240" s="38"/>
      <c r="J240" s="60"/>
      <c r="K240" s="56"/>
    </row>
    <row r="241" spans="1:11" ht="20.05" customHeight="1" x14ac:dyDescent="0.2">
      <c r="A241" s="38"/>
      <c r="B241" s="36" t="s">
        <v>183</v>
      </c>
      <c r="C241" s="38">
        <v>-1</v>
      </c>
      <c r="D241" s="38">
        <v>1</v>
      </c>
      <c r="E241" s="38">
        <v>0.8</v>
      </c>
      <c r="F241" s="38">
        <v>2.1</v>
      </c>
      <c r="G241" s="38"/>
      <c r="H241" s="41">
        <f t="shared" si="8"/>
        <v>-1.6800000000000002</v>
      </c>
      <c r="I241" s="38"/>
      <c r="J241" s="60"/>
      <c r="K241" s="56"/>
    </row>
    <row r="242" spans="1:11" ht="20.05" customHeight="1" x14ac:dyDescent="0.2">
      <c r="A242" s="38"/>
      <c r="B242" s="36" t="s">
        <v>15</v>
      </c>
      <c r="C242" s="38">
        <v>1</v>
      </c>
      <c r="D242" s="38">
        <v>2</v>
      </c>
      <c r="E242" s="38">
        <v>1.2</v>
      </c>
      <c r="F242" s="38">
        <v>2.1</v>
      </c>
      <c r="G242" s="38"/>
      <c r="H242" s="41">
        <f t="shared" si="8"/>
        <v>5.04</v>
      </c>
      <c r="I242" s="38"/>
      <c r="J242" s="60"/>
      <c r="K242" s="56"/>
    </row>
    <row r="243" spans="1:11" ht="20.05" customHeight="1" x14ac:dyDescent="0.2">
      <c r="A243" s="38"/>
      <c r="B243" s="36"/>
      <c r="C243" s="38">
        <v>1</v>
      </c>
      <c r="D243" s="38">
        <v>2</v>
      </c>
      <c r="E243" s="38">
        <v>1.8</v>
      </c>
      <c r="F243" s="38">
        <v>2.1</v>
      </c>
      <c r="G243" s="38"/>
      <c r="H243" s="41">
        <f t="shared" si="8"/>
        <v>7.5600000000000005</v>
      </c>
      <c r="I243" s="38"/>
      <c r="J243" s="60"/>
      <c r="K243" s="56"/>
    </row>
    <row r="244" spans="1:11" ht="20.05" customHeight="1" x14ac:dyDescent="0.2">
      <c r="A244" s="38"/>
      <c r="B244" s="36" t="s">
        <v>183</v>
      </c>
      <c r="C244" s="38">
        <v>-1</v>
      </c>
      <c r="D244" s="38">
        <v>1</v>
      </c>
      <c r="E244" s="38">
        <v>0.8</v>
      </c>
      <c r="F244" s="38">
        <v>2.1</v>
      </c>
      <c r="G244" s="38"/>
      <c r="H244" s="41">
        <f t="shared" si="8"/>
        <v>-1.6800000000000002</v>
      </c>
      <c r="I244" s="38"/>
      <c r="J244" s="60"/>
      <c r="K244" s="56"/>
    </row>
    <row r="245" spans="1:11" ht="20.05" customHeight="1" x14ac:dyDescent="0.2">
      <c r="A245" s="38"/>
      <c r="B245" s="36" t="s">
        <v>26</v>
      </c>
      <c r="C245" s="38">
        <v>1</v>
      </c>
      <c r="D245" s="38">
        <v>2</v>
      </c>
      <c r="E245" s="38">
        <v>3.14</v>
      </c>
      <c r="F245" s="38">
        <v>1.5</v>
      </c>
      <c r="G245" s="38"/>
      <c r="H245" s="41">
        <f t="shared" si="8"/>
        <v>9.42</v>
      </c>
      <c r="I245" s="38"/>
      <c r="J245" s="60"/>
      <c r="K245" s="56"/>
    </row>
    <row r="246" spans="1:11" ht="20.05" customHeight="1" x14ac:dyDescent="0.2">
      <c r="A246" s="38"/>
      <c r="B246" s="36"/>
      <c r="C246" s="38">
        <v>1</v>
      </c>
      <c r="D246" s="38">
        <v>2</v>
      </c>
      <c r="E246" s="38">
        <v>2.4</v>
      </c>
      <c r="F246" s="38">
        <v>1.5</v>
      </c>
      <c r="G246" s="38"/>
      <c r="H246" s="41">
        <f t="shared" ref="H246:H301" si="9">PRODUCT(C246:F246)</f>
        <v>7.1999999999999993</v>
      </c>
      <c r="I246" s="38"/>
      <c r="J246" s="60"/>
      <c r="K246" s="56"/>
    </row>
    <row r="247" spans="1:11" ht="20.05" customHeight="1" x14ac:dyDescent="0.2">
      <c r="A247" s="38"/>
      <c r="B247" s="36" t="s">
        <v>183</v>
      </c>
      <c r="C247" s="38">
        <v>-1</v>
      </c>
      <c r="D247" s="38">
        <v>1</v>
      </c>
      <c r="E247" s="38">
        <v>1</v>
      </c>
      <c r="F247" s="38">
        <v>1.5</v>
      </c>
      <c r="G247" s="38"/>
      <c r="H247" s="41">
        <f t="shared" si="9"/>
        <v>-1.5</v>
      </c>
      <c r="I247" s="38"/>
      <c r="J247" s="60"/>
      <c r="K247" s="56"/>
    </row>
    <row r="248" spans="1:11" ht="20.05" customHeight="1" x14ac:dyDescent="0.2">
      <c r="A248" s="38"/>
      <c r="B248" s="36" t="s">
        <v>45</v>
      </c>
      <c r="C248" s="38">
        <v>1</v>
      </c>
      <c r="D248" s="38">
        <v>2</v>
      </c>
      <c r="E248" s="38">
        <v>3.6</v>
      </c>
      <c r="F248" s="38">
        <v>1.5</v>
      </c>
      <c r="G248" s="38"/>
      <c r="H248" s="41">
        <f t="shared" si="9"/>
        <v>10.8</v>
      </c>
      <c r="I248" s="38"/>
      <c r="J248" s="60"/>
      <c r="K248" s="56"/>
    </row>
    <row r="249" spans="1:11" ht="20.05" customHeight="1" x14ac:dyDescent="0.2">
      <c r="A249" s="38"/>
      <c r="B249" s="36"/>
      <c r="C249" s="38">
        <v>1</v>
      </c>
      <c r="D249" s="38">
        <v>2</v>
      </c>
      <c r="E249" s="38">
        <v>2.5</v>
      </c>
      <c r="F249" s="38">
        <v>1.5</v>
      </c>
      <c r="G249" s="38"/>
      <c r="H249" s="41">
        <f t="shared" si="9"/>
        <v>7.5</v>
      </c>
      <c r="I249" s="38"/>
      <c r="J249" s="60"/>
      <c r="K249" s="56"/>
    </row>
    <row r="250" spans="1:11" ht="20.05" customHeight="1" x14ac:dyDescent="0.2">
      <c r="A250" s="38"/>
      <c r="B250" s="36" t="s">
        <v>183</v>
      </c>
      <c r="C250" s="38">
        <v>-1</v>
      </c>
      <c r="D250" s="38">
        <v>1</v>
      </c>
      <c r="E250" s="38">
        <v>1</v>
      </c>
      <c r="F250" s="38">
        <v>1.5</v>
      </c>
      <c r="G250" s="38"/>
      <c r="H250" s="41">
        <f t="shared" si="9"/>
        <v>-1.5</v>
      </c>
      <c r="I250" s="38"/>
      <c r="J250" s="60"/>
      <c r="K250" s="56"/>
    </row>
    <row r="251" spans="1:11" ht="20.05" customHeight="1" x14ac:dyDescent="0.2">
      <c r="A251" s="38"/>
      <c r="B251" s="36" t="s">
        <v>29</v>
      </c>
      <c r="C251" s="38">
        <v>1</v>
      </c>
      <c r="D251" s="38">
        <v>2</v>
      </c>
      <c r="E251" s="38">
        <v>5.87</v>
      </c>
      <c r="F251" s="38">
        <v>1.5</v>
      </c>
      <c r="G251" s="38"/>
      <c r="H251" s="41">
        <f t="shared" si="9"/>
        <v>17.61</v>
      </c>
      <c r="I251" s="38"/>
      <c r="J251" s="60"/>
      <c r="K251" s="56"/>
    </row>
    <row r="252" spans="1:11" ht="20.05" customHeight="1" x14ac:dyDescent="0.2">
      <c r="A252" s="38"/>
      <c r="B252" s="36"/>
      <c r="C252" s="38">
        <v>1</v>
      </c>
      <c r="D252" s="38">
        <v>2</v>
      </c>
      <c r="E252" s="38">
        <v>6.23</v>
      </c>
      <c r="F252" s="38">
        <v>1.5</v>
      </c>
      <c r="G252" s="38"/>
      <c r="H252" s="41">
        <f t="shared" si="9"/>
        <v>18.690000000000001</v>
      </c>
      <c r="I252" s="38"/>
      <c r="J252" s="60"/>
      <c r="K252" s="56"/>
    </row>
    <row r="253" spans="1:11" ht="20.05" customHeight="1" x14ac:dyDescent="0.2">
      <c r="A253" s="38"/>
      <c r="B253" s="36" t="s">
        <v>183</v>
      </c>
      <c r="C253" s="38">
        <v>-1</v>
      </c>
      <c r="D253" s="38">
        <v>1</v>
      </c>
      <c r="E253" s="38">
        <v>2</v>
      </c>
      <c r="F253" s="38">
        <v>1.5</v>
      </c>
      <c r="G253" s="38"/>
      <c r="H253" s="41">
        <f t="shared" si="9"/>
        <v>-3</v>
      </c>
      <c r="I253" s="38"/>
      <c r="J253" s="60"/>
      <c r="K253" s="56"/>
    </row>
    <row r="254" spans="1:11" ht="20.05" customHeight="1" x14ac:dyDescent="0.2">
      <c r="A254" s="38"/>
      <c r="B254" s="36" t="s">
        <v>30</v>
      </c>
      <c r="C254" s="38">
        <v>1</v>
      </c>
      <c r="D254" s="38">
        <v>2</v>
      </c>
      <c r="E254" s="38">
        <v>7.8</v>
      </c>
      <c r="F254" s="38">
        <v>1.5</v>
      </c>
      <c r="G254" s="38"/>
      <c r="H254" s="41">
        <f t="shared" si="9"/>
        <v>23.4</v>
      </c>
      <c r="I254" s="38"/>
      <c r="J254" s="60"/>
      <c r="K254" s="56"/>
    </row>
    <row r="255" spans="1:11" ht="20.05" customHeight="1" x14ac:dyDescent="0.2">
      <c r="A255" s="38"/>
      <c r="B255" s="36"/>
      <c r="C255" s="38">
        <v>1</v>
      </c>
      <c r="D255" s="38">
        <v>2</v>
      </c>
      <c r="E255" s="38">
        <v>7.085</v>
      </c>
      <c r="F255" s="38">
        <v>1.5</v>
      </c>
      <c r="G255" s="38"/>
      <c r="H255" s="41">
        <f t="shared" si="9"/>
        <v>21.254999999999999</v>
      </c>
      <c r="I255" s="38"/>
      <c r="J255" s="60"/>
      <c r="K255" s="56"/>
    </row>
    <row r="256" spans="1:11" ht="20.05" customHeight="1" x14ac:dyDescent="0.2">
      <c r="A256" s="38"/>
      <c r="B256" s="36" t="s">
        <v>183</v>
      </c>
      <c r="C256" s="38">
        <v>-1</v>
      </c>
      <c r="D256" s="38">
        <v>1</v>
      </c>
      <c r="E256" s="38">
        <v>1.8</v>
      </c>
      <c r="F256" s="38">
        <v>1.5</v>
      </c>
      <c r="G256" s="38"/>
      <c r="H256" s="41">
        <f t="shared" si="9"/>
        <v>-2.7</v>
      </c>
      <c r="I256" s="38"/>
      <c r="J256" s="60"/>
      <c r="K256" s="56"/>
    </row>
    <row r="257" spans="1:11" ht="20.05" customHeight="1" x14ac:dyDescent="0.2">
      <c r="A257" s="38"/>
      <c r="B257" s="36" t="s">
        <v>119</v>
      </c>
      <c r="C257" s="38">
        <v>1</v>
      </c>
      <c r="D257" s="38">
        <v>2</v>
      </c>
      <c r="E257" s="38">
        <v>1.5</v>
      </c>
      <c r="F257" s="38">
        <v>2.1</v>
      </c>
      <c r="G257" s="38"/>
      <c r="H257" s="41">
        <f t="shared" si="9"/>
        <v>6.3000000000000007</v>
      </c>
      <c r="I257" s="38"/>
      <c r="J257" s="60"/>
      <c r="K257" s="56"/>
    </row>
    <row r="258" spans="1:11" ht="20.05" customHeight="1" x14ac:dyDescent="0.2">
      <c r="A258" s="38"/>
      <c r="B258" s="36"/>
      <c r="C258" s="38">
        <v>1</v>
      </c>
      <c r="D258" s="38">
        <v>2</v>
      </c>
      <c r="E258" s="38">
        <v>1.8</v>
      </c>
      <c r="F258" s="38">
        <v>2.1</v>
      </c>
      <c r="G258" s="38"/>
      <c r="H258" s="41">
        <f t="shared" si="9"/>
        <v>7.5600000000000005</v>
      </c>
      <c r="I258" s="38"/>
      <c r="J258" s="60"/>
      <c r="K258" s="56"/>
    </row>
    <row r="259" spans="1:11" ht="20.05" customHeight="1" x14ac:dyDescent="0.2">
      <c r="A259" s="38"/>
      <c r="B259" s="36" t="s">
        <v>183</v>
      </c>
      <c r="C259" s="38">
        <v>-1</v>
      </c>
      <c r="D259" s="38">
        <v>1</v>
      </c>
      <c r="E259" s="38">
        <v>0.8</v>
      </c>
      <c r="F259" s="38">
        <v>2.1</v>
      </c>
      <c r="G259" s="38"/>
      <c r="H259" s="41">
        <f t="shared" si="9"/>
        <v>-1.6800000000000002</v>
      </c>
      <c r="I259" s="38"/>
      <c r="J259" s="60"/>
      <c r="K259" s="56"/>
    </row>
    <row r="260" spans="1:11" ht="20.05" customHeight="1" x14ac:dyDescent="0.2">
      <c r="A260" s="38"/>
      <c r="B260" s="36" t="s">
        <v>34</v>
      </c>
      <c r="C260" s="38">
        <v>1</v>
      </c>
      <c r="D260" s="38">
        <v>2</v>
      </c>
      <c r="E260" s="38">
        <v>3.37</v>
      </c>
      <c r="F260" s="38">
        <v>1.5</v>
      </c>
      <c r="G260" s="38"/>
      <c r="H260" s="41">
        <f t="shared" si="9"/>
        <v>10.11</v>
      </c>
      <c r="I260" s="38"/>
      <c r="J260" s="60"/>
      <c r="K260" s="56"/>
    </row>
    <row r="261" spans="1:11" ht="20.05" customHeight="1" x14ac:dyDescent="0.2">
      <c r="A261" s="38"/>
      <c r="B261" s="36"/>
      <c r="C261" s="38">
        <v>1</v>
      </c>
      <c r="D261" s="38">
        <v>2</v>
      </c>
      <c r="E261" s="38">
        <v>3.2149999999999999</v>
      </c>
      <c r="F261" s="38">
        <v>1.5</v>
      </c>
      <c r="G261" s="38"/>
      <c r="H261" s="41">
        <f t="shared" si="9"/>
        <v>9.6449999999999996</v>
      </c>
      <c r="I261" s="38"/>
      <c r="J261" s="60"/>
      <c r="K261" s="56"/>
    </row>
    <row r="262" spans="1:11" ht="20.05" customHeight="1" x14ac:dyDescent="0.2">
      <c r="A262" s="38"/>
      <c r="B262" s="36" t="s">
        <v>183</v>
      </c>
      <c r="C262" s="38">
        <v>-1</v>
      </c>
      <c r="D262" s="38">
        <v>1</v>
      </c>
      <c r="E262" s="38">
        <v>0.9</v>
      </c>
      <c r="F262" s="38">
        <v>1.5</v>
      </c>
      <c r="G262" s="38"/>
      <c r="H262" s="41">
        <f t="shared" si="9"/>
        <v>-1.35</v>
      </c>
      <c r="I262" s="38"/>
      <c r="J262" s="60"/>
      <c r="K262" s="56"/>
    </row>
    <row r="263" spans="1:11" ht="20.05" customHeight="1" x14ac:dyDescent="0.2">
      <c r="A263" s="38"/>
      <c r="B263" s="36" t="s">
        <v>35</v>
      </c>
      <c r="C263" s="38">
        <v>1</v>
      </c>
      <c r="D263" s="38">
        <v>2</v>
      </c>
      <c r="E263" s="38">
        <v>3</v>
      </c>
      <c r="F263" s="38">
        <v>1.5</v>
      </c>
      <c r="G263" s="38"/>
      <c r="H263" s="41">
        <f t="shared" si="9"/>
        <v>9</v>
      </c>
      <c r="I263" s="38"/>
      <c r="J263" s="60"/>
      <c r="K263" s="56"/>
    </row>
    <row r="264" spans="1:11" ht="20.05" customHeight="1" x14ac:dyDescent="0.2">
      <c r="A264" s="38"/>
      <c r="B264" s="36"/>
      <c r="C264" s="38">
        <v>1</v>
      </c>
      <c r="D264" s="38">
        <v>2</v>
      </c>
      <c r="E264" s="38">
        <v>3.2149999999999999</v>
      </c>
      <c r="F264" s="38">
        <v>1.5</v>
      </c>
      <c r="G264" s="38"/>
      <c r="H264" s="41">
        <f t="shared" si="9"/>
        <v>9.6449999999999996</v>
      </c>
      <c r="I264" s="38"/>
      <c r="J264" s="60"/>
      <c r="K264" s="56"/>
    </row>
    <row r="265" spans="1:11" ht="20.05" customHeight="1" x14ac:dyDescent="0.2">
      <c r="A265" s="38"/>
      <c r="B265" s="36" t="s">
        <v>183</v>
      </c>
      <c r="C265" s="38">
        <v>-1</v>
      </c>
      <c r="D265" s="38">
        <v>1</v>
      </c>
      <c r="E265" s="38">
        <v>0.9</v>
      </c>
      <c r="F265" s="38">
        <v>1.5</v>
      </c>
      <c r="G265" s="38"/>
      <c r="H265" s="41">
        <f t="shared" si="9"/>
        <v>-1.35</v>
      </c>
      <c r="I265" s="38"/>
      <c r="J265" s="60"/>
      <c r="K265" s="56"/>
    </row>
    <row r="266" spans="1:11" ht="20.05" customHeight="1" x14ac:dyDescent="0.2">
      <c r="A266" s="38"/>
      <c r="B266" s="36" t="s">
        <v>36</v>
      </c>
      <c r="C266" s="38">
        <v>1</v>
      </c>
      <c r="D266" s="38">
        <v>2</v>
      </c>
      <c r="E266" s="38">
        <v>15.79</v>
      </c>
      <c r="F266" s="38">
        <v>1.5</v>
      </c>
      <c r="G266" s="38"/>
      <c r="H266" s="41">
        <f t="shared" si="9"/>
        <v>47.37</v>
      </c>
      <c r="I266" s="38"/>
      <c r="J266" s="60"/>
      <c r="K266" s="56"/>
    </row>
    <row r="267" spans="1:11" ht="20.05" customHeight="1" x14ac:dyDescent="0.2">
      <c r="A267" s="38"/>
      <c r="B267" s="36"/>
      <c r="C267" s="38">
        <v>1</v>
      </c>
      <c r="D267" s="38">
        <v>2</v>
      </c>
      <c r="E267" s="38">
        <v>1.3759999999999999</v>
      </c>
      <c r="F267" s="38">
        <v>1.5</v>
      </c>
      <c r="G267" s="38"/>
      <c r="H267" s="41">
        <f t="shared" si="9"/>
        <v>4.1280000000000001</v>
      </c>
      <c r="I267" s="38"/>
      <c r="J267" s="60"/>
      <c r="K267" s="56"/>
    </row>
    <row r="268" spans="1:11" ht="20.05" customHeight="1" x14ac:dyDescent="0.2">
      <c r="A268" s="38"/>
      <c r="B268" s="36" t="s">
        <v>185</v>
      </c>
      <c r="C268" s="38">
        <v>-1</v>
      </c>
      <c r="D268" s="38">
        <v>1</v>
      </c>
      <c r="E268" s="38">
        <v>1.35</v>
      </c>
      <c r="F268" s="38">
        <v>1.5</v>
      </c>
      <c r="G268" s="38"/>
      <c r="H268" s="41">
        <f t="shared" si="9"/>
        <v>-2.0250000000000004</v>
      </c>
      <c r="I268" s="38"/>
      <c r="J268" s="60"/>
      <c r="K268" s="56"/>
    </row>
    <row r="269" spans="1:11" ht="20.05" customHeight="1" x14ac:dyDescent="0.2">
      <c r="A269" s="38"/>
      <c r="B269" s="36" t="s">
        <v>37</v>
      </c>
      <c r="C269" s="38">
        <v>1</v>
      </c>
      <c r="D269" s="38">
        <v>2</v>
      </c>
      <c r="E269" s="38">
        <v>2.02</v>
      </c>
      <c r="F269" s="38">
        <v>1.5</v>
      </c>
      <c r="G269" s="38"/>
      <c r="H269" s="41">
        <f t="shared" si="9"/>
        <v>6.0600000000000005</v>
      </c>
      <c r="I269" s="38"/>
      <c r="J269" s="60"/>
      <c r="K269" s="56"/>
    </row>
    <row r="270" spans="1:11" ht="20.05" customHeight="1" x14ac:dyDescent="0.2">
      <c r="A270" s="38"/>
      <c r="B270" s="36"/>
      <c r="C270" s="38">
        <v>1</v>
      </c>
      <c r="D270" s="38">
        <v>2</v>
      </c>
      <c r="E270" s="38">
        <v>8.2949999999999999</v>
      </c>
      <c r="F270" s="38">
        <v>1.5</v>
      </c>
      <c r="G270" s="38"/>
      <c r="H270" s="41">
        <f t="shared" si="9"/>
        <v>24.884999999999998</v>
      </c>
      <c r="I270" s="38"/>
      <c r="J270" s="60"/>
      <c r="K270" s="56"/>
    </row>
    <row r="271" spans="1:11" ht="20.05" customHeight="1" x14ac:dyDescent="0.2">
      <c r="A271" s="38"/>
      <c r="B271" s="36" t="s">
        <v>185</v>
      </c>
      <c r="C271" s="38">
        <v>-1</v>
      </c>
      <c r="D271" s="38">
        <v>1</v>
      </c>
      <c r="E271" s="38">
        <v>1.35</v>
      </c>
      <c r="F271" s="38">
        <v>1.5</v>
      </c>
      <c r="G271" s="38"/>
      <c r="H271" s="41">
        <f t="shared" si="9"/>
        <v>-2.0250000000000004</v>
      </c>
      <c r="I271" s="38"/>
      <c r="J271" s="60"/>
      <c r="K271" s="56"/>
    </row>
    <row r="272" spans="1:11" ht="20.05" customHeight="1" x14ac:dyDescent="0.2">
      <c r="A272" s="38"/>
      <c r="B272" s="36" t="s">
        <v>185</v>
      </c>
      <c r="C272" s="38">
        <v>-1</v>
      </c>
      <c r="D272" s="38">
        <v>1</v>
      </c>
      <c r="E272" s="38">
        <v>2</v>
      </c>
      <c r="F272" s="38">
        <v>1.5</v>
      </c>
      <c r="G272" s="38"/>
      <c r="H272" s="41">
        <f t="shared" si="9"/>
        <v>-3</v>
      </c>
      <c r="I272" s="38"/>
      <c r="J272" s="60"/>
      <c r="K272" s="56"/>
    </row>
    <row r="273" spans="1:11" ht="20.05" customHeight="1" x14ac:dyDescent="0.2">
      <c r="A273" s="38"/>
      <c r="B273" s="36" t="s">
        <v>38</v>
      </c>
      <c r="C273" s="38">
        <v>1</v>
      </c>
      <c r="D273" s="38">
        <v>2</v>
      </c>
      <c r="E273" s="38">
        <v>34.36</v>
      </c>
      <c r="F273" s="38">
        <v>1.5</v>
      </c>
      <c r="G273" s="38"/>
      <c r="H273" s="41">
        <f t="shared" si="9"/>
        <v>103.08</v>
      </c>
      <c r="I273" s="38"/>
      <c r="J273" s="60"/>
      <c r="K273" s="56"/>
    </row>
    <row r="274" spans="1:11" ht="20.05" customHeight="1" x14ac:dyDescent="0.2">
      <c r="A274" s="38"/>
      <c r="B274" s="36"/>
      <c r="C274" s="38">
        <v>1</v>
      </c>
      <c r="D274" s="38">
        <v>2</v>
      </c>
      <c r="E274" s="38">
        <v>2.4</v>
      </c>
      <c r="F274" s="38">
        <v>1.5</v>
      </c>
      <c r="G274" s="38"/>
      <c r="H274" s="41">
        <f t="shared" si="9"/>
        <v>7.1999999999999993</v>
      </c>
      <c r="I274" s="38"/>
      <c r="J274" s="60"/>
      <c r="K274" s="56"/>
    </row>
    <row r="275" spans="1:11" ht="20.05" customHeight="1" x14ac:dyDescent="0.2">
      <c r="A275" s="38"/>
      <c r="B275" s="36" t="s">
        <v>185</v>
      </c>
      <c r="C275" s="38">
        <v>-1</v>
      </c>
      <c r="D275" s="38">
        <v>1</v>
      </c>
      <c r="E275" s="38">
        <v>2</v>
      </c>
      <c r="F275" s="38">
        <v>1.5</v>
      </c>
      <c r="G275" s="38"/>
      <c r="H275" s="41">
        <f t="shared" si="9"/>
        <v>-3</v>
      </c>
      <c r="I275" s="38"/>
      <c r="J275" s="60"/>
      <c r="K275" s="56"/>
    </row>
    <row r="276" spans="1:11" ht="20.05" customHeight="1" x14ac:dyDescent="0.2">
      <c r="A276" s="38"/>
      <c r="B276" s="36" t="s">
        <v>185</v>
      </c>
      <c r="C276" s="38">
        <v>-1</v>
      </c>
      <c r="D276" s="38">
        <v>2</v>
      </c>
      <c r="E276" s="38">
        <v>1.8</v>
      </c>
      <c r="F276" s="38">
        <v>1.5</v>
      </c>
      <c r="G276" s="38"/>
      <c r="H276" s="41">
        <f t="shared" si="9"/>
        <v>-5.4</v>
      </c>
      <c r="I276" s="38"/>
      <c r="J276" s="60"/>
      <c r="K276" s="56"/>
    </row>
    <row r="277" spans="1:11" ht="20.05" customHeight="1" x14ac:dyDescent="0.2">
      <c r="A277" s="38"/>
      <c r="B277" s="36" t="s">
        <v>185</v>
      </c>
      <c r="C277" s="38">
        <v>-1</v>
      </c>
      <c r="D277" s="38">
        <v>3</v>
      </c>
      <c r="E277" s="38">
        <v>1.2</v>
      </c>
      <c r="F277" s="38">
        <v>1.5</v>
      </c>
      <c r="G277" s="38"/>
      <c r="H277" s="41">
        <f t="shared" si="9"/>
        <v>-5.3999999999999995</v>
      </c>
      <c r="I277" s="38"/>
      <c r="J277" s="60"/>
      <c r="K277" s="56"/>
    </row>
    <row r="278" spans="1:11" ht="20.05" customHeight="1" x14ac:dyDescent="0.2">
      <c r="A278" s="38"/>
      <c r="B278" s="36" t="s">
        <v>185</v>
      </c>
      <c r="C278" s="38">
        <v>-1</v>
      </c>
      <c r="D278" s="38">
        <v>1</v>
      </c>
      <c r="E278" s="38">
        <v>1</v>
      </c>
      <c r="F278" s="38">
        <v>1.5</v>
      </c>
      <c r="G278" s="38"/>
      <c r="H278" s="41">
        <f t="shared" si="9"/>
        <v>-1.5</v>
      </c>
      <c r="I278" s="38"/>
      <c r="J278" s="60"/>
      <c r="K278" s="56"/>
    </row>
    <row r="279" spans="1:11" ht="20.05" customHeight="1" x14ac:dyDescent="0.2">
      <c r="A279" s="38"/>
      <c r="B279" s="36" t="s">
        <v>185</v>
      </c>
      <c r="C279" s="38">
        <v>-1</v>
      </c>
      <c r="D279" s="38">
        <v>2</v>
      </c>
      <c r="E279" s="38">
        <v>0.9</v>
      </c>
      <c r="F279" s="38">
        <v>1.5</v>
      </c>
      <c r="G279" s="38"/>
      <c r="H279" s="41">
        <f t="shared" si="9"/>
        <v>-2.7</v>
      </c>
      <c r="I279" s="38"/>
      <c r="J279" s="60"/>
      <c r="K279" s="56"/>
    </row>
    <row r="280" spans="1:11" ht="20.05" customHeight="1" x14ac:dyDescent="0.2">
      <c r="A280" s="38"/>
      <c r="B280" s="36" t="s">
        <v>185</v>
      </c>
      <c r="C280" s="38">
        <v>-1</v>
      </c>
      <c r="D280" s="38">
        <v>1</v>
      </c>
      <c r="E280" s="38">
        <v>3</v>
      </c>
      <c r="F280" s="38">
        <v>1.5</v>
      </c>
      <c r="G280" s="38"/>
      <c r="H280" s="41">
        <f t="shared" si="9"/>
        <v>-4.5</v>
      </c>
      <c r="I280" s="38"/>
      <c r="J280" s="60"/>
      <c r="K280" s="56"/>
    </row>
    <row r="281" spans="1:11" ht="20.05" customHeight="1" x14ac:dyDescent="0.2">
      <c r="A281" s="38"/>
      <c r="B281" s="36" t="s">
        <v>185</v>
      </c>
      <c r="C281" s="38">
        <v>-1</v>
      </c>
      <c r="D281" s="38">
        <v>1</v>
      </c>
      <c r="E281" s="38">
        <v>2.4</v>
      </c>
      <c r="F281" s="38">
        <v>1.5</v>
      </c>
      <c r="G281" s="38"/>
      <c r="H281" s="41">
        <f t="shared" si="9"/>
        <v>-3.5999999999999996</v>
      </c>
      <c r="I281" s="38"/>
      <c r="J281" s="60"/>
      <c r="K281" s="56"/>
    </row>
    <row r="282" spans="1:11" ht="20.05" customHeight="1" x14ac:dyDescent="0.2">
      <c r="A282" s="38"/>
      <c r="B282" s="36" t="s">
        <v>185</v>
      </c>
      <c r="C282" s="38">
        <v>-1</v>
      </c>
      <c r="D282" s="38">
        <v>1</v>
      </c>
      <c r="E282" s="38">
        <v>2</v>
      </c>
      <c r="F282" s="38">
        <v>1.5</v>
      </c>
      <c r="G282" s="38"/>
      <c r="H282" s="41">
        <f t="shared" si="9"/>
        <v>-3</v>
      </c>
      <c r="I282" s="38"/>
      <c r="J282" s="60"/>
      <c r="K282" s="56"/>
    </row>
    <row r="283" spans="1:11" ht="20.05" customHeight="1" x14ac:dyDescent="0.2">
      <c r="A283" s="38"/>
      <c r="B283" s="36" t="s">
        <v>39</v>
      </c>
      <c r="C283" s="38">
        <v>1</v>
      </c>
      <c r="D283" s="38">
        <v>2</v>
      </c>
      <c r="E283" s="38">
        <v>15.05</v>
      </c>
      <c r="F283" s="38">
        <v>1.5</v>
      </c>
      <c r="G283" s="38"/>
      <c r="H283" s="41">
        <f t="shared" si="9"/>
        <v>45.150000000000006</v>
      </c>
      <c r="I283" s="38"/>
      <c r="J283" s="60"/>
      <c r="K283" s="56"/>
    </row>
    <row r="284" spans="1:11" ht="20.05" customHeight="1" x14ac:dyDescent="0.2">
      <c r="A284" s="38"/>
      <c r="B284" s="36" t="s">
        <v>185</v>
      </c>
      <c r="C284" s="38">
        <v>-1</v>
      </c>
      <c r="D284" s="38">
        <v>1</v>
      </c>
      <c r="E284" s="38">
        <v>0.9</v>
      </c>
      <c r="F284" s="38">
        <v>1.5</v>
      </c>
      <c r="G284" s="38"/>
      <c r="H284" s="41">
        <f t="shared" si="9"/>
        <v>-1.35</v>
      </c>
      <c r="I284" s="38"/>
      <c r="J284" s="60"/>
      <c r="K284" s="56"/>
    </row>
    <row r="285" spans="1:11" ht="20.05" customHeight="1" x14ac:dyDescent="0.2">
      <c r="A285" s="38"/>
      <c r="B285" s="36" t="s">
        <v>185</v>
      </c>
      <c r="C285" s="38">
        <v>-1</v>
      </c>
      <c r="D285" s="38">
        <v>1</v>
      </c>
      <c r="E285" s="38">
        <v>1.2</v>
      </c>
      <c r="F285" s="38">
        <v>1.5</v>
      </c>
      <c r="G285" s="38"/>
      <c r="H285" s="41">
        <f t="shared" si="9"/>
        <v>-1.7999999999999998</v>
      </c>
      <c r="I285" s="38"/>
      <c r="J285" s="60"/>
      <c r="K285" s="56"/>
    </row>
    <row r="286" spans="1:11" ht="20.05" customHeight="1" x14ac:dyDescent="0.2">
      <c r="A286" s="38"/>
      <c r="B286" s="36" t="s">
        <v>40</v>
      </c>
      <c r="C286" s="38">
        <v>1</v>
      </c>
      <c r="D286" s="38">
        <v>2</v>
      </c>
      <c r="E286" s="38">
        <v>15.05</v>
      </c>
      <c r="F286" s="38">
        <v>1.5</v>
      </c>
      <c r="G286" s="38"/>
      <c r="H286" s="41">
        <f t="shared" si="9"/>
        <v>45.150000000000006</v>
      </c>
      <c r="I286" s="38"/>
      <c r="J286" s="60"/>
      <c r="K286" s="56"/>
    </row>
    <row r="287" spans="1:11" ht="20.05" customHeight="1" x14ac:dyDescent="0.2">
      <c r="A287" s="38"/>
      <c r="B287" s="36" t="s">
        <v>185</v>
      </c>
      <c r="C287" s="38">
        <v>-1</v>
      </c>
      <c r="D287" s="38">
        <v>3</v>
      </c>
      <c r="E287" s="38">
        <v>1</v>
      </c>
      <c r="F287" s="38">
        <v>1.5</v>
      </c>
      <c r="G287" s="38"/>
      <c r="H287" s="41">
        <f t="shared" si="9"/>
        <v>-4.5</v>
      </c>
      <c r="I287" s="38"/>
      <c r="J287" s="60"/>
      <c r="K287" s="56"/>
    </row>
    <row r="288" spans="1:11" ht="20.05" customHeight="1" x14ac:dyDescent="0.2">
      <c r="A288" s="38"/>
      <c r="B288" s="36" t="s">
        <v>41</v>
      </c>
      <c r="C288" s="38">
        <v>1</v>
      </c>
      <c r="D288" s="38">
        <v>2</v>
      </c>
      <c r="E288" s="38">
        <v>3.36</v>
      </c>
      <c r="F288" s="38">
        <v>1.5</v>
      </c>
      <c r="G288" s="38"/>
      <c r="H288" s="41">
        <f t="shared" si="9"/>
        <v>10.08</v>
      </c>
      <c r="I288" s="38"/>
      <c r="J288" s="60"/>
      <c r="K288" s="56"/>
    </row>
    <row r="289" spans="1:11" ht="20.05" customHeight="1" x14ac:dyDescent="0.2">
      <c r="A289" s="38"/>
      <c r="B289" s="36" t="s">
        <v>185</v>
      </c>
      <c r="C289" s="38">
        <v>1</v>
      </c>
      <c r="D289" s="38">
        <v>2</v>
      </c>
      <c r="E289" s="38">
        <v>2.4</v>
      </c>
      <c r="F289" s="38">
        <v>1.5</v>
      </c>
      <c r="G289" s="38"/>
      <c r="H289" s="41">
        <f t="shared" si="9"/>
        <v>7.1999999999999993</v>
      </c>
      <c r="I289" s="38"/>
      <c r="J289" s="60"/>
      <c r="K289" s="56"/>
    </row>
    <row r="290" spans="1:11" ht="20.05" customHeight="1" x14ac:dyDescent="0.2">
      <c r="A290" s="38"/>
      <c r="B290" s="36" t="s">
        <v>185</v>
      </c>
      <c r="C290" s="38">
        <v>-1</v>
      </c>
      <c r="D290" s="38">
        <v>2</v>
      </c>
      <c r="E290" s="38">
        <v>0.9</v>
      </c>
      <c r="F290" s="38">
        <v>1.5</v>
      </c>
      <c r="G290" s="38"/>
      <c r="H290" s="41">
        <f t="shared" si="9"/>
        <v>-2.7</v>
      </c>
      <c r="I290" s="38"/>
      <c r="J290" s="60"/>
      <c r="K290" s="56"/>
    </row>
    <row r="291" spans="1:11" ht="20.05" customHeight="1" x14ac:dyDescent="0.2">
      <c r="A291" s="38"/>
      <c r="B291" s="36" t="s">
        <v>185</v>
      </c>
      <c r="C291" s="38">
        <v>-1</v>
      </c>
      <c r="D291" s="38">
        <v>6</v>
      </c>
      <c r="E291" s="38">
        <v>1</v>
      </c>
      <c r="F291" s="38">
        <v>1.5</v>
      </c>
      <c r="G291" s="38"/>
      <c r="H291" s="41">
        <f t="shared" si="9"/>
        <v>-9</v>
      </c>
      <c r="I291" s="38"/>
      <c r="J291" s="60"/>
      <c r="K291" s="56"/>
    </row>
    <row r="292" spans="1:11" ht="20.05" customHeight="1" x14ac:dyDescent="0.2">
      <c r="A292" s="38"/>
      <c r="B292" s="36" t="s">
        <v>185</v>
      </c>
      <c r="C292" s="38">
        <v>-1</v>
      </c>
      <c r="D292" s="38">
        <v>4</v>
      </c>
      <c r="E292" s="38">
        <v>2</v>
      </c>
      <c r="F292" s="38">
        <v>1.5</v>
      </c>
      <c r="G292" s="38"/>
      <c r="H292" s="41">
        <f t="shared" si="9"/>
        <v>-12</v>
      </c>
      <c r="I292" s="38"/>
      <c r="J292" s="60"/>
      <c r="K292" s="56"/>
    </row>
    <row r="293" spans="1:11" ht="20.05" customHeight="1" x14ac:dyDescent="0.2">
      <c r="A293" s="38"/>
      <c r="B293" s="36" t="s">
        <v>185</v>
      </c>
      <c r="C293" s="38">
        <v>-1</v>
      </c>
      <c r="D293" s="38">
        <v>1</v>
      </c>
      <c r="E293" s="38">
        <v>3</v>
      </c>
      <c r="F293" s="38">
        <v>1.5</v>
      </c>
      <c r="G293" s="38"/>
      <c r="H293" s="41">
        <f t="shared" si="9"/>
        <v>-4.5</v>
      </c>
      <c r="I293" s="38"/>
      <c r="J293" s="60"/>
      <c r="K293" s="56"/>
    </row>
    <row r="294" spans="1:11" ht="20.05" customHeight="1" x14ac:dyDescent="0.2">
      <c r="A294" s="38"/>
      <c r="B294" s="36" t="s">
        <v>185</v>
      </c>
      <c r="C294" s="38">
        <v>-1</v>
      </c>
      <c r="D294" s="38">
        <v>1</v>
      </c>
      <c r="E294" s="38">
        <v>2.4</v>
      </c>
      <c r="F294" s="38">
        <v>1.5</v>
      </c>
      <c r="G294" s="38"/>
      <c r="H294" s="41">
        <f t="shared" si="9"/>
        <v>-3.5999999999999996</v>
      </c>
      <c r="I294" s="38"/>
      <c r="J294" s="60"/>
      <c r="K294" s="56"/>
    </row>
    <row r="295" spans="1:11" ht="20.05" customHeight="1" x14ac:dyDescent="0.2">
      <c r="A295" s="38"/>
      <c r="B295" s="36" t="s">
        <v>185</v>
      </c>
      <c r="C295" s="38">
        <v>-1</v>
      </c>
      <c r="D295" s="38">
        <v>1</v>
      </c>
      <c r="E295" s="38">
        <v>1.6</v>
      </c>
      <c r="F295" s="38">
        <v>1.5</v>
      </c>
      <c r="G295" s="38"/>
      <c r="H295" s="41">
        <f t="shared" si="9"/>
        <v>-2.4000000000000004</v>
      </c>
      <c r="I295" s="38"/>
      <c r="J295" s="60"/>
      <c r="K295" s="56"/>
    </row>
    <row r="296" spans="1:11" ht="20.05" customHeight="1" x14ac:dyDescent="0.2">
      <c r="A296" s="38"/>
      <c r="B296" s="36" t="s">
        <v>185</v>
      </c>
      <c r="C296" s="38">
        <v>-1</v>
      </c>
      <c r="D296" s="38">
        <v>1</v>
      </c>
      <c r="E296" s="38">
        <v>2</v>
      </c>
      <c r="F296" s="38">
        <v>1.5</v>
      </c>
      <c r="G296" s="38"/>
      <c r="H296" s="41">
        <f t="shared" si="9"/>
        <v>-3</v>
      </c>
      <c r="I296" s="38"/>
      <c r="J296" s="60"/>
      <c r="K296" s="56"/>
    </row>
    <row r="297" spans="1:11" ht="20.05" customHeight="1" x14ac:dyDescent="0.2">
      <c r="A297" s="38"/>
      <c r="B297" s="36" t="s">
        <v>42</v>
      </c>
      <c r="C297" s="38">
        <v>1</v>
      </c>
      <c r="D297" s="38">
        <v>2</v>
      </c>
      <c r="E297" s="38">
        <v>7.5449999999999999</v>
      </c>
      <c r="F297" s="38">
        <v>1.5</v>
      </c>
      <c r="G297" s="38"/>
      <c r="H297" s="41">
        <f t="shared" si="9"/>
        <v>22.634999999999998</v>
      </c>
      <c r="I297" s="38"/>
      <c r="J297" s="60"/>
      <c r="K297" s="56"/>
    </row>
    <row r="298" spans="1:11" ht="20.05" customHeight="1" x14ac:dyDescent="0.2">
      <c r="A298" s="38"/>
      <c r="B298" s="36" t="s">
        <v>43</v>
      </c>
      <c r="C298" s="38">
        <v>1</v>
      </c>
      <c r="D298" s="38">
        <v>2</v>
      </c>
      <c r="E298" s="38">
        <v>35.65</v>
      </c>
      <c r="F298" s="38">
        <v>1.5</v>
      </c>
      <c r="G298" s="38"/>
      <c r="H298" s="41">
        <f t="shared" si="9"/>
        <v>106.94999999999999</v>
      </c>
      <c r="I298" s="38"/>
      <c r="J298" s="60"/>
      <c r="K298" s="56"/>
    </row>
    <row r="299" spans="1:11" ht="20.05" customHeight="1" x14ac:dyDescent="0.2">
      <c r="A299" s="38"/>
      <c r="B299" s="36"/>
      <c r="C299" s="38">
        <v>1</v>
      </c>
      <c r="D299" s="38">
        <v>2</v>
      </c>
      <c r="E299" s="38">
        <v>2.02</v>
      </c>
      <c r="F299" s="38">
        <v>1.5</v>
      </c>
      <c r="G299" s="38"/>
      <c r="H299" s="41">
        <f t="shared" si="9"/>
        <v>6.0600000000000005</v>
      </c>
      <c r="I299" s="38"/>
      <c r="J299" s="60"/>
      <c r="K299" s="56"/>
    </row>
    <row r="300" spans="1:11" ht="20.05" customHeight="1" x14ac:dyDescent="0.2">
      <c r="A300" s="38"/>
      <c r="B300" s="36" t="s">
        <v>185</v>
      </c>
      <c r="C300" s="38">
        <v>-1</v>
      </c>
      <c r="D300" s="38">
        <v>1</v>
      </c>
      <c r="E300" s="38">
        <v>0.9</v>
      </c>
      <c r="F300" s="38">
        <v>1.5</v>
      </c>
      <c r="G300" s="38"/>
      <c r="H300" s="41">
        <f t="shared" si="9"/>
        <v>-1.35</v>
      </c>
      <c r="I300" s="38"/>
      <c r="J300" s="60"/>
      <c r="K300" s="56"/>
    </row>
    <row r="301" spans="1:11" ht="20.05" customHeight="1" x14ac:dyDescent="0.2">
      <c r="A301" s="38"/>
      <c r="B301" s="36" t="s">
        <v>185</v>
      </c>
      <c r="C301" s="38">
        <v>-1</v>
      </c>
      <c r="D301" s="38">
        <v>1</v>
      </c>
      <c r="E301" s="38">
        <v>1.6</v>
      </c>
      <c r="F301" s="38">
        <v>1.5</v>
      </c>
      <c r="G301" s="38"/>
      <c r="H301" s="41">
        <f t="shared" si="9"/>
        <v>-2.4000000000000004</v>
      </c>
      <c r="I301" s="38"/>
      <c r="J301" s="60"/>
      <c r="K301" s="56"/>
    </row>
    <row r="302" spans="1:11" ht="20.05" customHeight="1" x14ac:dyDescent="0.2">
      <c r="A302" s="38"/>
      <c r="B302" s="36"/>
      <c r="C302" s="38"/>
      <c r="D302" s="38"/>
      <c r="E302" s="38"/>
      <c r="F302" s="38"/>
      <c r="G302" s="38"/>
      <c r="H302" s="42">
        <f>SUM(H211:H301)</f>
        <v>783.61800000000017</v>
      </c>
      <c r="I302" s="38" t="s">
        <v>154</v>
      </c>
      <c r="J302" s="60">
        <f>'C-Datas'!I238</f>
        <v>1220</v>
      </c>
      <c r="K302" s="56">
        <f>ROUND(H302*J302,0)</f>
        <v>956014</v>
      </c>
    </row>
    <row r="303" spans="1:11" ht="57.75" customHeight="1" x14ac:dyDescent="0.2">
      <c r="A303" s="38">
        <v>10</v>
      </c>
      <c r="B303" s="122" t="s">
        <v>346</v>
      </c>
      <c r="C303" s="123"/>
      <c r="D303" s="123"/>
      <c r="E303" s="123"/>
      <c r="F303" s="123"/>
      <c r="G303" s="124"/>
      <c r="H303" s="38"/>
      <c r="I303" s="38"/>
      <c r="J303" s="60"/>
      <c r="K303" s="56"/>
    </row>
    <row r="304" spans="1:11" ht="20.05" customHeight="1" x14ac:dyDescent="0.2">
      <c r="A304" s="38"/>
      <c r="B304" s="36" t="s">
        <v>118</v>
      </c>
      <c r="C304" s="38">
        <v>1</v>
      </c>
      <c r="D304" s="38">
        <v>1</v>
      </c>
      <c r="E304" s="38">
        <v>1.5</v>
      </c>
      <c r="F304" s="38">
        <v>1.8</v>
      </c>
      <c r="G304" s="38"/>
      <c r="H304" s="41">
        <f t="shared" ref="H304:H309" si="10">PRODUCT(C304:F304)</f>
        <v>2.7</v>
      </c>
      <c r="I304" s="38"/>
      <c r="J304" s="60"/>
      <c r="K304" s="56"/>
    </row>
    <row r="305" spans="1:11" ht="20.05" customHeight="1" x14ac:dyDescent="0.2">
      <c r="A305" s="38"/>
      <c r="B305" s="36" t="s">
        <v>12</v>
      </c>
      <c r="C305" s="38">
        <v>1</v>
      </c>
      <c r="D305" s="38">
        <v>1</v>
      </c>
      <c r="E305" s="38">
        <v>1.2</v>
      </c>
      <c r="F305" s="38">
        <v>1.5</v>
      </c>
      <c r="G305" s="38"/>
      <c r="H305" s="41">
        <f t="shared" si="10"/>
        <v>1.7999999999999998</v>
      </c>
      <c r="I305" s="38"/>
      <c r="J305" s="60"/>
      <c r="K305" s="56"/>
    </row>
    <row r="306" spans="1:11" ht="20.05" customHeight="1" x14ac:dyDescent="0.2">
      <c r="A306" s="38"/>
      <c r="B306" s="36" t="s">
        <v>13</v>
      </c>
      <c r="C306" s="38">
        <v>1</v>
      </c>
      <c r="D306" s="38">
        <v>1</v>
      </c>
      <c r="E306" s="38">
        <v>1.2</v>
      </c>
      <c r="F306" s="38">
        <v>1.5</v>
      </c>
      <c r="G306" s="38"/>
      <c r="H306" s="41">
        <f t="shared" si="10"/>
        <v>1.7999999999999998</v>
      </c>
      <c r="I306" s="38"/>
      <c r="J306" s="60"/>
      <c r="K306" s="56"/>
    </row>
    <row r="307" spans="1:11" ht="20.05" customHeight="1" x14ac:dyDescent="0.2">
      <c r="A307" s="38"/>
      <c r="B307" s="36" t="s">
        <v>14</v>
      </c>
      <c r="C307" s="38">
        <v>1</v>
      </c>
      <c r="D307" s="38">
        <v>1</v>
      </c>
      <c r="E307" s="38">
        <v>1.2</v>
      </c>
      <c r="F307" s="38">
        <v>1.8</v>
      </c>
      <c r="G307" s="38"/>
      <c r="H307" s="41">
        <f t="shared" si="10"/>
        <v>2.16</v>
      </c>
      <c r="I307" s="38"/>
      <c r="J307" s="60"/>
      <c r="K307" s="56"/>
    </row>
    <row r="308" spans="1:11" ht="20.05" customHeight="1" x14ac:dyDescent="0.2">
      <c r="A308" s="38"/>
      <c r="B308" s="36" t="s">
        <v>15</v>
      </c>
      <c r="C308" s="38">
        <v>1</v>
      </c>
      <c r="D308" s="38">
        <v>1</v>
      </c>
      <c r="E308" s="38">
        <v>1.2</v>
      </c>
      <c r="F308" s="38">
        <v>1.8</v>
      </c>
      <c r="G308" s="38"/>
      <c r="H308" s="41">
        <f t="shared" si="10"/>
        <v>2.16</v>
      </c>
      <c r="I308" s="38"/>
      <c r="J308" s="60"/>
      <c r="K308" s="56"/>
    </row>
    <row r="309" spans="1:11" ht="20.05" customHeight="1" x14ac:dyDescent="0.2">
      <c r="A309" s="38"/>
      <c r="B309" s="36" t="s">
        <v>119</v>
      </c>
      <c r="C309" s="38">
        <v>1</v>
      </c>
      <c r="D309" s="38">
        <v>1</v>
      </c>
      <c r="E309" s="38">
        <v>1.5</v>
      </c>
      <c r="F309" s="38">
        <v>1.8</v>
      </c>
      <c r="G309" s="38"/>
      <c r="H309" s="41">
        <f t="shared" si="10"/>
        <v>2.7</v>
      </c>
      <c r="I309" s="38"/>
      <c r="J309" s="60"/>
      <c r="K309" s="56"/>
    </row>
    <row r="310" spans="1:11" ht="20.05" customHeight="1" x14ac:dyDescent="0.2">
      <c r="A310" s="38"/>
      <c r="B310" s="36"/>
      <c r="C310" s="38"/>
      <c r="D310" s="38"/>
      <c r="E310" s="38"/>
      <c r="F310" s="38"/>
      <c r="G310" s="38"/>
      <c r="H310" s="42">
        <f>SUM(H304:H309)</f>
        <v>13.32</v>
      </c>
      <c r="I310" s="38" t="s">
        <v>154</v>
      </c>
      <c r="J310" s="60">
        <f>'C-Datas'!I265</f>
        <v>1740</v>
      </c>
      <c r="K310" s="56">
        <f>ROUND(H310*J310,0)</f>
        <v>23177</v>
      </c>
    </row>
    <row r="311" spans="1:11" ht="59.8" customHeight="1" x14ac:dyDescent="0.2">
      <c r="A311" s="38">
        <v>11</v>
      </c>
      <c r="B311" s="122" t="s">
        <v>186</v>
      </c>
      <c r="C311" s="123"/>
      <c r="D311" s="123"/>
      <c r="E311" s="123"/>
      <c r="F311" s="123"/>
      <c r="G311" s="124"/>
      <c r="H311" s="38"/>
      <c r="I311" s="38"/>
      <c r="J311" s="60"/>
      <c r="K311" s="56"/>
    </row>
    <row r="312" spans="1:11" ht="20.05" customHeight="1" x14ac:dyDescent="0.2">
      <c r="A312" s="38"/>
      <c r="B312" s="36" t="s">
        <v>25</v>
      </c>
      <c r="C312" s="38">
        <v>1</v>
      </c>
      <c r="D312" s="38">
        <v>1</v>
      </c>
      <c r="E312" s="41">
        <v>2.4</v>
      </c>
      <c r="F312" s="41">
        <v>3.7149999999999999</v>
      </c>
      <c r="G312" s="38"/>
      <c r="H312" s="41">
        <f t="shared" ref="H312:H325" si="11">PRODUCT(C312:F312)</f>
        <v>8.9159999999999986</v>
      </c>
      <c r="I312" s="38"/>
      <c r="J312" s="60"/>
      <c r="K312" s="56"/>
    </row>
    <row r="313" spans="1:11" ht="20.05" customHeight="1" x14ac:dyDescent="0.2">
      <c r="A313" s="38"/>
      <c r="B313" s="36" t="s">
        <v>112</v>
      </c>
      <c r="C313" s="38">
        <v>1</v>
      </c>
      <c r="D313" s="38">
        <v>1</v>
      </c>
      <c r="E313" s="41">
        <v>2.4</v>
      </c>
      <c r="F313" s="41">
        <v>2.4</v>
      </c>
      <c r="G313" s="38"/>
      <c r="H313" s="41">
        <f t="shared" si="11"/>
        <v>5.76</v>
      </c>
      <c r="I313" s="38"/>
      <c r="J313" s="60"/>
      <c r="K313" s="56"/>
    </row>
    <row r="314" spans="1:11" ht="20.05" customHeight="1" x14ac:dyDescent="0.2">
      <c r="A314" s="38"/>
      <c r="B314" s="36" t="s">
        <v>117</v>
      </c>
      <c r="C314" s="38">
        <v>1</v>
      </c>
      <c r="D314" s="38">
        <v>1</v>
      </c>
      <c r="E314" s="41">
        <v>3.1349999999999998</v>
      </c>
      <c r="F314" s="41">
        <v>3.7149999999999999</v>
      </c>
      <c r="G314" s="38"/>
      <c r="H314" s="41">
        <f t="shared" si="11"/>
        <v>11.646524999999999</v>
      </c>
      <c r="I314" s="38"/>
      <c r="J314" s="60"/>
      <c r="K314" s="56"/>
    </row>
    <row r="315" spans="1:11" ht="20.05" customHeight="1" x14ac:dyDescent="0.2">
      <c r="A315" s="38"/>
      <c r="B315" s="36" t="s">
        <v>111</v>
      </c>
      <c r="C315" s="38">
        <v>1</v>
      </c>
      <c r="D315" s="38">
        <v>1</v>
      </c>
      <c r="E315" s="41">
        <v>3.1349999999999998</v>
      </c>
      <c r="F315" s="41">
        <v>3.52</v>
      </c>
      <c r="G315" s="38"/>
      <c r="H315" s="41">
        <f t="shared" si="11"/>
        <v>11.0352</v>
      </c>
      <c r="I315" s="38"/>
      <c r="J315" s="60"/>
      <c r="K315" s="56"/>
    </row>
    <row r="316" spans="1:11" ht="20.05" customHeight="1" x14ac:dyDescent="0.2">
      <c r="A316" s="38"/>
      <c r="B316" s="36" t="s">
        <v>22</v>
      </c>
      <c r="C316" s="38">
        <v>1</v>
      </c>
      <c r="D316" s="38">
        <v>1</v>
      </c>
      <c r="E316" s="41">
        <v>3.1349999999999998</v>
      </c>
      <c r="F316" s="41">
        <v>3.67</v>
      </c>
      <c r="G316" s="38"/>
      <c r="H316" s="41">
        <f t="shared" si="11"/>
        <v>11.50545</v>
      </c>
      <c r="I316" s="38"/>
      <c r="J316" s="60"/>
      <c r="K316" s="56"/>
    </row>
    <row r="317" spans="1:11" ht="20.05" customHeight="1" x14ac:dyDescent="0.2">
      <c r="A317" s="38"/>
      <c r="B317" s="36" t="s">
        <v>26</v>
      </c>
      <c r="C317" s="38">
        <v>1</v>
      </c>
      <c r="D317" s="38">
        <v>1</v>
      </c>
      <c r="E317" s="41">
        <v>3.1349999999999998</v>
      </c>
      <c r="F317" s="41">
        <v>2.4</v>
      </c>
      <c r="G317" s="38"/>
      <c r="H317" s="41">
        <f t="shared" si="11"/>
        <v>7.5239999999999991</v>
      </c>
      <c r="I317" s="38"/>
      <c r="J317" s="60"/>
      <c r="K317" s="56"/>
    </row>
    <row r="318" spans="1:11" ht="20.05" customHeight="1" x14ac:dyDescent="0.2">
      <c r="A318" s="38"/>
      <c r="B318" s="36" t="s">
        <v>23</v>
      </c>
      <c r="C318" s="38">
        <v>1</v>
      </c>
      <c r="D318" s="38">
        <v>1</v>
      </c>
      <c r="E318" s="41">
        <v>3.6</v>
      </c>
      <c r="F318" s="41">
        <v>3.7149999999999999</v>
      </c>
      <c r="G318" s="38"/>
      <c r="H318" s="41">
        <f t="shared" si="11"/>
        <v>13.374000000000001</v>
      </c>
      <c r="I318" s="38"/>
      <c r="J318" s="60"/>
      <c r="K318" s="56"/>
    </row>
    <row r="319" spans="1:11" ht="20.05" customHeight="1" x14ac:dyDescent="0.2">
      <c r="A319" s="38"/>
      <c r="B319" s="36" t="s">
        <v>24</v>
      </c>
      <c r="C319" s="38">
        <v>1</v>
      </c>
      <c r="D319" s="38">
        <v>1</v>
      </c>
      <c r="E319" s="41">
        <v>3.6</v>
      </c>
      <c r="F319" s="41">
        <v>3.7149999999999999</v>
      </c>
      <c r="G319" s="38"/>
      <c r="H319" s="41">
        <f t="shared" si="11"/>
        <v>13.374000000000001</v>
      </c>
      <c r="I319" s="38"/>
      <c r="J319" s="60"/>
      <c r="K319" s="56"/>
    </row>
    <row r="320" spans="1:11" ht="20.05" customHeight="1" x14ac:dyDescent="0.2">
      <c r="A320" s="38"/>
      <c r="B320" s="36" t="s">
        <v>45</v>
      </c>
      <c r="C320" s="38">
        <v>1</v>
      </c>
      <c r="D320" s="38">
        <v>1</v>
      </c>
      <c r="E320" s="41">
        <v>3.6</v>
      </c>
      <c r="F320" s="41">
        <v>2.5</v>
      </c>
      <c r="G320" s="38"/>
      <c r="H320" s="41">
        <f t="shared" si="11"/>
        <v>9</v>
      </c>
      <c r="I320" s="38"/>
      <c r="J320" s="60"/>
      <c r="K320" s="56"/>
    </row>
    <row r="321" spans="1:11" ht="20.05" customHeight="1" x14ac:dyDescent="0.2">
      <c r="A321" s="38"/>
      <c r="B321" s="36" t="s">
        <v>27</v>
      </c>
      <c r="C321" s="38">
        <v>1</v>
      </c>
      <c r="D321" s="38">
        <v>1</v>
      </c>
      <c r="E321" s="41">
        <v>3.6</v>
      </c>
      <c r="F321" s="41">
        <v>3.7149999999999999</v>
      </c>
      <c r="G321" s="38"/>
      <c r="H321" s="41">
        <f t="shared" si="11"/>
        <v>13.374000000000001</v>
      </c>
      <c r="I321" s="38"/>
      <c r="J321" s="60"/>
      <c r="K321" s="56"/>
    </row>
    <row r="322" spans="1:11" ht="20.05" customHeight="1" x14ac:dyDescent="0.2">
      <c r="A322" s="38"/>
      <c r="B322" s="36" t="s">
        <v>28</v>
      </c>
      <c r="C322" s="38">
        <v>1</v>
      </c>
      <c r="D322" s="38">
        <v>1</v>
      </c>
      <c r="E322" s="41">
        <v>3.63</v>
      </c>
      <c r="F322" s="41">
        <v>3.7149999999999999</v>
      </c>
      <c r="G322" s="38"/>
      <c r="H322" s="41">
        <f t="shared" si="11"/>
        <v>13.485449999999998</v>
      </c>
      <c r="I322" s="38"/>
      <c r="J322" s="60"/>
      <c r="K322" s="56"/>
    </row>
    <row r="323" spans="1:11" ht="20.05" customHeight="1" x14ac:dyDescent="0.2">
      <c r="A323" s="38"/>
      <c r="B323" s="36" t="s">
        <v>38</v>
      </c>
      <c r="C323" s="38">
        <v>1</v>
      </c>
      <c r="D323" s="38">
        <v>1</v>
      </c>
      <c r="E323" s="41">
        <v>9.1999999999999993</v>
      </c>
      <c r="F323" s="41">
        <v>2.4</v>
      </c>
      <c r="G323" s="38"/>
      <c r="H323" s="41">
        <f t="shared" si="11"/>
        <v>22.08</v>
      </c>
      <c r="I323" s="38"/>
      <c r="J323" s="60"/>
      <c r="K323" s="56"/>
    </row>
    <row r="324" spans="1:11" ht="20.05" customHeight="1" x14ac:dyDescent="0.2">
      <c r="A324" s="38"/>
      <c r="B324" s="36" t="s">
        <v>40</v>
      </c>
      <c r="C324" s="38">
        <v>1</v>
      </c>
      <c r="D324" s="38">
        <v>1</v>
      </c>
      <c r="E324" s="41">
        <v>2.4</v>
      </c>
      <c r="F324" s="41">
        <v>15.05</v>
      </c>
      <c r="G324" s="38"/>
      <c r="H324" s="41">
        <f t="shared" si="11"/>
        <v>36.119999999999997</v>
      </c>
      <c r="I324" s="38"/>
      <c r="J324" s="60"/>
      <c r="K324" s="56"/>
    </row>
    <row r="325" spans="1:11" ht="20.05" customHeight="1" x14ac:dyDescent="0.2">
      <c r="A325" s="38"/>
      <c r="B325" s="36" t="s">
        <v>41</v>
      </c>
      <c r="C325" s="38">
        <v>1</v>
      </c>
      <c r="D325" s="38">
        <v>1</v>
      </c>
      <c r="E325" s="41">
        <v>24.5</v>
      </c>
      <c r="F325" s="41">
        <v>2.4</v>
      </c>
      <c r="G325" s="38"/>
      <c r="H325" s="41">
        <f t="shared" si="11"/>
        <v>58.8</v>
      </c>
      <c r="I325" s="38"/>
      <c r="J325" s="60"/>
      <c r="K325" s="56"/>
    </row>
    <row r="326" spans="1:11" ht="20.05" customHeight="1" x14ac:dyDescent="0.2">
      <c r="A326" s="38"/>
      <c r="B326" s="36"/>
      <c r="C326" s="38"/>
      <c r="D326" s="38"/>
      <c r="E326" s="38"/>
      <c r="F326" s="38"/>
      <c r="G326" s="38"/>
      <c r="H326" s="42">
        <f>SUM(H312:H325)</f>
        <v>235.99462499999998</v>
      </c>
      <c r="I326" s="38" t="s">
        <v>154</v>
      </c>
      <c r="J326" s="60">
        <v>4070</v>
      </c>
      <c r="K326" s="56">
        <f>ROUND(H326*J326,0)</f>
        <v>960498</v>
      </c>
    </row>
    <row r="327" spans="1:11" ht="59.8" customHeight="1" x14ac:dyDescent="0.2">
      <c r="A327" s="38">
        <v>12</v>
      </c>
      <c r="B327" s="122" t="s">
        <v>353</v>
      </c>
      <c r="C327" s="123"/>
      <c r="D327" s="123"/>
      <c r="E327" s="123"/>
      <c r="F327" s="123"/>
      <c r="G327" s="124"/>
      <c r="H327" s="38"/>
      <c r="I327" s="38"/>
      <c r="J327" s="60"/>
      <c r="K327" s="56"/>
    </row>
    <row r="328" spans="1:11" ht="20.05" customHeight="1" x14ac:dyDescent="0.2">
      <c r="A328" s="38"/>
      <c r="B328" s="36" t="s">
        <v>5</v>
      </c>
      <c r="C328" s="38">
        <v>1</v>
      </c>
      <c r="D328" s="38">
        <v>1</v>
      </c>
      <c r="E328" s="41">
        <v>4.13</v>
      </c>
      <c r="F328" s="41">
        <v>7.6050000000000004</v>
      </c>
      <c r="G328" s="38"/>
      <c r="H328" s="41">
        <f t="shared" ref="H328:H373" si="12">PRODUCT(C328:F328)</f>
        <v>31.408650000000002</v>
      </c>
      <c r="I328" s="38"/>
      <c r="J328" s="60"/>
      <c r="K328" s="56"/>
    </row>
    <row r="329" spans="1:11" ht="20.05" customHeight="1" x14ac:dyDescent="0.2">
      <c r="A329" s="38"/>
      <c r="B329" s="36" t="s">
        <v>44</v>
      </c>
      <c r="C329" s="38">
        <v>1</v>
      </c>
      <c r="D329" s="38">
        <v>1</v>
      </c>
      <c r="E329" s="41">
        <v>6.3949999999999996</v>
      </c>
      <c r="F329" s="41">
        <v>6</v>
      </c>
      <c r="G329" s="38"/>
      <c r="H329" s="41">
        <f t="shared" si="12"/>
        <v>38.369999999999997</v>
      </c>
      <c r="I329" s="38"/>
      <c r="J329" s="60"/>
      <c r="K329" s="56"/>
    </row>
    <row r="330" spans="1:11" ht="20.05" customHeight="1" x14ac:dyDescent="0.2">
      <c r="A330" s="38"/>
      <c r="B330" s="36" t="s">
        <v>25</v>
      </c>
      <c r="C330" s="38">
        <v>1</v>
      </c>
      <c r="D330" s="38">
        <v>1</v>
      </c>
      <c r="E330" s="41">
        <v>2.4</v>
      </c>
      <c r="F330" s="41">
        <v>3.7149999999999999</v>
      </c>
      <c r="G330" s="38"/>
      <c r="H330" s="41">
        <f t="shared" si="12"/>
        <v>8.9159999999999986</v>
      </c>
      <c r="I330" s="38"/>
      <c r="J330" s="60"/>
      <c r="K330" s="56"/>
    </row>
    <row r="331" spans="1:11" ht="20.05" customHeight="1" x14ac:dyDescent="0.2">
      <c r="A331" s="38"/>
      <c r="B331" s="36" t="s">
        <v>112</v>
      </c>
      <c r="C331" s="38">
        <v>1</v>
      </c>
      <c r="D331" s="38">
        <v>1</v>
      </c>
      <c r="E331" s="41">
        <v>2.4</v>
      </c>
      <c r="F331" s="41">
        <v>2.4</v>
      </c>
      <c r="G331" s="38"/>
      <c r="H331" s="41">
        <f t="shared" si="12"/>
        <v>5.76</v>
      </c>
      <c r="I331" s="38"/>
      <c r="J331" s="60"/>
      <c r="K331" s="56"/>
    </row>
    <row r="332" spans="1:11" ht="20.05" customHeight="1" x14ac:dyDescent="0.2">
      <c r="A332" s="38"/>
      <c r="B332" s="36" t="s">
        <v>6</v>
      </c>
      <c r="C332" s="38">
        <v>1</v>
      </c>
      <c r="D332" s="38">
        <v>1</v>
      </c>
      <c r="E332" s="41">
        <v>3.085</v>
      </c>
      <c r="F332" s="41">
        <v>7.6050000000000004</v>
      </c>
      <c r="G332" s="38"/>
      <c r="H332" s="41">
        <f t="shared" si="12"/>
        <v>23.461425000000002</v>
      </c>
      <c r="I332" s="38"/>
      <c r="J332" s="60"/>
      <c r="K332" s="56"/>
    </row>
    <row r="333" spans="1:11" ht="20.05" customHeight="1" x14ac:dyDescent="0.2">
      <c r="A333" s="38"/>
      <c r="B333" s="36" t="s">
        <v>7</v>
      </c>
      <c r="C333" s="38">
        <v>1</v>
      </c>
      <c r="D333" s="38">
        <v>1</v>
      </c>
      <c r="E333" s="41">
        <v>8.6449999999999996</v>
      </c>
      <c r="F333" s="41">
        <v>7.6050000000000004</v>
      </c>
      <c r="G333" s="38"/>
      <c r="H333" s="41">
        <f t="shared" si="12"/>
        <v>65.745225000000005</v>
      </c>
      <c r="I333" s="38"/>
      <c r="J333" s="60"/>
      <c r="K333" s="56"/>
    </row>
    <row r="334" spans="1:11" ht="20.05" customHeight="1" x14ac:dyDescent="0.2">
      <c r="A334" s="38"/>
      <c r="B334" s="36" t="s">
        <v>118</v>
      </c>
      <c r="C334" s="38">
        <v>1</v>
      </c>
      <c r="D334" s="38">
        <v>1</v>
      </c>
      <c r="E334" s="41">
        <v>1.5</v>
      </c>
      <c r="F334" s="41">
        <v>1.8</v>
      </c>
      <c r="G334" s="38"/>
      <c r="H334" s="41">
        <f t="shared" si="12"/>
        <v>2.7</v>
      </c>
      <c r="I334" s="38"/>
      <c r="J334" s="60"/>
      <c r="K334" s="56"/>
    </row>
    <row r="335" spans="1:11" ht="20.05" customHeight="1" x14ac:dyDescent="0.2">
      <c r="A335" s="38"/>
      <c r="B335" s="36" t="s">
        <v>8</v>
      </c>
      <c r="C335" s="38">
        <v>1</v>
      </c>
      <c r="D335" s="38">
        <v>1</v>
      </c>
      <c r="E335" s="41">
        <v>2.875</v>
      </c>
      <c r="F335" s="41">
        <v>5.52</v>
      </c>
      <c r="G335" s="38"/>
      <c r="H335" s="41">
        <f t="shared" si="12"/>
        <v>15.87</v>
      </c>
      <c r="I335" s="38"/>
      <c r="J335" s="60"/>
      <c r="K335" s="56"/>
    </row>
    <row r="336" spans="1:11" ht="20.05" customHeight="1" x14ac:dyDescent="0.2">
      <c r="A336" s="38"/>
      <c r="B336" s="36" t="s">
        <v>12</v>
      </c>
      <c r="C336" s="38">
        <v>1</v>
      </c>
      <c r="D336" s="38">
        <v>1</v>
      </c>
      <c r="E336" s="41">
        <v>1.2</v>
      </c>
      <c r="F336" s="41">
        <v>1.5</v>
      </c>
      <c r="G336" s="38"/>
      <c r="H336" s="41">
        <f t="shared" si="12"/>
        <v>1.7999999999999998</v>
      </c>
      <c r="I336" s="38"/>
      <c r="J336" s="60"/>
      <c r="K336" s="56"/>
    </row>
    <row r="337" spans="1:11" ht="20.05" customHeight="1" x14ac:dyDescent="0.2">
      <c r="A337" s="38"/>
      <c r="B337" s="36" t="s">
        <v>9</v>
      </c>
      <c r="C337" s="38">
        <v>1</v>
      </c>
      <c r="D337" s="38">
        <v>1</v>
      </c>
      <c r="E337" s="41">
        <v>2.875</v>
      </c>
      <c r="F337" s="41">
        <v>5.52</v>
      </c>
      <c r="G337" s="38"/>
      <c r="H337" s="41">
        <f t="shared" si="12"/>
        <v>15.87</v>
      </c>
      <c r="I337" s="38"/>
      <c r="J337" s="60"/>
      <c r="K337" s="56"/>
    </row>
    <row r="338" spans="1:11" ht="20.05" customHeight="1" x14ac:dyDescent="0.2">
      <c r="A338" s="38"/>
      <c r="B338" s="36" t="s">
        <v>13</v>
      </c>
      <c r="C338" s="38">
        <v>1</v>
      </c>
      <c r="D338" s="38">
        <v>1</v>
      </c>
      <c r="E338" s="41">
        <v>1.2</v>
      </c>
      <c r="F338" s="41">
        <v>1.5</v>
      </c>
      <c r="G338" s="38"/>
      <c r="H338" s="41">
        <f t="shared" si="12"/>
        <v>1.7999999999999998</v>
      </c>
      <c r="I338" s="38"/>
      <c r="J338" s="60"/>
      <c r="K338" s="56"/>
    </row>
    <row r="339" spans="1:11" ht="20.05" customHeight="1" x14ac:dyDescent="0.2">
      <c r="A339" s="38"/>
      <c r="B339" s="36" t="s">
        <v>10</v>
      </c>
      <c r="C339" s="38">
        <v>1</v>
      </c>
      <c r="D339" s="38">
        <v>1</v>
      </c>
      <c r="E339" s="41">
        <v>5.8650000000000002</v>
      </c>
      <c r="F339" s="41">
        <v>4.5999999999999996</v>
      </c>
      <c r="G339" s="38"/>
      <c r="H339" s="41">
        <f t="shared" si="12"/>
        <v>26.978999999999999</v>
      </c>
      <c r="I339" s="38"/>
      <c r="J339" s="60"/>
      <c r="K339" s="56"/>
    </row>
    <row r="340" spans="1:11" ht="20.05" customHeight="1" x14ac:dyDescent="0.2">
      <c r="A340" s="38"/>
      <c r="B340" s="36" t="s">
        <v>11</v>
      </c>
      <c r="C340" s="38">
        <v>1</v>
      </c>
      <c r="D340" s="38">
        <v>1</v>
      </c>
      <c r="E340" s="41">
        <v>7.1349999999999998</v>
      </c>
      <c r="F340" s="41">
        <v>3.83</v>
      </c>
      <c r="G340" s="38"/>
      <c r="H340" s="41">
        <f t="shared" si="12"/>
        <v>27.32705</v>
      </c>
      <c r="I340" s="38"/>
      <c r="J340" s="60"/>
      <c r="K340" s="56"/>
    </row>
    <row r="341" spans="1:11" ht="20.05" customHeight="1" x14ac:dyDescent="0.2">
      <c r="A341" s="38"/>
      <c r="B341" s="36" t="s">
        <v>51</v>
      </c>
      <c r="C341" s="38">
        <v>1</v>
      </c>
      <c r="D341" s="38">
        <v>1</v>
      </c>
      <c r="E341" s="41">
        <v>11.702999999999999</v>
      </c>
      <c r="F341" s="41">
        <v>1.8</v>
      </c>
      <c r="G341" s="38"/>
      <c r="H341" s="41">
        <f t="shared" si="12"/>
        <v>21.0654</v>
      </c>
      <c r="I341" s="38"/>
      <c r="J341" s="60"/>
      <c r="K341" s="56"/>
    </row>
    <row r="342" spans="1:11" ht="20.05" customHeight="1" x14ac:dyDescent="0.2">
      <c r="A342" s="38"/>
      <c r="B342" s="36" t="s">
        <v>14</v>
      </c>
      <c r="C342" s="38">
        <v>1</v>
      </c>
      <c r="D342" s="38">
        <v>1</v>
      </c>
      <c r="E342" s="41">
        <v>1.2</v>
      </c>
      <c r="F342" s="41">
        <v>1.8</v>
      </c>
      <c r="G342" s="38"/>
      <c r="H342" s="41">
        <f t="shared" si="12"/>
        <v>2.16</v>
      </c>
      <c r="I342" s="38"/>
      <c r="J342" s="60"/>
      <c r="K342" s="56"/>
    </row>
    <row r="343" spans="1:11" ht="20.05" customHeight="1" x14ac:dyDescent="0.2">
      <c r="A343" s="38"/>
      <c r="B343" s="36" t="s">
        <v>15</v>
      </c>
      <c r="C343" s="38">
        <v>1</v>
      </c>
      <c r="D343" s="38">
        <v>1</v>
      </c>
      <c r="E343" s="41">
        <v>1.2</v>
      </c>
      <c r="F343" s="41">
        <v>1.8</v>
      </c>
      <c r="G343" s="38"/>
      <c r="H343" s="41">
        <f t="shared" si="12"/>
        <v>2.16</v>
      </c>
      <c r="I343" s="38"/>
      <c r="J343" s="60"/>
      <c r="K343" s="56"/>
    </row>
    <row r="344" spans="1:11" ht="20.05" customHeight="1" x14ac:dyDescent="0.2">
      <c r="A344" s="38"/>
      <c r="B344" s="36" t="s">
        <v>16</v>
      </c>
      <c r="C344" s="38">
        <v>1</v>
      </c>
      <c r="D344" s="38">
        <v>1</v>
      </c>
      <c r="E344" s="41">
        <v>2.08</v>
      </c>
      <c r="F344" s="41">
        <v>1.8</v>
      </c>
      <c r="G344" s="38"/>
      <c r="H344" s="41">
        <f t="shared" si="12"/>
        <v>3.7440000000000002</v>
      </c>
      <c r="I344" s="38"/>
      <c r="J344" s="60"/>
      <c r="K344" s="56"/>
    </row>
    <row r="345" spans="1:11" ht="20.05" customHeight="1" x14ac:dyDescent="0.2">
      <c r="A345" s="38"/>
      <c r="B345" s="36" t="s">
        <v>17</v>
      </c>
      <c r="C345" s="38">
        <v>1</v>
      </c>
      <c r="D345" s="38">
        <v>1</v>
      </c>
      <c r="E345" s="41">
        <v>1.9650000000000001</v>
      </c>
      <c r="F345" s="41">
        <v>1.8</v>
      </c>
      <c r="G345" s="38"/>
      <c r="H345" s="41">
        <f t="shared" si="12"/>
        <v>3.5370000000000004</v>
      </c>
      <c r="I345" s="38"/>
      <c r="J345" s="60"/>
      <c r="K345" s="56"/>
    </row>
    <row r="346" spans="1:11" ht="20.05" customHeight="1" x14ac:dyDescent="0.2">
      <c r="A346" s="38"/>
      <c r="B346" s="36" t="s">
        <v>18</v>
      </c>
      <c r="C346" s="38">
        <v>1</v>
      </c>
      <c r="D346" s="38">
        <v>1</v>
      </c>
      <c r="E346" s="41">
        <v>1.95</v>
      </c>
      <c r="F346" s="41">
        <v>1.8</v>
      </c>
      <c r="G346" s="38"/>
      <c r="H346" s="41">
        <f t="shared" si="12"/>
        <v>3.51</v>
      </c>
      <c r="I346" s="38"/>
      <c r="J346" s="60"/>
      <c r="K346" s="56"/>
    </row>
    <row r="347" spans="1:11" ht="20.05" customHeight="1" x14ac:dyDescent="0.2">
      <c r="A347" s="38"/>
      <c r="B347" s="36" t="s">
        <v>106</v>
      </c>
      <c r="C347" s="38">
        <v>1</v>
      </c>
      <c r="D347" s="38">
        <v>1</v>
      </c>
      <c r="E347" s="41">
        <v>1.95</v>
      </c>
      <c r="F347" s="41">
        <v>1.8</v>
      </c>
      <c r="G347" s="38"/>
      <c r="H347" s="41">
        <f t="shared" si="12"/>
        <v>3.51</v>
      </c>
      <c r="I347" s="38"/>
      <c r="J347" s="60"/>
      <c r="K347" s="56"/>
    </row>
    <row r="348" spans="1:11" ht="20.05" customHeight="1" x14ac:dyDescent="0.2">
      <c r="A348" s="38"/>
      <c r="B348" s="36" t="s">
        <v>19</v>
      </c>
      <c r="C348" s="38">
        <v>1</v>
      </c>
      <c r="D348" s="38">
        <v>1</v>
      </c>
      <c r="E348" s="41">
        <v>6.3</v>
      </c>
      <c r="F348" s="41">
        <v>3.6</v>
      </c>
      <c r="G348" s="38"/>
      <c r="H348" s="41">
        <f t="shared" si="12"/>
        <v>22.68</v>
      </c>
      <c r="I348" s="38"/>
      <c r="J348" s="60"/>
      <c r="K348" s="56"/>
    </row>
    <row r="349" spans="1:11" ht="20.05" customHeight="1" x14ac:dyDescent="0.2">
      <c r="A349" s="38"/>
      <c r="B349" s="36" t="s">
        <v>117</v>
      </c>
      <c r="C349" s="38">
        <v>1</v>
      </c>
      <c r="D349" s="38">
        <v>1</v>
      </c>
      <c r="E349" s="41">
        <v>3.1349999999999998</v>
      </c>
      <c r="F349" s="41">
        <v>3.7149999999999999</v>
      </c>
      <c r="G349" s="38"/>
      <c r="H349" s="41">
        <f t="shared" si="12"/>
        <v>11.646524999999999</v>
      </c>
      <c r="I349" s="38"/>
      <c r="J349" s="60"/>
      <c r="K349" s="56"/>
    </row>
    <row r="350" spans="1:11" ht="20.05" customHeight="1" x14ac:dyDescent="0.2">
      <c r="A350" s="38"/>
      <c r="B350" s="36" t="s">
        <v>111</v>
      </c>
      <c r="C350" s="38">
        <v>1</v>
      </c>
      <c r="D350" s="38">
        <v>1</v>
      </c>
      <c r="E350" s="41">
        <v>3.1349999999999998</v>
      </c>
      <c r="F350" s="41">
        <v>3.52</v>
      </c>
      <c r="G350" s="38"/>
      <c r="H350" s="41">
        <f t="shared" si="12"/>
        <v>11.0352</v>
      </c>
      <c r="I350" s="38"/>
      <c r="J350" s="60"/>
      <c r="K350" s="56"/>
    </row>
    <row r="351" spans="1:11" ht="20.05" customHeight="1" x14ac:dyDescent="0.2">
      <c r="A351" s="38"/>
      <c r="B351" s="36" t="s">
        <v>22</v>
      </c>
      <c r="C351" s="38">
        <v>1</v>
      </c>
      <c r="D351" s="38">
        <v>1</v>
      </c>
      <c r="E351" s="41">
        <v>3.1349999999999998</v>
      </c>
      <c r="F351" s="41">
        <v>3.67</v>
      </c>
      <c r="G351" s="38"/>
      <c r="H351" s="41">
        <f t="shared" si="12"/>
        <v>11.50545</v>
      </c>
      <c r="I351" s="38"/>
      <c r="J351" s="60"/>
      <c r="K351" s="56"/>
    </row>
    <row r="352" spans="1:11" ht="20.05" customHeight="1" x14ac:dyDescent="0.2">
      <c r="A352" s="38"/>
      <c r="B352" s="36" t="s">
        <v>26</v>
      </c>
      <c r="C352" s="38">
        <v>1</v>
      </c>
      <c r="D352" s="38">
        <v>1</v>
      </c>
      <c r="E352" s="41">
        <v>3.1349999999999998</v>
      </c>
      <c r="F352" s="41">
        <v>2.4</v>
      </c>
      <c r="G352" s="38"/>
      <c r="H352" s="41">
        <f t="shared" si="12"/>
        <v>7.5239999999999991</v>
      </c>
      <c r="I352" s="38"/>
      <c r="J352" s="60"/>
      <c r="K352" s="56"/>
    </row>
    <row r="353" spans="1:11" ht="20.05" customHeight="1" x14ac:dyDescent="0.2">
      <c r="A353" s="38"/>
      <c r="B353" s="36" t="s">
        <v>23</v>
      </c>
      <c r="C353" s="38">
        <v>1</v>
      </c>
      <c r="D353" s="38">
        <v>1</v>
      </c>
      <c r="E353" s="41">
        <v>3.6</v>
      </c>
      <c r="F353" s="41">
        <v>3.7149999999999999</v>
      </c>
      <c r="G353" s="38"/>
      <c r="H353" s="41">
        <f t="shared" si="12"/>
        <v>13.374000000000001</v>
      </c>
      <c r="I353" s="38"/>
      <c r="J353" s="60"/>
      <c r="K353" s="56"/>
    </row>
    <row r="354" spans="1:11" ht="20.05" customHeight="1" x14ac:dyDescent="0.2">
      <c r="A354" s="38"/>
      <c r="B354" s="36" t="s">
        <v>24</v>
      </c>
      <c r="C354" s="38">
        <v>1</v>
      </c>
      <c r="D354" s="38">
        <v>1</v>
      </c>
      <c r="E354" s="41">
        <v>3.6</v>
      </c>
      <c r="F354" s="41">
        <v>3.7149999999999999</v>
      </c>
      <c r="G354" s="38"/>
      <c r="H354" s="41">
        <f t="shared" si="12"/>
        <v>13.374000000000001</v>
      </c>
      <c r="I354" s="38"/>
      <c r="J354" s="60"/>
      <c r="K354" s="56"/>
    </row>
    <row r="355" spans="1:11" ht="20.05" customHeight="1" x14ac:dyDescent="0.2">
      <c r="A355" s="38"/>
      <c r="B355" s="36" t="s">
        <v>45</v>
      </c>
      <c r="C355" s="38">
        <v>1</v>
      </c>
      <c r="D355" s="38">
        <v>1</v>
      </c>
      <c r="E355" s="41">
        <v>3.6</v>
      </c>
      <c r="F355" s="41">
        <v>2.5</v>
      </c>
      <c r="G355" s="38"/>
      <c r="H355" s="41">
        <f t="shared" si="12"/>
        <v>9</v>
      </c>
      <c r="I355" s="38"/>
      <c r="J355" s="60"/>
      <c r="K355" s="56"/>
    </row>
    <row r="356" spans="1:11" ht="20.05" customHeight="1" x14ac:dyDescent="0.2">
      <c r="A356" s="38"/>
      <c r="B356" s="36" t="s">
        <v>27</v>
      </c>
      <c r="C356" s="38">
        <v>1</v>
      </c>
      <c r="D356" s="38">
        <v>1</v>
      </c>
      <c r="E356" s="41">
        <v>3.6</v>
      </c>
      <c r="F356" s="41">
        <v>3.7149999999999999</v>
      </c>
      <c r="G356" s="38"/>
      <c r="H356" s="41">
        <f t="shared" si="12"/>
        <v>13.374000000000001</v>
      </c>
      <c r="I356" s="38"/>
      <c r="J356" s="60"/>
      <c r="K356" s="56"/>
    </row>
    <row r="357" spans="1:11" ht="20.05" customHeight="1" x14ac:dyDescent="0.2">
      <c r="A357" s="38"/>
      <c r="B357" s="36" t="s">
        <v>28</v>
      </c>
      <c r="C357" s="38">
        <v>1</v>
      </c>
      <c r="D357" s="38">
        <v>1</v>
      </c>
      <c r="E357" s="41">
        <v>3.63</v>
      </c>
      <c r="F357" s="41">
        <v>3.7149999999999999</v>
      </c>
      <c r="G357" s="38"/>
      <c r="H357" s="41">
        <f t="shared" si="12"/>
        <v>13.485449999999998</v>
      </c>
      <c r="I357" s="38"/>
      <c r="J357" s="60"/>
      <c r="K357" s="56"/>
    </row>
    <row r="358" spans="1:11" ht="20.05" customHeight="1" x14ac:dyDescent="0.2">
      <c r="A358" s="38"/>
      <c r="B358" s="36" t="s">
        <v>29</v>
      </c>
      <c r="C358" s="38">
        <v>1</v>
      </c>
      <c r="D358" s="38">
        <v>1</v>
      </c>
      <c r="E358" s="41">
        <v>5.8650000000000002</v>
      </c>
      <c r="F358" s="41">
        <v>6.23</v>
      </c>
      <c r="G358" s="38"/>
      <c r="H358" s="41">
        <f t="shared" si="12"/>
        <v>36.538950000000007</v>
      </c>
      <c r="I358" s="38"/>
      <c r="J358" s="60"/>
      <c r="K358" s="56"/>
    </row>
    <row r="359" spans="1:11" ht="20.05" customHeight="1" x14ac:dyDescent="0.2">
      <c r="A359" s="38"/>
      <c r="B359" s="36" t="s">
        <v>30</v>
      </c>
      <c r="C359" s="38">
        <v>1</v>
      </c>
      <c r="D359" s="38">
        <v>1</v>
      </c>
      <c r="E359" s="41">
        <v>7.8</v>
      </c>
      <c r="F359" s="41">
        <v>7.085</v>
      </c>
      <c r="G359" s="38"/>
      <c r="H359" s="41">
        <f t="shared" si="12"/>
        <v>55.262999999999998</v>
      </c>
      <c r="I359" s="38"/>
      <c r="J359" s="60"/>
      <c r="K359" s="56"/>
    </row>
    <row r="360" spans="1:11" ht="20.05" customHeight="1" x14ac:dyDescent="0.2">
      <c r="A360" s="38"/>
      <c r="B360" s="36" t="s">
        <v>119</v>
      </c>
      <c r="C360" s="38">
        <v>1</v>
      </c>
      <c r="D360" s="38">
        <v>1</v>
      </c>
      <c r="E360" s="41">
        <v>1.5</v>
      </c>
      <c r="F360" s="41">
        <v>1.8</v>
      </c>
      <c r="G360" s="38"/>
      <c r="H360" s="41">
        <f t="shared" si="12"/>
        <v>2.7</v>
      </c>
      <c r="I360" s="38"/>
      <c r="J360" s="60"/>
      <c r="K360" s="56"/>
    </row>
    <row r="361" spans="1:11" ht="20.05" customHeight="1" x14ac:dyDescent="0.2">
      <c r="A361" s="38"/>
      <c r="B361" s="36" t="s">
        <v>31</v>
      </c>
      <c r="C361" s="38">
        <v>1</v>
      </c>
      <c r="D361" s="38">
        <v>1</v>
      </c>
      <c r="E361" s="41">
        <v>4.95</v>
      </c>
      <c r="F361" s="41">
        <v>7.2</v>
      </c>
      <c r="G361" s="38"/>
      <c r="H361" s="41">
        <f t="shared" si="12"/>
        <v>35.64</v>
      </c>
      <c r="I361" s="38"/>
      <c r="J361" s="60"/>
      <c r="K361" s="56"/>
    </row>
    <row r="362" spans="1:11" ht="20.05" customHeight="1" x14ac:dyDescent="0.2">
      <c r="A362" s="38"/>
      <c r="B362" s="36" t="s">
        <v>34</v>
      </c>
      <c r="C362" s="38">
        <v>1</v>
      </c>
      <c r="D362" s="38">
        <v>1</v>
      </c>
      <c r="E362" s="41">
        <v>3.37</v>
      </c>
      <c r="F362" s="41">
        <v>3.2149999999999999</v>
      </c>
      <c r="G362" s="38"/>
      <c r="H362" s="41">
        <f t="shared" si="12"/>
        <v>10.83455</v>
      </c>
      <c r="I362" s="38"/>
      <c r="J362" s="60"/>
      <c r="K362" s="56"/>
    </row>
    <row r="363" spans="1:11" ht="20.05" customHeight="1" x14ac:dyDescent="0.2">
      <c r="A363" s="38"/>
      <c r="B363" s="36" t="s">
        <v>32</v>
      </c>
      <c r="C363" s="38">
        <v>1</v>
      </c>
      <c r="D363" s="38">
        <v>1</v>
      </c>
      <c r="E363" s="41">
        <v>3.16</v>
      </c>
      <c r="F363" s="41">
        <v>3.2149999999999999</v>
      </c>
      <c r="G363" s="38"/>
      <c r="H363" s="41">
        <f t="shared" si="12"/>
        <v>10.1594</v>
      </c>
      <c r="I363" s="38"/>
      <c r="J363" s="60"/>
      <c r="K363" s="56"/>
    </row>
    <row r="364" spans="1:11" ht="20.05" customHeight="1" x14ac:dyDescent="0.2">
      <c r="A364" s="38"/>
      <c r="B364" s="36" t="s">
        <v>33</v>
      </c>
      <c r="C364" s="38">
        <v>1</v>
      </c>
      <c r="D364" s="38">
        <v>1</v>
      </c>
      <c r="E364" s="41">
        <v>3.0449999999999999</v>
      </c>
      <c r="F364" s="41">
        <v>3.2149999999999999</v>
      </c>
      <c r="G364" s="38"/>
      <c r="H364" s="41">
        <f t="shared" si="12"/>
        <v>9.789674999999999</v>
      </c>
      <c r="I364" s="38"/>
      <c r="J364" s="60"/>
      <c r="K364" s="56"/>
    </row>
    <row r="365" spans="1:11" ht="20.05" customHeight="1" x14ac:dyDescent="0.2">
      <c r="A365" s="38"/>
      <c r="B365" s="36" t="s">
        <v>35</v>
      </c>
      <c r="C365" s="38">
        <v>1</v>
      </c>
      <c r="D365" s="38">
        <v>1</v>
      </c>
      <c r="E365" s="41">
        <v>3</v>
      </c>
      <c r="F365" s="41">
        <v>3.2149999999999999</v>
      </c>
      <c r="G365" s="38"/>
      <c r="H365" s="41">
        <f t="shared" si="12"/>
        <v>9.6449999999999996</v>
      </c>
      <c r="I365" s="38"/>
      <c r="J365" s="60"/>
      <c r="K365" s="56"/>
    </row>
    <row r="366" spans="1:11" ht="20.05" customHeight="1" x14ac:dyDescent="0.2">
      <c r="A366" s="38"/>
      <c r="B366" s="36" t="s">
        <v>36</v>
      </c>
      <c r="C366" s="38">
        <v>1</v>
      </c>
      <c r="D366" s="38">
        <v>1</v>
      </c>
      <c r="E366" s="41">
        <v>15.788</v>
      </c>
      <c r="F366" s="41">
        <v>1.3759999999999999</v>
      </c>
      <c r="G366" s="38"/>
      <c r="H366" s="41">
        <f t="shared" si="12"/>
        <v>21.724287999999998</v>
      </c>
      <c r="I366" s="38"/>
      <c r="J366" s="60"/>
      <c r="K366" s="56"/>
    </row>
    <row r="367" spans="1:11" ht="20.05" customHeight="1" x14ac:dyDescent="0.2">
      <c r="A367" s="38"/>
      <c r="B367" s="36" t="s">
        <v>37</v>
      </c>
      <c r="C367" s="38">
        <v>1</v>
      </c>
      <c r="D367" s="38">
        <v>1</v>
      </c>
      <c r="E367" s="41">
        <v>2.02</v>
      </c>
      <c r="F367" s="41">
        <v>8.2949999999999999</v>
      </c>
      <c r="G367" s="38"/>
      <c r="H367" s="41">
        <f t="shared" si="12"/>
        <v>16.7559</v>
      </c>
      <c r="I367" s="38"/>
      <c r="J367" s="60"/>
      <c r="K367" s="56"/>
    </row>
    <row r="368" spans="1:11" ht="20.05" customHeight="1" x14ac:dyDescent="0.2">
      <c r="A368" s="38"/>
      <c r="B368" s="36" t="s">
        <v>38</v>
      </c>
      <c r="C368" s="38">
        <v>1</v>
      </c>
      <c r="D368" s="38">
        <v>1</v>
      </c>
      <c r="E368" s="41">
        <v>34.356000000000002</v>
      </c>
      <c r="F368" s="41">
        <v>2.4</v>
      </c>
      <c r="G368" s="38"/>
      <c r="H368" s="41">
        <f t="shared" si="12"/>
        <v>82.454400000000007</v>
      </c>
      <c r="I368" s="38"/>
      <c r="J368" s="60"/>
      <c r="K368" s="56"/>
    </row>
    <row r="369" spans="1:11" ht="20.05" customHeight="1" x14ac:dyDescent="0.2">
      <c r="A369" s="38"/>
      <c r="B369" s="36" t="s">
        <v>39</v>
      </c>
      <c r="C369" s="38">
        <v>1</v>
      </c>
      <c r="D369" s="38">
        <v>1</v>
      </c>
      <c r="E369" s="41">
        <v>3</v>
      </c>
      <c r="F369" s="41">
        <v>15.05</v>
      </c>
      <c r="G369" s="38"/>
      <c r="H369" s="41">
        <f t="shared" si="12"/>
        <v>45.150000000000006</v>
      </c>
      <c r="I369" s="38"/>
      <c r="J369" s="60"/>
      <c r="K369" s="56"/>
    </row>
    <row r="370" spans="1:11" ht="20.05" customHeight="1" x14ac:dyDescent="0.2">
      <c r="A370" s="38"/>
      <c r="B370" s="36" t="s">
        <v>40</v>
      </c>
      <c r="C370" s="38">
        <v>1</v>
      </c>
      <c r="D370" s="38">
        <v>1</v>
      </c>
      <c r="E370" s="41">
        <v>2.4</v>
      </c>
      <c r="F370" s="41">
        <v>15.05</v>
      </c>
      <c r="G370" s="38"/>
      <c r="H370" s="41">
        <f t="shared" si="12"/>
        <v>36.119999999999997</v>
      </c>
      <c r="I370" s="38"/>
      <c r="J370" s="60"/>
      <c r="K370" s="56"/>
    </row>
    <row r="371" spans="1:11" ht="20.05" customHeight="1" x14ac:dyDescent="0.2">
      <c r="A371" s="38"/>
      <c r="B371" s="36" t="s">
        <v>41</v>
      </c>
      <c r="C371" s="38">
        <v>1</v>
      </c>
      <c r="D371" s="38">
        <v>1</v>
      </c>
      <c r="E371" s="41">
        <v>34.356000000000002</v>
      </c>
      <c r="F371" s="41">
        <v>2.4</v>
      </c>
      <c r="G371" s="38"/>
      <c r="H371" s="41">
        <f t="shared" si="12"/>
        <v>82.454400000000007</v>
      </c>
      <c r="I371" s="38"/>
      <c r="J371" s="60"/>
      <c r="K371" s="56"/>
    </row>
    <row r="372" spans="1:11" ht="20.05" customHeight="1" x14ac:dyDescent="0.2">
      <c r="A372" s="38"/>
      <c r="B372" s="36" t="s">
        <v>42</v>
      </c>
      <c r="C372" s="38">
        <v>1</v>
      </c>
      <c r="D372" s="38">
        <v>1</v>
      </c>
      <c r="E372" s="41">
        <v>1.615</v>
      </c>
      <c r="F372" s="41">
        <v>7.5449999999999999</v>
      </c>
      <c r="G372" s="38"/>
      <c r="H372" s="41">
        <f t="shared" si="12"/>
        <v>12.185174999999999</v>
      </c>
      <c r="I372" s="38"/>
      <c r="J372" s="60"/>
      <c r="K372" s="56"/>
    </row>
    <row r="373" spans="1:11" ht="20.05" customHeight="1" x14ac:dyDescent="0.2">
      <c r="A373" s="38"/>
      <c r="B373" s="36" t="s">
        <v>43</v>
      </c>
      <c r="C373" s="38">
        <v>1</v>
      </c>
      <c r="D373" s="38">
        <v>1</v>
      </c>
      <c r="E373" s="41">
        <v>35.65</v>
      </c>
      <c r="F373" s="41">
        <v>2.02</v>
      </c>
      <c r="G373" s="38"/>
      <c r="H373" s="41">
        <f t="shared" si="12"/>
        <v>72.012999999999991</v>
      </c>
      <c r="I373" s="38"/>
      <c r="J373" s="60"/>
      <c r="K373" s="56"/>
    </row>
    <row r="374" spans="1:11" ht="20.05" customHeight="1" x14ac:dyDescent="0.2">
      <c r="A374" s="38"/>
      <c r="B374" s="36"/>
      <c r="C374" s="38"/>
      <c r="D374" s="38"/>
      <c r="E374" s="38"/>
      <c r="F374" s="38"/>
      <c r="G374" s="38"/>
      <c r="H374" s="42">
        <f>SUM(H328:H373)</f>
        <v>972.12011300000006</v>
      </c>
      <c r="I374" s="38" t="s">
        <v>154</v>
      </c>
      <c r="J374" s="60">
        <f>'C-Datas'!I294</f>
        <v>1347</v>
      </c>
      <c r="K374" s="56">
        <f>ROUND(H374*J374,0)</f>
        <v>1309446</v>
      </c>
    </row>
    <row r="375" spans="1:11" ht="20.05" customHeight="1" x14ac:dyDescent="0.2">
      <c r="A375" s="38">
        <v>13</v>
      </c>
      <c r="B375" s="122" t="s">
        <v>377</v>
      </c>
      <c r="C375" s="123"/>
      <c r="D375" s="123"/>
      <c r="E375" s="123"/>
      <c r="F375" s="123"/>
      <c r="G375" s="124"/>
      <c r="H375" s="38"/>
      <c r="I375" s="38"/>
      <c r="J375" s="60"/>
      <c r="K375" s="56"/>
    </row>
    <row r="376" spans="1:11" ht="20.05" customHeight="1" x14ac:dyDescent="0.2">
      <c r="A376" s="38"/>
      <c r="B376" s="36" t="s">
        <v>46</v>
      </c>
      <c r="C376" s="38">
        <v>1</v>
      </c>
      <c r="D376" s="38">
        <v>1</v>
      </c>
      <c r="E376" s="41">
        <v>6.3</v>
      </c>
      <c r="F376" s="41">
        <v>6</v>
      </c>
      <c r="G376" s="38"/>
      <c r="H376" s="41">
        <f>PRODUCT(C376:F376)</f>
        <v>37.799999999999997</v>
      </c>
      <c r="I376" s="38"/>
      <c r="J376" s="60"/>
      <c r="K376" s="56"/>
    </row>
    <row r="377" spans="1:11" ht="20.05" customHeight="1" x14ac:dyDescent="0.2">
      <c r="A377" s="38"/>
      <c r="B377" s="36" t="s">
        <v>47</v>
      </c>
      <c r="C377" s="38">
        <v>1</v>
      </c>
      <c r="D377" s="38">
        <v>1</v>
      </c>
      <c r="E377" s="41">
        <v>6</v>
      </c>
      <c r="F377" s="41">
        <v>7.085</v>
      </c>
      <c r="G377" s="38"/>
      <c r="H377" s="41">
        <f>PRODUCT(C377:F377)</f>
        <v>42.51</v>
      </c>
      <c r="I377" s="38"/>
      <c r="J377" s="60"/>
      <c r="K377" s="56"/>
    </row>
    <row r="378" spans="1:11" ht="20.05" customHeight="1" x14ac:dyDescent="0.2">
      <c r="A378" s="38"/>
      <c r="B378" s="36" t="s">
        <v>48</v>
      </c>
      <c r="C378" s="38">
        <v>1</v>
      </c>
      <c r="D378" s="38">
        <v>1</v>
      </c>
      <c r="E378" s="41">
        <v>6</v>
      </c>
      <c r="F378" s="41">
        <v>7.085</v>
      </c>
      <c r="G378" s="38"/>
      <c r="H378" s="41">
        <f>PRODUCT(C378:F378)</f>
        <v>42.51</v>
      </c>
      <c r="I378" s="38"/>
      <c r="J378" s="60"/>
      <c r="K378" s="56"/>
    </row>
    <row r="379" spans="1:11" ht="20.05" customHeight="1" x14ac:dyDescent="0.2">
      <c r="A379" s="38"/>
      <c r="B379" s="36" t="s">
        <v>49</v>
      </c>
      <c r="C379" s="38">
        <v>1</v>
      </c>
      <c r="D379" s="38">
        <v>1</v>
      </c>
      <c r="E379" s="41">
        <v>6</v>
      </c>
      <c r="F379" s="41">
        <v>7.085</v>
      </c>
      <c r="G379" s="38"/>
      <c r="H379" s="41">
        <f>PRODUCT(C379:F379)</f>
        <v>42.51</v>
      </c>
      <c r="I379" s="38"/>
      <c r="J379" s="60"/>
      <c r="K379" s="56"/>
    </row>
    <row r="380" spans="1:11" ht="20.05" customHeight="1" x14ac:dyDescent="0.2">
      <c r="A380" s="38"/>
      <c r="B380" s="36" t="s">
        <v>50</v>
      </c>
      <c r="C380" s="38">
        <v>1</v>
      </c>
      <c r="D380" s="38">
        <v>1</v>
      </c>
      <c r="E380" s="41">
        <v>6</v>
      </c>
      <c r="F380" s="41">
        <v>7.085</v>
      </c>
      <c r="G380" s="38"/>
      <c r="H380" s="41">
        <f>PRODUCT(C380:F380)</f>
        <v>42.51</v>
      </c>
      <c r="I380" s="38"/>
      <c r="J380" s="60"/>
      <c r="K380" s="56"/>
    </row>
    <row r="381" spans="1:11" ht="20.05" customHeight="1" x14ac:dyDescent="0.2">
      <c r="A381" s="38"/>
      <c r="B381" s="36"/>
      <c r="C381" s="38"/>
      <c r="D381" s="38"/>
      <c r="E381" s="38"/>
      <c r="F381" s="38"/>
      <c r="G381" s="38"/>
      <c r="H381" s="42">
        <f>SUM(H376:H380)</f>
        <v>207.83999999999997</v>
      </c>
      <c r="I381" s="38" t="s">
        <v>154</v>
      </c>
      <c r="J381" s="60">
        <v>3420</v>
      </c>
      <c r="K381" s="56">
        <f>ROUND(H381*J381,0)</f>
        <v>710813</v>
      </c>
    </row>
    <row r="382" spans="1:11" ht="60.45" customHeight="1" x14ac:dyDescent="0.2">
      <c r="A382" s="38">
        <v>14</v>
      </c>
      <c r="B382" s="122" t="s">
        <v>378</v>
      </c>
      <c r="C382" s="123"/>
      <c r="D382" s="123"/>
      <c r="E382" s="123"/>
      <c r="F382" s="123"/>
      <c r="G382" s="124"/>
      <c r="H382" s="38"/>
      <c r="I382" s="38"/>
      <c r="J382" s="60"/>
      <c r="K382" s="56"/>
    </row>
    <row r="383" spans="1:11" ht="20.05" customHeight="1" x14ac:dyDescent="0.2">
      <c r="A383" s="38"/>
      <c r="B383" s="36" t="s">
        <v>5</v>
      </c>
      <c r="C383" s="38">
        <v>1</v>
      </c>
      <c r="D383" s="38">
        <v>2</v>
      </c>
      <c r="E383" s="38">
        <v>4.13</v>
      </c>
      <c r="F383" s="38">
        <v>3.5</v>
      </c>
      <c r="G383" s="38"/>
      <c r="H383" s="41">
        <f t="shared" ref="H383:H470" si="13">PRODUCT(C383:F383)</f>
        <v>28.91</v>
      </c>
      <c r="I383" s="38"/>
      <c r="J383" s="60"/>
      <c r="K383" s="56"/>
    </row>
    <row r="384" spans="1:11" ht="20.05" customHeight="1" x14ac:dyDescent="0.2">
      <c r="A384" s="38"/>
      <c r="B384" s="36"/>
      <c r="C384" s="38">
        <v>1</v>
      </c>
      <c r="D384" s="38">
        <v>2</v>
      </c>
      <c r="E384" s="38">
        <v>7.6050000000000004</v>
      </c>
      <c r="F384" s="38">
        <v>3.5</v>
      </c>
      <c r="G384" s="38"/>
      <c r="H384" s="41">
        <f t="shared" si="13"/>
        <v>53.234999999999999</v>
      </c>
      <c r="I384" s="38"/>
      <c r="J384" s="60"/>
      <c r="K384" s="56"/>
    </row>
    <row r="385" spans="1:11" ht="20.05" customHeight="1" x14ac:dyDescent="0.2">
      <c r="A385" s="38"/>
      <c r="B385" s="36" t="s">
        <v>183</v>
      </c>
      <c r="C385" s="38">
        <v>-1</v>
      </c>
      <c r="D385" s="38">
        <v>1</v>
      </c>
      <c r="E385" s="38">
        <v>1</v>
      </c>
      <c r="F385" s="38">
        <v>2.6</v>
      </c>
      <c r="G385" s="38"/>
      <c r="H385" s="41">
        <f t="shared" si="13"/>
        <v>-2.6</v>
      </c>
      <c r="I385" s="38"/>
      <c r="J385" s="60"/>
      <c r="K385" s="56"/>
    </row>
    <row r="386" spans="1:11" ht="20.05" customHeight="1" x14ac:dyDescent="0.2">
      <c r="A386" s="38"/>
      <c r="B386" s="36" t="s">
        <v>188</v>
      </c>
      <c r="C386" s="38">
        <v>-1</v>
      </c>
      <c r="D386" s="38">
        <v>2</v>
      </c>
      <c r="E386" s="38">
        <v>1.8</v>
      </c>
      <c r="F386" s="38">
        <v>1.8</v>
      </c>
      <c r="G386" s="38"/>
      <c r="H386" s="41">
        <f t="shared" si="13"/>
        <v>-6.48</v>
      </c>
      <c r="I386" s="38"/>
      <c r="J386" s="60"/>
      <c r="K386" s="56"/>
    </row>
    <row r="387" spans="1:11" ht="20.05" customHeight="1" x14ac:dyDescent="0.2">
      <c r="A387" s="38"/>
      <c r="B387" s="36" t="s">
        <v>188</v>
      </c>
      <c r="C387" s="38">
        <v>-1</v>
      </c>
      <c r="D387" s="38">
        <v>2</v>
      </c>
      <c r="E387" s="38">
        <v>1.5</v>
      </c>
      <c r="F387" s="38">
        <v>1.8</v>
      </c>
      <c r="G387" s="38"/>
      <c r="H387" s="41">
        <f t="shared" si="13"/>
        <v>-5.4</v>
      </c>
      <c r="I387" s="38"/>
      <c r="J387" s="60"/>
      <c r="K387" s="56"/>
    </row>
    <row r="388" spans="1:11" ht="20.05" customHeight="1" x14ac:dyDescent="0.2">
      <c r="A388" s="38"/>
      <c r="B388" s="36" t="s">
        <v>44</v>
      </c>
      <c r="C388" s="38">
        <v>1</v>
      </c>
      <c r="D388" s="38">
        <v>2</v>
      </c>
      <c r="E388" s="38">
        <v>6.3949999999999996</v>
      </c>
      <c r="F388" s="38">
        <v>3.5</v>
      </c>
      <c r="G388" s="38"/>
      <c r="H388" s="41">
        <f t="shared" si="13"/>
        <v>44.765000000000001</v>
      </c>
      <c r="I388" s="38"/>
      <c r="J388" s="60"/>
      <c r="K388" s="56"/>
    </row>
    <row r="389" spans="1:11" ht="20.05" customHeight="1" x14ac:dyDescent="0.2">
      <c r="A389" s="38"/>
      <c r="B389" s="36"/>
      <c r="C389" s="38">
        <v>1</v>
      </c>
      <c r="D389" s="38">
        <v>2</v>
      </c>
      <c r="E389" s="38">
        <v>6</v>
      </c>
      <c r="F389" s="38">
        <v>3.5</v>
      </c>
      <c r="G389" s="38"/>
      <c r="H389" s="41">
        <f t="shared" si="13"/>
        <v>42</v>
      </c>
      <c r="I389" s="38"/>
      <c r="J389" s="60"/>
      <c r="K389" s="56"/>
    </row>
    <row r="390" spans="1:11" ht="20.05" customHeight="1" x14ac:dyDescent="0.2">
      <c r="A390" s="38"/>
      <c r="B390" s="36" t="s">
        <v>183</v>
      </c>
      <c r="C390" s="38">
        <v>-1</v>
      </c>
      <c r="D390" s="38">
        <v>1</v>
      </c>
      <c r="E390" s="38">
        <v>1.2</v>
      </c>
      <c r="F390" s="38">
        <v>2.6</v>
      </c>
      <c r="G390" s="38"/>
      <c r="H390" s="41">
        <f t="shared" si="13"/>
        <v>-3.12</v>
      </c>
      <c r="I390" s="38"/>
      <c r="J390" s="60"/>
      <c r="K390" s="56"/>
    </row>
    <row r="391" spans="1:11" ht="20.05" customHeight="1" x14ac:dyDescent="0.2">
      <c r="A391" s="38"/>
      <c r="B391" s="36" t="s">
        <v>25</v>
      </c>
      <c r="C391" s="38">
        <v>1</v>
      </c>
      <c r="D391" s="38">
        <v>2</v>
      </c>
      <c r="E391" s="38">
        <v>2.4</v>
      </c>
      <c r="F391" s="38">
        <v>3.5</v>
      </c>
      <c r="G391" s="38"/>
      <c r="H391" s="41">
        <f t="shared" si="13"/>
        <v>16.8</v>
      </c>
      <c r="I391" s="38"/>
      <c r="J391" s="60"/>
      <c r="K391" s="56"/>
    </row>
    <row r="392" spans="1:11" ht="20.05" customHeight="1" x14ac:dyDescent="0.2">
      <c r="A392" s="38"/>
      <c r="B392" s="36"/>
      <c r="C392" s="38">
        <v>1</v>
      </c>
      <c r="D392" s="38">
        <v>2</v>
      </c>
      <c r="E392" s="38">
        <v>3.7149999999999999</v>
      </c>
      <c r="F392" s="38">
        <v>3.5</v>
      </c>
      <c r="G392" s="38"/>
      <c r="H392" s="41">
        <f t="shared" si="13"/>
        <v>26.004999999999999</v>
      </c>
      <c r="I392" s="38"/>
      <c r="J392" s="60"/>
      <c r="K392" s="56"/>
    </row>
    <row r="393" spans="1:11" ht="20.05" customHeight="1" x14ac:dyDescent="0.2">
      <c r="A393" s="38"/>
      <c r="B393" s="36" t="s">
        <v>183</v>
      </c>
      <c r="C393" s="38">
        <v>-1</v>
      </c>
      <c r="D393" s="38">
        <v>1</v>
      </c>
      <c r="E393" s="38">
        <v>1</v>
      </c>
      <c r="F393" s="38">
        <v>1.1000000000000001</v>
      </c>
      <c r="G393" s="38"/>
      <c r="H393" s="41">
        <f t="shared" si="13"/>
        <v>-1.1000000000000001</v>
      </c>
      <c r="I393" s="38"/>
      <c r="J393" s="60"/>
      <c r="K393" s="56"/>
    </row>
    <row r="394" spans="1:11" ht="20.05" customHeight="1" x14ac:dyDescent="0.2">
      <c r="A394" s="38"/>
      <c r="B394" s="36" t="s">
        <v>190</v>
      </c>
      <c r="C394" s="38">
        <v>-1</v>
      </c>
      <c r="D394" s="38">
        <v>2</v>
      </c>
      <c r="E394" s="38">
        <v>2.4</v>
      </c>
      <c r="F394" s="38">
        <v>1.5</v>
      </c>
      <c r="G394" s="38"/>
      <c r="H394" s="41">
        <f t="shared" si="13"/>
        <v>-7.1999999999999993</v>
      </c>
      <c r="I394" s="38"/>
      <c r="J394" s="60"/>
      <c r="K394" s="56"/>
    </row>
    <row r="395" spans="1:11" ht="20.05" customHeight="1" x14ac:dyDescent="0.2">
      <c r="A395" s="38"/>
      <c r="B395" s="36" t="s">
        <v>190</v>
      </c>
      <c r="C395" s="38">
        <v>-1</v>
      </c>
      <c r="D395" s="38">
        <v>2</v>
      </c>
      <c r="E395" s="38">
        <v>3.7149999999999999</v>
      </c>
      <c r="F395" s="38">
        <v>1.5</v>
      </c>
      <c r="G395" s="38"/>
      <c r="H395" s="41">
        <f t="shared" si="13"/>
        <v>-11.145</v>
      </c>
      <c r="I395" s="38"/>
      <c r="J395" s="60"/>
      <c r="K395" s="56"/>
    </row>
    <row r="396" spans="1:11" ht="20.05" customHeight="1" x14ac:dyDescent="0.2">
      <c r="A396" s="38"/>
      <c r="B396" s="36" t="s">
        <v>112</v>
      </c>
      <c r="C396" s="38">
        <v>1</v>
      </c>
      <c r="D396" s="38">
        <v>2</v>
      </c>
      <c r="E396" s="38">
        <v>2.4</v>
      </c>
      <c r="F396" s="38">
        <v>3.5</v>
      </c>
      <c r="G396" s="38"/>
      <c r="H396" s="41">
        <f t="shared" si="13"/>
        <v>16.8</v>
      </c>
      <c r="I396" s="38"/>
      <c r="J396" s="60"/>
      <c r="K396" s="56"/>
    </row>
    <row r="397" spans="1:11" ht="20.05" customHeight="1" x14ac:dyDescent="0.2">
      <c r="A397" s="38"/>
      <c r="B397" s="36"/>
      <c r="C397" s="38">
        <v>1</v>
      </c>
      <c r="D397" s="38">
        <v>2</v>
      </c>
      <c r="E397" s="38">
        <v>2.4</v>
      </c>
      <c r="F397" s="38">
        <v>3.5</v>
      </c>
      <c r="G397" s="38"/>
      <c r="H397" s="41">
        <f t="shared" si="13"/>
        <v>16.8</v>
      </c>
      <c r="I397" s="38"/>
      <c r="J397" s="60"/>
      <c r="K397" s="56"/>
    </row>
    <row r="398" spans="1:11" ht="20.05" customHeight="1" x14ac:dyDescent="0.2">
      <c r="A398" s="38"/>
      <c r="B398" s="36" t="s">
        <v>190</v>
      </c>
      <c r="C398" s="38">
        <v>-1</v>
      </c>
      <c r="D398" s="38">
        <v>2</v>
      </c>
      <c r="E398" s="38">
        <v>2.4</v>
      </c>
      <c r="F398" s="38">
        <v>1.5</v>
      </c>
      <c r="G398" s="38"/>
      <c r="H398" s="41">
        <f t="shared" si="13"/>
        <v>-7.1999999999999993</v>
      </c>
      <c r="I398" s="38"/>
      <c r="J398" s="60"/>
      <c r="K398" s="56"/>
    </row>
    <row r="399" spans="1:11" ht="20.05" customHeight="1" x14ac:dyDescent="0.2">
      <c r="A399" s="38"/>
      <c r="B399" s="36" t="s">
        <v>6</v>
      </c>
      <c r="C399" s="38">
        <v>1</v>
      </c>
      <c r="D399" s="38">
        <v>2</v>
      </c>
      <c r="E399" s="38">
        <v>3.085</v>
      </c>
      <c r="F399" s="38">
        <v>3.5</v>
      </c>
      <c r="G399" s="38"/>
      <c r="H399" s="41">
        <f t="shared" si="13"/>
        <v>21.594999999999999</v>
      </c>
      <c r="I399" s="38"/>
      <c r="J399" s="60"/>
      <c r="K399" s="56"/>
    </row>
    <row r="400" spans="1:11" ht="20.05" customHeight="1" x14ac:dyDescent="0.2">
      <c r="A400" s="38"/>
      <c r="B400" s="36"/>
      <c r="C400" s="38">
        <v>1</v>
      </c>
      <c r="D400" s="38">
        <v>2</v>
      </c>
      <c r="E400" s="38">
        <v>7.6050000000000004</v>
      </c>
      <c r="F400" s="38">
        <v>3.5</v>
      </c>
      <c r="G400" s="38"/>
      <c r="H400" s="41">
        <f t="shared" si="13"/>
        <v>53.234999999999999</v>
      </c>
      <c r="I400" s="38"/>
      <c r="J400" s="60"/>
      <c r="K400" s="56"/>
    </row>
    <row r="401" spans="1:11" ht="20.05" customHeight="1" x14ac:dyDescent="0.2">
      <c r="A401" s="38"/>
      <c r="B401" s="36" t="s">
        <v>183</v>
      </c>
      <c r="C401" s="38">
        <v>-1</v>
      </c>
      <c r="D401" s="38">
        <v>1</v>
      </c>
      <c r="E401" s="38">
        <v>1.2</v>
      </c>
      <c r="F401" s="38">
        <v>1.1000000000000001</v>
      </c>
      <c r="G401" s="38"/>
      <c r="H401" s="41">
        <f t="shared" si="13"/>
        <v>-1.32</v>
      </c>
      <c r="I401" s="38"/>
      <c r="J401" s="60"/>
      <c r="K401" s="56"/>
    </row>
    <row r="402" spans="1:11" ht="20.05" customHeight="1" x14ac:dyDescent="0.2">
      <c r="A402" s="38"/>
      <c r="B402" s="36" t="s">
        <v>188</v>
      </c>
      <c r="C402" s="38">
        <v>-1</v>
      </c>
      <c r="D402" s="38">
        <v>1</v>
      </c>
      <c r="E402" s="38">
        <v>1.8</v>
      </c>
      <c r="F402" s="38">
        <v>1.2</v>
      </c>
      <c r="G402" s="38"/>
      <c r="H402" s="41">
        <f t="shared" si="13"/>
        <v>-2.16</v>
      </c>
      <c r="I402" s="38"/>
      <c r="J402" s="60"/>
      <c r="K402" s="56"/>
    </row>
    <row r="403" spans="1:11" ht="20.05" customHeight="1" x14ac:dyDescent="0.2">
      <c r="A403" s="38"/>
      <c r="B403" s="36" t="s">
        <v>190</v>
      </c>
      <c r="C403" s="38">
        <v>-1</v>
      </c>
      <c r="D403" s="38">
        <v>2</v>
      </c>
      <c r="E403" s="38">
        <v>3.09</v>
      </c>
      <c r="F403" s="38">
        <v>1.5</v>
      </c>
      <c r="G403" s="38"/>
      <c r="H403" s="41">
        <f t="shared" si="13"/>
        <v>-9.27</v>
      </c>
      <c r="I403" s="38"/>
      <c r="J403" s="60"/>
      <c r="K403" s="56"/>
    </row>
    <row r="404" spans="1:11" ht="20.05" customHeight="1" x14ac:dyDescent="0.2">
      <c r="A404" s="38"/>
      <c r="B404" s="36" t="s">
        <v>190</v>
      </c>
      <c r="C404" s="38">
        <v>-1</v>
      </c>
      <c r="D404" s="38">
        <v>2</v>
      </c>
      <c r="E404" s="38">
        <v>7.6050000000000004</v>
      </c>
      <c r="F404" s="38">
        <v>1.5</v>
      </c>
      <c r="G404" s="38"/>
      <c r="H404" s="41">
        <f t="shared" si="13"/>
        <v>-22.815000000000001</v>
      </c>
      <c r="I404" s="38"/>
      <c r="J404" s="60"/>
      <c r="K404" s="56"/>
    </row>
    <row r="405" spans="1:11" ht="20.05" customHeight="1" x14ac:dyDescent="0.2">
      <c r="A405" s="38"/>
      <c r="B405" s="36" t="s">
        <v>7</v>
      </c>
      <c r="C405" s="38">
        <v>1</v>
      </c>
      <c r="D405" s="38">
        <v>2</v>
      </c>
      <c r="E405" s="38">
        <v>8.6449999999999996</v>
      </c>
      <c r="F405" s="38">
        <v>3.5</v>
      </c>
      <c r="G405" s="38"/>
      <c r="H405" s="41">
        <f t="shared" si="13"/>
        <v>60.515000000000001</v>
      </c>
      <c r="I405" s="38"/>
      <c r="J405" s="60"/>
      <c r="K405" s="56"/>
    </row>
    <row r="406" spans="1:11" ht="20.05" customHeight="1" x14ac:dyDescent="0.2">
      <c r="A406" s="38"/>
      <c r="B406" s="36"/>
      <c r="C406" s="38">
        <v>1</v>
      </c>
      <c r="D406" s="38">
        <v>2</v>
      </c>
      <c r="E406" s="38">
        <v>7.6050000000000004</v>
      </c>
      <c r="F406" s="38">
        <v>3.5</v>
      </c>
      <c r="G406" s="38"/>
      <c r="H406" s="41">
        <f t="shared" si="13"/>
        <v>53.234999999999999</v>
      </c>
      <c r="I406" s="38"/>
      <c r="J406" s="60"/>
      <c r="K406" s="56"/>
    </row>
    <row r="407" spans="1:11" ht="20.05" customHeight="1" x14ac:dyDescent="0.2">
      <c r="A407" s="38"/>
      <c r="B407" s="36" t="s">
        <v>183</v>
      </c>
      <c r="C407" s="38">
        <v>-1</v>
      </c>
      <c r="D407" s="38">
        <v>1</v>
      </c>
      <c r="E407" s="38">
        <v>1.8</v>
      </c>
      <c r="F407" s="38">
        <v>1.1000000000000001</v>
      </c>
      <c r="G407" s="38"/>
      <c r="H407" s="41">
        <f t="shared" si="13"/>
        <v>-1.9800000000000002</v>
      </c>
      <c r="I407" s="38"/>
      <c r="J407" s="60"/>
      <c r="K407" s="56"/>
    </row>
    <row r="408" spans="1:11" ht="20.05" customHeight="1" x14ac:dyDescent="0.2">
      <c r="A408" s="38"/>
      <c r="B408" s="36" t="s">
        <v>188</v>
      </c>
      <c r="C408" s="38">
        <v>-1</v>
      </c>
      <c r="D408" s="38">
        <v>1</v>
      </c>
      <c r="E408" s="38">
        <v>1.8</v>
      </c>
      <c r="F408" s="38">
        <v>1.2</v>
      </c>
      <c r="G408" s="38"/>
      <c r="H408" s="41">
        <f t="shared" si="13"/>
        <v>-2.16</v>
      </c>
      <c r="I408" s="38"/>
      <c r="J408" s="60"/>
      <c r="K408" s="56"/>
    </row>
    <row r="409" spans="1:11" ht="20.05" customHeight="1" x14ac:dyDescent="0.2">
      <c r="A409" s="38"/>
      <c r="B409" s="36" t="s">
        <v>188</v>
      </c>
      <c r="C409" s="38">
        <v>-1</v>
      </c>
      <c r="D409" s="38">
        <v>4</v>
      </c>
      <c r="E409" s="38">
        <v>1.5</v>
      </c>
      <c r="F409" s="38">
        <v>1.2</v>
      </c>
      <c r="G409" s="38"/>
      <c r="H409" s="41">
        <f t="shared" si="13"/>
        <v>-7.1999999999999993</v>
      </c>
      <c r="I409" s="38"/>
      <c r="J409" s="60"/>
      <c r="K409" s="56"/>
    </row>
    <row r="410" spans="1:11" ht="20.05" customHeight="1" x14ac:dyDescent="0.2">
      <c r="A410" s="38"/>
      <c r="B410" s="36" t="s">
        <v>190</v>
      </c>
      <c r="C410" s="38">
        <v>-1</v>
      </c>
      <c r="D410" s="38">
        <v>2</v>
      </c>
      <c r="E410" s="38">
        <v>8.65</v>
      </c>
      <c r="F410" s="38">
        <v>1.5</v>
      </c>
      <c r="G410" s="38"/>
      <c r="H410" s="41">
        <f t="shared" si="13"/>
        <v>-25.950000000000003</v>
      </c>
      <c r="I410" s="38"/>
      <c r="J410" s="60"/>
      <c r="K410" s="56"/>
    </row>
    <row r="411" spans="1:11" ht="20.05" customHeight="1" x14ac:dyDescent="0.2">
      <c r="A411" s="38"/>
      <c r="B411" s="36" t="s">
        <v>190</v>
      </c>
      <c r="C411" s="38">
        <v>-1</v>
      </c>
      <c r="D411" s="38">
        <v>2</v>
      </c>
      <c r="E411" s="38">
        <v>7.6050000000000004</v>
      </c>
      <c r="F411" s="38">
        <v>1.5</v>
      </c>
      <c r="G411" s="38"/>
      <c r="H411" s="41">
        <f t="shared" si="13"/>
        <v>-22.815000000000001</v>
      </c>
      <c r="I411" s="38"/>
      <c r="J411" s="60"/>
      <c r="K411" s="56"/>
    </row>
    <row r="412" spans="1:11" ht="20.05" customHeight="1" x14ac:dyDescent="0.2">
      <c r="A412" s="38"/>
      <c r="B412" s="36" t="s">
        <v>118</v>
      </c>
      <c r="C412" s="38">
        <v>1</v>
      </c>
      <c r="D412" s="38">
        <v>2</v>
      </c>
      <c r="E412" s="38">
        <v>1.5</v>
      </c>
      <c r="F412" s="38">
        <v>3.5</v>
      </c>
      <c r="G412" s="38"/>
      <c r="H412" s="41">
        <f t="shared" si="13"/>
        <v>10.5</v>
      </c>
      <c r="I412" s="38"/>
      <c r="J412" s="60"/>
      <c r="K412" s="56"/>
    </row>
    <row r="413" spans="1:11" ht="20.05" customHeight="1" x14ac:dyDescent="0.2">
      <c r="A413" s="38"/>
      <c r="B413" s="36"/>
      <c r="C413" s="38">
        <v>1</v>
      </c>
      <c r="D413" s="38">
        <v>2</v>
      </c>
      <c r="E413" s="38">
        <v>1.8</v>
      </c>
      <c r="F413" s="38">
        <v>3.5</v>
      </c>
      <c r="G413" s="38"/>
      <c r="H413" s="41">
        <f t="shared" si="13"/>
        <v>12.6</v>
      </c>
      <c r="I413" s="38"/>
      <c r="J413" s="60"/>
      <c r="K413" s="56"/>
    </row>
    <row r="414" spans="1:11" ht="20.05" customHeight="1" x14ac:dyDescent="0.2">
      <c r="A414" s="38"/>
      <c r="B414" s="36" t="s">
        <v>189</v>
      </c>
      <c r="C414" s="38">
        <v>-1</v>
      </c>
      <c r="D414" s="38">
        <v>1</v>
      </c>
      <c r="E414" s="38">
        <v>0.6</v>
      </c>
      <c r="F414" s="38">
        <v>0.6</v>
      </c>
      <c r="G414" s="38"/>
      <c r="H414" s="41">
        <f t="shared" si="13"/>
        <v>-0.36</v>
      </c>
      <c r="I414" s="38"/>
      <c r="J414" s="60"/>
      <c r="K414" s="56"/>
    </row>
    <row r="415" spans="1:11" ht="20.05" customHeight="1" x14ac:dyDescent="0.2">
      <c r="A415" s="38"/>
      <c r="B415" s="36" t="s">
        <v>190</v>
      </c>
      <c r="C415" s="38">
        <v>-1</v>
      </c>
      <c r="D415" s="38">
        <v>2</v>
      </c>
      <c r="E415" s="38">
        <v>1.5</v>
      </c>
      <c r="F415" s="38">
        <v>2.1</v>
      </c>
      <c r="G415" s="38"/>
      <c r="H415" s="41">
        <f t="shared" si="13"/>
        <v>-6.3000000000000007</v>
      </c>
      <c r="I415" s="38"/>
      <c r="J415" s="60"/>
      <c r="K415" s="56"/>
    </row>
    <row r="416" spans="1:11" ht="20.05" customHeight="1" x14ac:dyDescent="0.2">
      <c r="A416" s="38"/>
      <c r="B416" s="36" t="s">
        <v>190</v>
      </c>
      <c r="C416" s="38">
        <v>-1</v>
      </c>
      <c r="D416" s="38">
        <v>2</v>
      </c>
      <c r="E416" s="38">
        <v>1.8</v>
      </c>
      <c r="F416" s="38">
        <v>2.1</v>
      </c>
      <c r="G416" s="38"/>
      <c r="H416" s="41">
        <f t="shared" si="13"/>
        <v>-7.5600000000000005</v>
      </c>
      <c r="I416" s="38"/>
      <c r="J416" s="60"/>
      <c r="K416" s="56"/>
    </row>
    <row r="417" spans="1:11" ht="20.05" customHeight="1" x14ac:dyDescent="0.2">
      <c r="A417" s="38"/>
      <c r="B417" s="36" t="s">
        <v>8</v>
      </c>
      <c r="C417" s="38">
        <v>1</v>
      </c>
      <c r="D417" s="38">
        <v>2</v>
      </c>
      <c r="E417" s="38">
        <v>2.875</v>
      </c>
      <c r="F417" s="38">
        <v>3.5</v>
      </c>
      <c r="G417" s="38"/>
      <c r="H417" s="41">
        <f t="shared" si="13"/>
        <v>20.125</v>
      </c>
      <c r="I417" s="38"/>
      <c r="J417" s="60"/>
      <c r="K417" s="56"/>
    </row>
    <row r="418" spans="1:11" ht="20.05" customHeight="1" x14ac:dyDescent="0.2">
      <c r="A418" s="38"/>
      <c r="B418" s="36"/>
      <c r="C418" s="38">
        <v>1</v>
      </c>
      <c r="D418" s="38">
        <v>2</v>
      </c>
      <c r="E418" s="38">
        <v>5.52</v>
      </c>
      <c r="F418" s="38">
        <v>3.5</v>
      </c>
      <c r="G418" s="38"/>
      <c r="H418" s="41">
        <f t="shared" si="13"/>
        <v>38.64</v>
      </c>
      <c r="I418" s="38"/>
      <c r="J418" s="60"/>
      <c r="K418" s="56"/>
    </row>
    <row r="419" spans="1:11" ht="20.05" customHeight="1" x14ac:dyDescent="0.2">
      <c r="A419" s="38"/>
      <c r="B419" s="36" t="s">
        <v>183</v>
      </c>
      <c r="C419" s="38">
        <v>-1</v>
      </c>
      <c r="D419" s="38">
        <v>1</v>
      </c>
      <c r="E419" s="38">
        <v>1</v>
      </c>
      <c r="F419" s="38">
        <v>2.6</v>
      </c>
      <c r="G419" s="38"/>
      <c r="H419" s="41">
        <f t="shared" si="13"/>
        <v>-2.6</v>
      </c>
      <c r="I419" s="38"/>
      <c r="J419" s="60"/>
      <c r="K419" s="56"/>
    </row>
    <row r="420" spans="1:11" ht="20.05" customHeight="1" x14ac:dyDescent="0.2">
      <c r="A420" s="38"/>
      <c r="B420" s="36" t="s">
        <v>188</v>
      </c>
      <c r="C420" s="38">
        <v>-1</v>
      </c>
      <c r="D420" s="38">
        <v>1</v>
      </c>
      <c r="E420" s="38">
        <v>1.2</v>
      </c>
      <c r="F420" s="38">
        <v>2.6</v>
      </c>
      <c r="G420" s="38"/>
      <c r="H420" s="41">
        <f t="shared" si="13"/>
        <v>-3.12</v>
      </c>
      <c r="I420" s="38"/>
      <c r="J420" s="60"/>
      <c r="K420" s="56"/>
    </row>
    <row r="421" spans="1:11" ht="20.05" customHeight="1" x14ac:dyDescent="0.2">
      <c r="A421" s="38"/>
      <c r="B421" s="36" t="s">
        <v>12</v>
      </c>
      <c r="C421" s="38">
        <v>1</v>
      </c>
      <c r="D421" s="38">
        <v>2</v>
      </c>
      <c r="E421" s="38">
        <v>1.2</v>
      </c>
      <c r="F421" s="38">
        <v>3.5</v>
      </c>
      <c r="G421" s="38"/>
      <c r="H421" s="41">
        <f t="shared" si="13"/>
        <v>8.4</v>
      </c>
      <c r="I421" s="38"/>
      <c r="J421" s="60"/>
      <c r="K421" s="56"/>
    </row>
    <row r="422" spans="1:11" ht="20.05" customHeight="1" x14ac:dyDescent="0.2">
      <c r="A422" s="38"/>
      <c r="B422" s="36"/>
      <c r="C422" s="38">
        <v>1</v>
      </c>
      <c r="D422" s="38">
        <v>2</v>
      </c>
      <c r="E422" s="38">
        <v>1.5</v>
      </c>
      <c r="F422" s="38">
        <v>3.5</v>
      </c>
      <c r="G422" s="38"/>
      <c r="H422" s="41">
        <f t="shared" si="13"/>
        <v>10.5</v>
      </c>
      <c r="I422" s="38"/>
      <c r="J422" s="60"/>
      <c r="K422" s="56"/>
    </row>
    <row r="423" spans="1:11" ht="20.05" customHeight="1" x14ac:dyDescent="0.2">
      <c r="A423" s="38"/>
      <c r="B423" s="36" t="s">
        <v>189</v>
      </c>
      <c r="C423" s="38">
        <v>-1</v>
      </c>
      <c r="D423" s="38">
        <v>1</v>
      </c>
      <c r="E423" s="38">
        <v>0.6</v>
      </c>
      <c r="F423" s="38">
        <v>0.6</v>
      </c>
      <c r="G423" s="38"/>
      <c r="H423" s="41">
        <f t="shared" si="13"/>
        <v>-0.36</v>
      </c>
      <c r="I423" s="38"/>
      <c r="J423" s="60"/>
      <c r="K423" s="56"/>
    </row>
    <row r="424" spans="1:11" ht="20.05" customHeight="1" x14ac:dyDescent="0.2">
      <c r="A424" s="38"/>
      <c r="B424" s="36" t="s">
        <v>190</v>
      </c>
      <c r="C424" s="38">
        <v>-1</v>
      </c>
      <c r="D424" s="38">
        <v>2</v>
      </c>
      <c r="E424" s="38">
        <v>1.2</v>
      </c>
      <c r="F424" s="38">
        <v>2.1</v>
      </c>
      <c r="G424" s="38"/>
      <c r="H424" s="41">
        <f t="shared" si="13"/>
        <v>-5.04</v>
      </c>
      <c r="I424" s="38"/>
      <c r="J424" s="60"/>
      <c r="K424" s="56"/>
    </row>
    <row r="425" spans="1:11" ht="20.05" customHeight="1" x14ac:dyDescent="0.2">
      <c r="A425" s="38"/>
      <c r="B425" s="36" t="s">
        <v>190</v>
      </c>
      <c r="C425" s="38">
        <v>-1</v>
      </c>
      <c r="D425" s="38">
        <v>2</v>
      </c>
      <c r="E425" s="38">
        <v>1.5</v>
      </c>
      <c r="F425" s="38">
        <v>2.1</v>
      </c>
      <c r="G425" s="38"/>
      <c r="H425" s="41">
        <f t="shared" si="13"/>
        <v>-6.3000000000000007</v>
      </c>
      <c r="I425" s="38"/>
      <c r="J425" s="60"/>
      <c r="K425" s="56"/>
    </row>
    <row r="426" spans="1:11" ht="20.05" customHeight="1" x14ac:dyDescent="0.2">
      <c r="A426" s="38"/>
      <c r="B426" s="36" t="s">
        <v>9</v>
      </c>
      <c r="C426" s="38">
        <v>1</v>
      </c>
      <c r="D426" s="38">
        <v>2</v>
      </c>
      <c r="E426" s="38">
        <v>2.875</v>
      </c>
      <c r="F426" s="38">
        <v>3.5</v>
      </c>
      <c r="G426" s="38"/>
      <c r="H426" s="41">
        <f t="shared" si="13"/>
        <v>20.125</v>
      </c>
      <c r="I426" s="38"/>
      <c r="J426" s="60"/>
      <c r="K426" s="56"/>
    </row>
    <row r="427" spans="1:11" ht="20.05" customHeight="1" x14ac:dyDescent="0.2">
      <c r="A427" s="38"/>
      <c r="B427" s="36"/>
      <c r="C427" s="38">
        <v>1</v>
      </c>
      <c r="D427" s="38">
        <v>2</v>
      </c>
      <c r="E427" s="38">
        <v>5.52</v>
      </c>
      <c r="F427" s="38">
        <v>3.5</v>
      </c>
      <c r="G427" s="38"/>
      <c r="H427" s="41">
        <f t="shared" si="13"/>
        <v>38.64</v>
      </c>
      <c r="I427" s="38"/>
      <c r="J427" s="60"/>
      <c r="K427" s="56"/>
    </row>
    <row r="428" spans="1:11" ht="20.05" customHeight="1" x14ac:dyDescent="0.2">
      <c r="A428" s="38"/>
      <c r="B428" s="36" t="s">
        <v>183</v>
      </c>
      <c r="C428" s="38">
        <v>-1</v>
      </c>
      <c r="D428" s="38">
        <v>1</v>
      </c>
      <c r="E428" s="38">
        <v>1</v>
      </c>
      <c r="F428" s="38">
        <v>2.6</v>
      </c>
      <c r="G428" s="38"/>
      <c r="H428" s="41">
        <f t="shared" si="13"/>
        <v>-2.6</v>
      </c>
      <c r="I428" s="38"/>
      <c r="J428" s="60"/>
      <c r="K428" s="56"/>
    </row>
    <row r="429" spans="1:11" ht="20.05" customHeight="1" x14ac:dyDescent="0.2">
      <c r="A429" s="38"/>
      <c r="B429" s="36" t="s">
        <v>188</v>
      </c>
      <c r="C429" s="38">
        <v>-1</v>
      </c>
      <c r="D429" s="38">
        <v>1</v>
      </c>
      <c r="E429" s="38">
        <v>1.2</v>
      </c>
      <c r="F429" s="38">
        <v>2.6</v>
      </c>
      <c r="G429" s="38"/>
      <c r="H429" s="41">
        <f t="shared" si="13"/>
        <v>-3.12</v>
      </c>
      <c r="I429" s="38"/>
      <c r="J429" s="60"/>
      <c r="K429" s="56"/>
    </row>
    <row r="430" spans="1:11" ht="20.05" customHeight="1" x14ac:dyDescent="0.2">
      <c r="A430" s="38"/>
      <c r="B430" s="36" t="s">
        <v>13</v>
      </c>
      <c r="C430" s="38">
        <v>1</v>
      </c>
      <c r="D430" s="38">
        <v>2</v>
      </c>
      <c r="E430" s="38">
        <v>1.2</v>
      </c>
      <c r="F430" s="38">
        <v>3.5</v>
      </c>
      <c r="G430" s="38"/>
      <c r="H430" s="41">
        <f t="shared" si="13"/>
        <v>8.4</v>
      </c>
      <c r="I430" s="38"/>
      <c r="J430" s="60"/>
      <c r="K430" s="56"/>
    </row>
    <row r="431" spans="1:11" ht="20.05" customHeight="1" x14ac:dyDescent="0.2">
      <c r="A431" s="38"/>
      <c r="B431" s="36"/>
      <c r="C431" s="38">
        <v>1</v>
      </c>
      <c r="D431" s="38">
        <v>2</v>
      </c>
      <c r="E431" s="38">
        <v>1.5</v>
      </c>
      <c r="F431" s="38">
        <v>3.5</v>
      </c>
      <c r="G431" s="38"/>
      <c r="H431" s="41">
        <f t="shared" si="13"/>
        <v>10.5</v>
      </c>
      <c r="I431" s="38"/>
      <c r="J431" s="60"/>
      <c r="K431" s="56"/>
    </row>
    <row r="432" spans="1:11" ht="20.05" customHeight="1" x14ac:dyDescent="0.2">
      <c r="A432" s="38"/>
      <c r="B432" s="36" t="s">
        <v>189</v>
      </c>
      <c r="C432" s="38">
        <v>-1</v>
      </c>
      <c r="D432" s="38">
        <v>1</v>
      </c>
      <c r="E432" s="38">
        <v>0.6</v>
      </c>
      <c r="F432" s="38">
        <v>0.6</v>
      </c>
      <c r="G432" s="38"/>
      <c r="H432" s="41">
        <f t="shared" si="13"/>
        <v>-0.36</v>
      </c>
      <c r="I432" s="38"/>
      <c r="J432" s="60"/>
      <c r="K432" s="56"/>
    </row>
    <row r="433" spans="1:11" ht="20.05" customHeight="1" x14ac:dyDescent="0.2">
      <c r="A433" s="38"/>
      <c r="B433" s="36" t="s">
        <v>190</v>
      </c>
      <c r="C433" s="38">
        <v>-1</v>
      </c>
      <c r="D433" s="38">
        <v>2</v>
      </c>
      <c r="E433" s="38">
        <v>1.2</v>
      </c>
      <c r="F433" s="38">
        <v>2.1</v>
      </c>
      <c r="G433" s="38"/>
      <c r="H433" s="41">
        <f t="shared" si="13"/>
        <v>-5.04</v>
      </c>
      <c r="I433" s="38"/>
      <c r="J433" s="60"/>
      <c r="K433" s="56"/>
    </row>
    <row r="434" spans="1:11" ht="20.05" customHeight="1" x14ac:dyDescent="0.2">
      <c r="A434" s="38"/>
      <c r="B434" s="36" t="s">
        <v>190</v>
      </c>
      <c r="C434" s="38">
        <v>-1</v>
      </c>
      <c r="D434" s="38">
        <v>2</v>
      </c>
      <c r="E434" s="38">
        <v>1.5</v>
      </c>
      <c r="F434" s="38">
        <v>2.1</v>
      </c>
      <c r="G434" s="38"/>
      <c r="H434" s="41">
        <f t="shared" si="13"/>
        <v>-6.3000000000000007</v>
      </c>
      <c r="I434" s="38"/>
      <c r="J434" s="60"/>
      <c r="K434" s="56"/>
    </row>
    <row r="435" spans="1:11" ht="20.05" customHeight="1" x14ac:dyDescent="0.2">
      <c r="A435" s="38"/>
      <c r="B435" s="36" t="s">
        <v>10</v>
      </c>
      <c r="C435" s="38">
        <v>1</v>
      </c>
      <c r="D435" s="38">
        <v>2</v>
      </c>
      <c r="E435" s="38">
        <v>5.8650000000000002</v>
      </c>
      <c r="F435" s="38">
        <v>3.5</v>
      </c>
      <c r="G435" s="38"/>
      <c r="H435" s="41">
        <f t="shared" si="13"/>
        <v>41.055</v>
      </c>
      <c r="I435" s="38"/>
      <c r="J435" s="60"/>
      <c r="K435" s="56"/>
    </row>
    <row r="436" spans="1:11" ht="20.05" customHeight="1" x14ac:dyDescent="0.2">
      <c r="A436" s="38"/>
      <c r="B436" s="36"/>
      <c r="C436" s="38">
        <v>1</v>
      </c>
      <c r="D436" s="38">
        <v>2</v>
      </c>
      <c r="E436" s="38">
        <v>4.5999999999999996</v>
      </c>
      <c r="F436" s="38">
        <v>3.5</v>
      </c>
      <c r="G436" s="38"/>
      <c r="H436" s="41">
        <f t="shared" si="13"/>
        <v>32.199999999999996</v>
      </c>
      <c r="I436" s="38"/>
      <c r="J436" s="60"/>
      <c r="K436" s="56"/>
    </row>
    <row r="437" spans="1:11" ht="20.05" customHeight="1" x14ac:dyDescent="0.2">
      <c r="A437" s="38"/>
      <c r="B437" s="36" t="s">
        <v>183</v>
      </c>
      <c r="C437" s="38">
        <v>-1</v>
      </c>
      <c r="D437" s="38">
        <v>1</v>
      </c>
      <c r="E437" s="38">
        <v>1.8</v>
      </c>
      <c r="F437" s="38">
        <v>0.9</v>
      </c>
      <c r="G437" s="38"/>
      <c r="H437" s="41">
        <f t="shared" si="13"/>
        <v>-1.62</v>
      </c>
      <c r="I437" s="38"/>
      <c r="J437" s="60"/>
      <c r="K437" s="56"/>
    </row>
    <row r="438" spans="1:11" ht="20.05" customHeight="1" x14ac:dyDescent="0.2">
      <c r="A438" s="38"/>
      <c r="B438" s="36" t="s">
        <v>190</v>
      </c>
      <c r="C438" s="38">
        <v>-1</v>
      </c>
      <c r="D438" s="38">
        <v>1</v>
      </c>
      <c r="E438" s="38">
        <v>5.87</v>
      </c>
      <c r="F438" s="38">
        <v>1.5</v>
      </c>
      <c r="G438" s="38"/>
      <c r="H438" s="41">
        <f t="shared" si="13"/>
        <v>-8.8049999999999997</v>
      </c>
      <c r="I438" s="38"/>
      <c r="J438" s="60"/>
      <c r="K438" s="56"/>
    </row>
    <row r="439" spans="1:11" ht="20.05" customHeight="1" x14ac:dyDescent="0.2">
      <c r="A439" s="38"/>
      <c r="B439" s="36" t="s">
        <v>190</v>
      </c>
      <c r="C439" s="38">
        <v>-1</v>
      </c>
      <c r="D439" s="38">
        <v>2</v>
      </c>
      <c r="E439" s="38">
        <v>4.5999999999999996</v>
      </c>
      <c r="F439" s="38">
        <v>1.5</v>
      </c>
      <c r="G439" s="38"/>
      <c r="H439" s="41">
        <f t="shared" si="13"/>
        <v>-13.799999999999999</v>
      </c>
      <c r="I439" s="38"/>
      <c r="J439" s="60"/>
      <c r="K439" s="56"/>
    </row>
    <row r="440" spans="1:11" ht="20.05" customHeight="1" x14ac:dyDescent="0.2">
      <c r="A440" s="38"/>
      <c r="B440" s="36" t="s">
        <v>11</v>
      </c>
      <c r="C440" s="38">
        <v>1</v>
      </c>
      <c r="D440" s="38">
        <v>2</v>
      </c>
      <c r="E440" s="38">
        <v>7.1349999999999998</v>
      </c>
      <c r="F440" s="38">
        <v>3.5</v>
      </c>
      <c r="G440" s="38"/>
      <c r="H440" s="41">
        <f t="shared" si="13"/>
        <v>49.945</v>
      </c>
      <c r="I440" s="38"/>
      <c r="J440" s="60"/>
      <c r="K440" s="56"/>
    </row>
    <row r="441" spans="1:11" ht="20.05" customHeight="1" x14ac:dyDescent="0.2">
      <c r="A441" s="38"/>
      <c r="B441" s="36"/>
      <c r="C441" s="38">
        <v>1</v>
      </c>
      <c r="D441" s="38">
        <v>2</v>
      </c>
      <c r="E441" s="38">
        <v>3.83</v>
      </c>
      <c r="F441" s="38">
        <v>3.5</v>
      </c>
      <c r="G441" s="38"/>
      <c r="H441" s="41">
        <f t="shared" si="13"/>
        <v>26.810000000000002</v>
      </c>
      <c r="I441" s="38"/>
      <c r="J441" s="60"/>
      <c r="K441" s="56"/>
    </row>
    <row r="442" spans="1:11" ht="20.05" customHeight="1" x14ac:dyDescent="0.2">
      <c r="A442" s="38"/>
      <c r="B442" s="36" t="s">
        <v>190</v>
      </c>
      <c r="C442" s="38">
        <v>1</v>
      </c>
      <c r="D442" s="38">
        <v>1</v>
      </c>
      <c r="E442" s="38">
        <v>7.14</v>
      </c>
      <c r="F442" s="38">
        <v>1.5</v>
      </c>
      <c r="G442" s="38"/>
      <c r="H442" s="41">
        <f t="shared" si="13"/>
        <v>10.709999999999999</v>
      </c>
      <c r="I442" s="38"/>
      <c r="J442" s="60"/>
      <c r="K442" s="56"/>
    </row>
    <row r="443" spans="1:11" ht="20.05" customHeight="1" x14ac:dyDescent="0.2">
      <c r="A443" s="38"/>
      <c r="B443" s="36" t="s">
        <v>190</v>
      </c>
      <c r="C443" s="38">
        <v>1</v>
      </c>
      <c r="D443" s="38">
        <v>2</v>
      </c>
      <c r="E443" s="38">
        <v>3.83</v>
      </c>
      <c r="F443" s="38">
        <v>1.5</v>
      </c>
      <c r="G443" s="38"/>
      <c r="H443" s="41">
        <f t="shared" si="13"/>
        <v>11.49</v>
      </c>
      <c r="I443" s="38"/>
      <c r="J443" s="60"/>
      <c r="K443" s="56"/>
    </row>
    <row r="444" spans="1:11" ht="20.05" customHeight="1" x14ac:dyDescent="0.2">
      <c r="A444" s="38"/>
      <c r="B444" s="36" t="s">
        <v>188</v>
      </c>
      <c r="C444" s="38">
        <v>-1</v>
      </c>
      <c r="D444" s="38">
        <v>1</v>
      </c>
      <c r="E444" s="38">
        <v>1.8</v>
      </c>
      <c r="F444" s="38">
        <v>1.2</v>
      </c>
      <c r="G444" s="38"/>
      <c r="H444" s="41">
        <f t="shared" si="13"/>
        <v>-2.16</v>
      </c>
      <c r="I444" s="38"/>
      <c r="J444" s="60"/>
      <c r="K444" s="56"/>
    </row>
    <row r="445" spans="1:11" ht="20.05" customHeight="1" x14ac:dyDescent="0.2">
      <c r="A445" s="38"/>
      <c r="B445" s="36" t="s">
        <v>51</v>
      </c>
      <c r="C445" s="38">
        <v>1</v>
      </c>
      <c r="D445" s="38">
        <v>2</v>
      </c>
      <c r="E445" s="38">
        <v>11.702999999999999</v>
      </c>
      <c r="F445" s="38">
        <v>3.5</v>
      </c>
      <c r="G445" s="38"/>
      <c r="H445" s="41">
        <f t="shared" si="13"/>
        <v>81.920999999999992</v>
      </c>
      <c r="I445" s="38"/>
      <c r="J445" s="60"/>
      <c r="K445" s="56"/>
    </row>
    <row r="446" spans="1:11" ht="20.05" customHeight="1" x14ac:dyDescent="0.2">
      <c r="A446" s="38"/>
      <c r="B446" s="36"/>
      <c r="C446" s="38">
        <v>1</v>
      </c>
      <c r="D446" s="38">
        <v>2</v>
      </c>
      <c r="E446" s="38">
        <v>1.8</v>
      </c>
      <c r="F446" s="38">
        <v>3.5</v>
      </c>
      <c r="G446" s="38"/>
      <c r="H446" s="41">
        <f t="shared" si="13"/>
        <v>12.6</v>
      </c>
      <c r="I446" s="38"/>
      <c r="J446" s="60"/>
      <c r="K446" s="56"/>
    </row>
    <row r="447" spans="1:11" ht="20.05" customHeight="1" x14ac:dyDescent="0.2">
      <c r="A447" s="38"/>
      <c r="B447" s="36" t="s">
        <v>183</v>
      </c>
      <c r="C447" s="38">
        <v>-1</v>
      </c>
      <c r="D447" s="38">
        <v>6</v>
      </c>
      <c r="E447" s="38">
        <v>0.9</v>
      </c>
      <c r="F447" s="38">
        <v>1.1000000000000001</v>
      </c>
      <c r="G447" s="38"/>
      <c r="H447" s="41">
        <f t="shared" si="13"/>
        <v>-5.9400000000000013</v>
      </c>
      <c r="I447" s="38"/>
      <c r="J447" s="60"/>
      <c r="K447" s="56"/>
    </row>
    <row r="448" spans="1:11" ht="20.05" customHeight="1" x14ac:dyDescent="0.2">
      <c r="A448" s="38"/>
      <c r="B448" s="36" t="s">
        <v>190</v>
      </c>
      <c r="C448" s="38">
        <v>-1</v>
      </c>
      <c r="D448" s="38">
        <v>2</v>
      </c>
      <c r="E448" s="38">
        <v>11.7</v>
      </c>
      <c r="F448" s="38">
        <v>2.1</v>
      </c>
      <c r="G448" s="38"/>
      <c r="H448" s="41">
        <f t="shared" si="13"/>
        <v>-49.14</v>
      </c>
      <c r="I448" s="38"/>
      <c r="J448" s="60"/>
      <c r="K448" s="56"/>
    </row>
    <row r="449" spans="1:11" ht="20.05" customHeight="1" x14ac:dyDescent="0.2">
      <c r="A449" s="38"/>
      <c r="B449" s="36" t="s">
        <v>190</v>
      </c>
      <c r="C449" s="38">
        <v>-1</v>
      </c>
      <c r="D449" s="38">
        <v>2</v>
      </c>
      <c r="E449" s="38">
        <v>1.8</v>
      </c>
      <c r="F449" s="38">
        <v>2.1</v>
      </c>
      <c r="G449" s="38"/>
      <c r="H449" s="41">
        <f t="shared" si="13"/>
        <v>-7.5600000000000005</v>
      </c>
      <c r="I449" s="38"/>
      <c r="J449" s="60"/>
      <c r="K449" s="56"/>
    </row>
    <row r="450" spans="1:11" ht="20.05" customHeight="1" x14ac:dyDescent="0.2">
      <c r="A450" s="38"/>
      <c r="B450" s="36" t="s">
        <v>14</v>
      </c>
      <c r="C450" s="38">
        <v>1</v>
      </c>
      <c r="D450" s="38">
        <v>2</v>
      </c>
      <c r="E450" s="38">
        <v>1.2</v>
      </c>
      <c r="F450" s="38">
        <v>3.5</v>
      </c>
      <c r="G450" s="38"/>
      <c r="H450" s="41">
        <f t="shared" si="13"/>
        <v>8.4</v>
      </c>
      <c r="I450" s="38"/>
      <c r="J450" s="60"/>
      <c r="K450" s="56"/>
    </row>
    <row r="451" spans="1:11" ht="20.05" customHeight="1" x14ac:dyDescent="0.2">
      <c r="A451" s="38"/>
      <c r="B451" s="36"/>
      <c r="C451" s="38">
        <v>1</v>
      </c>
      <c r="D451" s="38">
        <v>2</v>
      </c>
      <c r="E451" s="38">
        <v>1.8</v>
      </c>
      <c r="F451" s="38">
        <v>3.5</v>
      </c>
      <c r="G451" s="38"/>
      <c r="H451" s="41">
        <f t="shared" si="13"/>
        <v>12.6</v>
      </c>
      <c r="I451" s="38"/>
      <c r="J451" s="60"/>
      <c r="K451" s="56"/>
    </row>
    <row r="452" spans="1:11" ht="20.05" customHeight="1" x14ac:dyDescent="0.2">
      <c r="A452" s="38"/>
      <c r="B452" s="36" t="s">
        <v>190</v>
      </c>
      <c r="C452" s="38">
        <v>-1</v>
      </c>
      <c r="D452" s="38">
        <v>2</v>
      </c>
      <c r="E452" s="38">
        <v>1.2</v>
      </c>
      <c r="F452" s="38">
        <v>2.1</v>
      </c>
      <c r="G452" s="38"/>
      <c r="H452" s="41">
        <f t="shared" si="13"/>
        <v>-5.04</v>
      </c>
      <c r="I452" s="38"/>
      <c r="J452" s="60"/>
      <c r="K452" s="56"/>
    </row>
    <row r="453" spans="1:11" ht="20.05" customHeight="1" x14ac:dyDescent="0.2">
      <c r="A453" s="38"/>
      <c r="B453" s="36" t="s">
        <v>190</v>
      </c>
      <c r="C453" s="38">
        <v>-1</v>
      </c>
      <c r="D453" s="38">
        <v>2</v>
      </c>
      <c r="E453" s="38">
        <v>1.8</v>
      </c>
      <c r="F453" s="38">
        <v>2.1</v>
      </c>
      <c r="G453" s="38"/>
      <c r="H453" s="41">
        <f t="shared" si="13"/>
        <v>-7.5600000000000005</v>
      </c>
      <c r="I453" s="38"/>
      <c r="J453" s="60"/>
      <c r="K453" s="56"/>
    </row>
    <row r="454" spans="1:11" ht="20.05" customHeight="1" x14ac:dyDescent="0.2">
      <c r="A454" s="38"/>
      <c r="B454" s="36" t="s">
        <v>15</v>
      </c>
      <c r="C454" s="38">
        <v>1</v>
      </c>
      <c r="D454" s="38">
        <v>2</v>
      </c>
      <c r="E454" s="38">
        <v>1.2</v>
      </c>
      <c r="F454" s="38">
        <v>3.5</v>
      </c>
      <c r="G454" s="38"/>
      <c r="H454" s="41">
        <f t="shared" si="13"/>
        <v>8.4</v>
      </c>
      <c r="I454" s="38"/>
      <c r="J454" s="60"/>
      <c r="K454" s="56"/>
    </row>
    <row r="455" spans="1:11" ht="20.05" customHeight="1" x14ac:dyDescent="0.2">
      <c r="A455" s="38"/>
      <c r="B455" s="36"/>
      <c r="C455" s="38">
        <v>1</v>
      </c>
      <c r="D455" s="38">
        <v>2</v>
      </c>
      <c r="E455" s="38">
        <v>1.8</v>
      </c>
      <c r="F455" s="38">
        <v>3.5</v>
      </c>
      <c r="G455" s="38"/>
      <c r="H455" s="41">
        <f t="shared" si="13"/>
        <v>12.6</v>
      </c>
      <c r="I455" s="38"/>
      <c r="J455" s="60"/>
      <c r="K455" s="56"/>
    </row>
    <row r="456" spans="1:11" ht="20.05" customHeight="1" x14ac:dyDescent="0.2">
      <c r="A456" s="38"/>
      <c r="B456" s="36" t="s">
        <v>190</v>
      </c>
      <c r="C456" s="38">
        <v>-1</v>
      </c>
      <c r="D456" s="38">
        <v>2</v>
      </c>
      <c r="E456" s="38">
        <v>1.2</v>
      </c>
      <c r="F456" s="38">
        <v>2.1</v>
      </c>
      <c r="G456" s="38"/>
      <c r="H456" s="41">
        <f t="shared" si="13"/>
        <v>-5.04</v>
      </c>
      <c r="I456" s="38"/>
      <c r="J456" s="60"/>
      <c r="K456" s="56"/>
    </row>
    <row r="457" spans="1:11" ht="20.05" customHeight="1" x14ac:dyDescent="0.2">
      <c r="A457" s="38"/>
      <c r="B457" s="36" t="s">
        <v>190</v>
      </c>
      <c r="C457" s="38">
        <v>-1</v>
      </c>
      <c r="D457" s="38">
        <v>2</v>
      </c>
      <c r="E457" s="38">
        <v>1.8</v>
      </c>
      <c r="F457" s="38">
        <v>2.1</v>
      </c>
      <c r="G457" s="38"/>
      <c r="H457" s="41">
        <f t="shared" si="13"/>
        <v>-7.5600000000000005</v>
      </c>
      <c r="I457" s="38"/>
      <c r="J457" s="60"/>
      <c r="K457" s="56"/>
    </row>
    <row r="458" spans="1:11" ht="20.05" customHeight="1" x14ac:dyDescent="0.2">
      <c r="A458" s="38"/>
      <c r="B458" s="36" t="s">
        <v>16</v>
      </c>
      <c r="C458" s="38">
        <v>1</v>
      </c>
      <c r="D458" s="38">
        <v>2</v>
      </c>
      <c r="E458" s="38">
        <v>2.08</v>
      </c>
      <c r="F458" s="38">
        <v>3.5</v>
      </c>
      <c r="G458" s="38"/>
      <c r="H458" s="41">
        <f t="shared" si="13"/>
        <v>14.56</v>
      </c>
      <c r="I458" s="38"/>
      <c r="J458" s="60"/>
      <c r="K458" s="56"/>
    </row>
    <row r="459" spans="1:11" ht="20.05" customHeight="1" x14ac:dyDescent="0.2">
      <c r="A459" s="38"/>
      <c r="B459" s="36"/>
      <c r="C459" s="38">
        <v>1</v>
      </c>
      <c r="D459" s="38">
        <v>2</v>
      </c>
      <c r="E459" s="38">
        <v>1.8</v>
      </c>
      <c r="F459" s="38">
        <v>3.5</v>
      </c>
      <c r="G459" s="38"/>
      <c r="H459" s="41">
        <f t="shared" si="13"/>
        <v>12.6</v>
      </c>
      <c r="I459" s="38"/>
      <c r="J459" s="60"/>
      <c r="K459" s="56"/>
    </row>
    <row r="460" spans="1:11" ht="20.05" customHeight="1" x14ac:dyDescent="0.2">
      <c r="A460" s="38"/>
      <c r="B460" s="36" t="s">
        <v>183</v>
      </c>
      <c r="C460" s="38">
        <v>-1</v>
      </c>
      <c r="D460" s="38">
        <v>1</v>
      </c>
      <c r="E460" s="38">
        <v>0.9</v>
      </c>
      <c r="F460" s="38">
        <v>2.6</v>
      </c>
      <c r="G460" s="38"/>
      <c r="H460" s="41">
        <f t="shared" si="13"/>
        <v>-2.3400000000000003</v>
      </c>
      <c r="I460" s="38"/>
      <c r="J460" s="60"/>
      <c r="K460" s="56"/>
    </row>
    <row r="461" spans="1:11" ht="20.05" customHeight="1" x14ac:dyDescent="0.2">
      <c r="A461" s="38"/>
      <c r="B461" s="36" t="s">
        <v>17</v>
      </c>
      <c r="C461" s="38">
        <v>1</v>
      </c>
      <c r="D461" s="38">
        <v>2</v>
      </c>
      <c r="E461" s="38">
        <v>1.9650000000000001</v>
      </c>
      <c r="F461" s="38">
        <v>3.5</v>
      </c>
      <c r="G461" s="38"/>
      <c r="H461" s="41">
        <f t="shared" si="13"/>
        <v>13.755000000000001</v>
      </c>
      <c r="I461" s="38"/>
      <c r="J461" s="60"/>
      <c r="K461" s="56"/>
    </row>
    <row r="462" spans="1:11" ht="20.05" customHeight="1" x14ac:dyDescent="0.2">
      <c r="A462" s="38"/>
      <c r="B462" s="36"/>
      <c r="C462" s="38">
        <v>1</v>
      </c>
      <c r="D462" s="38">
        <v>2</v>
      </c>
      <c r="E462" s="38">
        <v>1.8</v>
      </c>
      <c r="F462" s="38">
        <v>3.5</v>
      </c>
      <c r="G462" s="38"/>
      <c r="H462" s="41">
        <f t="shared" si="13"/>
        <v>12.6</v>
      </c>
      <c r="I462" s="38"/>
      <c r="J462" s="60"/>
      <c r="K462" s="56"/>
    </row>
    <row r="463" spans="1:11" ht="20.05" customHeight="1" x14ac:dyDescent="0.2">
      <c r="A463" s="38"/>
      <c r="B463" s="36" t="s">
        <v>183</v>
      </c>
      <c r="C463" s="38">
        <v>-1</v>
      </c>
      <c r="D463" s="38">
        <v>1</v>
      </c>
      <c r="E463" s="38">
        <v>0.9</v>
      </c>
      <c r="F463" s="38">
        <v>2.6</v>
      </c>
      <c r="G463" s="38"/>
      <c r="H463" s="41">
        <f t="shared" si="13"/>
        <v>-2.3400000000000003</v>
      </c>
      <c r="I463" s="38"/>
      <c r="J463" s="60"/>
      <c r="K463" s="56"/>
    </row>
    <row r="464" spans="1:11" ht="20.05" customHeight="1" x14ac:dyDescent="0.2">
      <c r="A464" s="38"/>
      <c r="B464" s="36" t="s">
        <v>18</v>
      </c>
      <c r="C464" s="38">
        <v>1</v>
      </c>
      <c r="D464" s="38">
        <v>2</v>
      </c>
      <c r="E464" s="38">
        <v>1.95</v>
      </c>
      <c r="F464" s="38">
        <v>3.5</v>
      </c>
      <c r="G464" s="38"/>
      <c r="H464" s="41">
        <f t="shared" si="13"/>
        <v>13.65</v>
      </c>
      <c r="I464" s="38"/>
      <c r="J464" s="60"/>
      <c r="K464" s="56"/>
    </row>
    <row r="465" spans="1:11" ht="20.05" customHeight="1" x14ac:dyDescent="0.2">
      <c r="A465" s="38"/>
      <c r="B465" s="36"/>
      <c r="C465" s="38">
        <v>1</v>
      </c>
      <c r="D465" s="38">
        <v>2</v>
      </c>
      <c r="E465" s="38">
        <v>1.8</v>
      </c>
      <c r="F465" s="38">
        <v>3.5</v>
      </c>
      <c r="G465" s="38"/>
      <c r="H465" s="41">
        <f t="shared" si="13"/>
        <v>12.6</v>
      </c>
      <c r="I465" s="38"/>
      <c r="J465" s="60"/>
      <c r="K465" s="56"/>
    </row>
    <row r="466" spans="1:11" ht="20.05" customHeight="1" x14ac:dyDescent="0.2">
      <c r="A466" s="38"/>
      <c r="B466" s="36" t="s">
        <v>183</v>
      </c>
      <c r="C466" s="38">
        <v>-1</v>
      </c>
      <c r="D466" s="38">
        <v>1</v>
      </c>
      <c r="E466" s="38">
        <v>0.9</v>
      </c>
      <c r="F466" s="38">
        <v>2.6</v>
      </c>
      <c r="G466" s="38"/>
      <c r="H466" s="41">
        <f t="shared" si="13"/>
        <v>-2.3400000000000003</v>
      </c>
      <c r="I466" s="38"/>
      <c r="J466" s="60"/>
      <c r="K466" s="56"/>
    </row>
    <row r="467" spans="1:11" ht="20.05" customHeight="1" x14ac:dyDescent="0.2">
      <c r="A467" s="38"/>
      <c r="B467" s="36" t="s">
        <v>106</v>
      </c>
      <c r="C467" s="38">
        <v>1</v>
      </c>
      <c r="D467" s="38">
        <v>2</v>
      </c>
      <c r="E467" s="38">
        <v>1.95</v>
      </c>
      <c r="F467" s="38">
        <v>3.5</v>
      </c>
      <c r="G467" s="38"/>
      <c r="H467" s="41">
        <f t="shared" si="13"/>
        <v>13.65</v>
      </c>
      <c r="I467" s="38"/>
      <c r="J467" s="60"/>
      <c r="K467" s="56"/>
    </row>
    <row r="468" spans="1:11" ht="20.05" customHeight="1" x14ac:dyDescent="0.2">
      <c r="A468" s="38"/>
      <c r="B468" s="36"/>
      <c r="C468" s="38">
        <v>1</v>
      </c>
      <c r="D468" s="38">
        <v>2</v>
      </c>
      <c r="E468" s="38">
        <v>1.8</v>
      </c>
      <c r="F468" s="38">
        <v>3.5</v>
      </c>
      <c r="G468" s="38"/>
      <c r="H468" s="41">
        <f t="shared" si="13"/>
        <v>12.6</v>
      </c>
      <c r="I468" s="38"/>
      <c r="J468" s="60"/>
      <c r="K468" s="56"/>
    </row>
    <row r="469" spans="1:11" ht="20.05" customHeight="1" x14ac:dyDescent="0.2">
      <c r="A469" s="38"/>
      <c r="B469" s="36" t="s">
        <v>183</v>
      </c>
      <c r="C469" s="38">
        <v>-1</v>
      </c>
      <c r="D469" s="38">
        <v>1</v>
      </c>
      <c r="E469" s="38">
        <v>0.9</v>
      </c>
      <c r="F469" s="38">
        <v>2.6</v>
      </c>
      <c r="G469" s="38"/>
      <c r="H469" s="41">
        <f t="shared" si="13"/>
        <v>-2.3400000000000003</v>
      </c>
      <c r="I469" s="38"/>
      <c r="J469" s="60"/>
      <c r="K469" s="56"/>
    </row>
    <row r="470" spans="1:11" ht="20.05" customHeight="1" x14ac:dyDescent="0.2">
      <c r="A470" s="38"/>
      <c r="B470" s="36" t="s">
        <v>19</v>
      </c>
      <c r="C470" s="38">
        <v>1</v>
      </c>
      <c r="D470" s="38">
        <v>2</v>
      </c>
      <c r="E470" s="38">
        <v>6.3</v>
      </c>
      <c r="F470" s="38">
        <v>3.5</v>
      </c>
      <c r="G470" s="38"/>
      <c r="H470" s="41">
        <f t="shared" si="13"/>
        <v>44.1</v>
      </c>
      <c r="I470" s="38"/>
      <c r="J470" s="60"/>
      <c r="K470" s="56"/>
    </row>
    <row r="471" spans="1:11" ht="20.05" customHeight="1" x14ac:dyDescent="0.2">
      <c r="A471" s="38"/>
      <c r="B471" s="36"/>
      <c r="C471" s="38">
        <v>1</v>
      </c>
      <c r="D471" s="38">
        <v>2</v>
      </c>
      <c r="E471" s="38">
        <v>3.6</v>
      </c>
      <c r="F471" s="38">
        <v>3.5</v>
      </c>
      <c r="G471" s="38"/>
      <c r="H471" s="41">
        <f t="shared" ref="H471:H534" si="14">PRODUCT(C471:F471)</f>
        <v>25.2</v>
      </c>
      <c r="I471" s="38"/>
      <c r="J471" s="60"/>
      <c r="K471" s="56"/>
    </row>
    <row r="472" spans="1:11" ht="20.05" customHeight="1" x14ac:dyDescent="0.2">
      <c r="A472" s="38"/>
      <c r="B472" s="36" t="s">
        <v>183</v>
      </c>
      <c r="C472" s="38">
        <v>-1</v>
      </c>
      <c r="D472" s="38">
        <v>1</v>
      </c>
      <c r="E472" s="38">
        <v>1.2</v>
      </c>
      <c r="F472" s="38">
        <v>2.6</v>
      </c>
      <c r="G472" s="38"/>
      <c r="H472" s="41">
        <f t="shared" si="14"/>
        <v>-3.12</v>
      </c>
      <c r="I472" s="38"/>
      <c r="J472" s="60"/>
      <c r="K472" s="56"/>
    </row>
    <row r="473" spans="1:11" ht="20.05" customHeight="1" x14ac:dyDescent="0.2">
      <c r="A473" s="38"/>
      <c r="B473" s="36" t="s">
        <v>188</v>
      </c>
      <c r="C473" s="38">
        <v>-1</v>
      </c>
      <c r="D473" s="38">
        <v>2</v>
      </c>
      <c r="E473" s="38">
        <v>1.8</v>
      </c>
      <c r="F473" s="38">
        <v>1.8</v>
      </c>
      <c r="G473" s="38"/>
      <c r="H473" s="41">
        <f t="shared" si="14"/>
        <v>-6.48</v>
      </c>
      <c r="I473" s="38"/>
      <c r="J473" s="60"/>
      <c r="K473" s="56"/>
    </row>
    <row r="474" spans="1:11" ht="20.05" customHeight="1" x14ac:dyDescent="0.2">
      <c r="A474" s="38"/>
      <c r="B474" s="36" t="s">
        <v>117</v>
      </c>
      <c r="C474" s="38">
        <v>1</v>
      </c>
      <c r="D474" s="38">
        <v>2</v>
      </c>
      <c r="E474" s="38">
        <v>3.1349999999999998</v>
      </c>
      <c r="F474" s="38">
        <v>3.5</v>
      </c>
      <c r="G474" s="38"/>
      <c r="H474" s="41">
        <f t="shared" si="14"/>
        <v>21.945</v>
      </c>
      <c r="I474" s="38"/>
      <c r="J474" s="60"/>
      <c r="K474" s="56"/>
    </row>
    <row r="475" spans="1:11" ht="20.05" customHeight="1" x14ac:dyDescent="0.2">
      <c r="A475" s="38"/>
      <c r="B475" s="36"/>
      <c r="C475" s="38">
        <v>1</v>
      </c>
      <c r="D475" s="38">
        <v>2</v>
      </c>
      <c r="E475" s="38">
        <v>3.7149999999999999</v>
      </c>
      <c r="F475" s="38">
        <v>3.5</v>
      </c>
      <c r="G475" s="38"/>
      <c r="H475" s="41">
        <f t="shared" si="14"/>
        <v>26.004999999999999</v>
      </c>
      <c r="I475" s="38"/>
      <c r="J475" s="60"/>
      <c r="K475" s="56"/>
    </row>
    <row r="476" spans="1:11" ht="20.05" customHeight="1" x14ac:dyDescent="0.2">
      <c r="A476" s="38"/>
      <c r="B476" s="36" t="s">
        <v>183</v>
      </c>
      <c r="C476" s="38">
        <v>-1</v>
      </c>
      <c r="D476" s="38">
        <v>1</v>
      </c>
      <c r="E476" s="38">
        <v>1</v>
      </c>
      <c r="F476" s="38">
        <v>2.6</v>
      </c>
      <c r="G476" s="38"/>
      <c r="H476" s="41">
        <f t="shared" si="14"/>
        <v>-2.6</v>
      </c>
      <c r="I476" s="38"/>
      <c r="J476" s="60"/>
      <c r="K476" s="56"/>
    </row>
    <row r="477" spans="1:11" ht="20.05" customHeight="1" x14ac:dyDescent="0.2">
      <c r="A477" s="38"/>
      <c r="B477" s="36" t="s">
        <v>188</v>
      </c>
      <c r="C477" s="38">
        <v>-1</v>
      </c>
      <c r="D477" s="38">
        <v>1</v>
      </c>
      <c r="E477" s="38">
        <v>1.2</v>
      </c>
      <c r="F477" s="38">
        <v>1.8</v>
      </c>
      <c r="G477" s="38"/>
      <c r="H477" s="41">
        <f t="shared" si="14"/>
        <v>-2.16</v>
      </c>
      <c r="I477" s="38"/>
      <c r="J477" s="60"/>
      <c r="K477" s="56"/>
    </row>
    <row r="478" spans="1:11" ht="20.05" customHeight="1" x14ac:dyDescent="0.2">
      <c r="A478" s="38"/>
      <c r="B478" s="36" t="s">
        <v>111</v>
      </c>
      <c r="C478" s="38">
        <v>1</v>
      </c>
      <c r="D478" s="38">
        <v>2</v>
      </c>
      <c r="E478" s="38">
        <v>3.1349999999999998</v>
      </c>
      <c r="F478" s="38">
        <v>3.5</v>
      </c>
      <c r="G478" s="38"/>
      <c r="H478" s="41">
        <f t="shared" si="14"/>
        <v>21.945</v>
      </c>
      <c r="I478" s="38"/>
      <c r="J478" s="60"/>
      <c r="K478" s="56"/>
    </row>
    <row r="479" spans="1:11" ht="20.05" customHeight="1" x14ac:dyDescent="0.2">
      <c r="A479" s="38"/>
      <c r="B479" s="36"/>
      <c r="C479" s="38">
        <v>1</v>
      </c>
      <c r="D479" s="38">
        <v>2</v>
      </c>
      <c r="E479" s="38">
        <v>3.52</v>
      </c>
      <c r="F479" s="38">
        <v>3.5</v>
      </c>
      <c r="G479" s="38"/>
      <c r="H479" s="41">
        <f t="shared" si="14"/>
        <v>24.64</v>
      </c>
      <c r="I479" s="38"/>
      <c r="J479" s="60"/>
      <c r="K479" s="56"/>
    </row>
    <row r="480" spans="1:11" ht="20.05" customHeight="1" x14ac:dyDescent="0.2">
      <c r="A480" s="38"/>
      <c r="B480" s="36" t="s">
        <v>183</v>
      </c>
      <c r="C480" s="38">
        <v>-1</v>
      </c>
      <c r="D480" s="38">
        <v>1</v>
      </c>
      <c r="E480" s="38">
        <v>1</v>
      </c>
      <c r="F480" s="38">
        <v>2.6</v>
      </c>
      <c r="G480" s="38"/>
      <c r="H480" s="41">
        <f t="shared" si="14"/>
        <v>-2.6</v>
      </c>
      <c r="I480" s="38"/>
      <c r="J480" s="60"/>
      <c r="K480" s="56"/>
    </row>
    <row r="481" spans="1:11" ht="20.05" customHeight="1" x14ac:dyDescent="0.2">
      <c r="A481" s="38"/>
      <c r="B481" s="36" t="s">
        <v>188</v>
      </c>
      <c r="C481" s="38">
        <v>-1</v>
      </c>
      <c r="D481" s="38">
        <v>1</v>
      </c>
      <c r="E481" s="38">
        <v>1.2</v>
      </c>
      <c r="F481" s="38">
        <v>1.8</v>
      </c>
      <c r="G481" s="38"/>
      <c r="H481" s="41">
        <f t="shared" si="14"/>
        <v>-2.16</v>
      </c>
      <c r="I481" s="38"/>
      <c r="J481" s="60"/>
      <c r="K481" s="56"/>
    </row>
    <row r="482" spans="1:11" ht="20.05" customHeight="1" x14ac:dyDescent="0.2">
      <c r="A482" s="38"/>
      <c r="B482" s="36" t="s">
        <v>22</v>
      </c>
      <c r="C482" s="38">
        <v>1</v>
      </c>
      <c r="D482" s="38">
        <v>2</v>
      </c>
      <c r="E482" s="38">
        <v>3.1349999999999998</v>
      </c>
      <c r="F482" s="38">
        <v>3.5</v>
      </c>
      <c r="G482" s="38"/>
      <c r="H482" s="41">
        <f t="shared" si="14"/>
        <v>21.945</v>
      </c>
      <c r="I482" s="38"/>
      <c r="J482" s="60"/>
      <c r="K482" s="56"/>
    </row>
    <row r="483" spans="1:11" ht="20.05" customHeight="1" x14ac:dyDescent="0.2">
      <c r="A483" s="38"/>
      <c r="B483" s="36"/>
      <c r="C483" s="38">
        <v>1</v>
      </c>
      <c r="D483" s="38">
        <v>2</v>
      </c>
      <c r="E483" s="38">
        <v>3.67</v>
      </c>
      <c r="F483" s="38">
        <v>3.5</v>
      </c>
      <c r="G483" s="38"/>
      <c r="H483" s="41">
        <f t="shared" si="14"/>
        <v>25.689999999999998</v>
      </c>
      <c r="I483" s="38"/>
      <c r="J483" s="60"/>
      <c r="K483" s="56"/>
    </row>
    <row r="484" spans="1:11" ht="20.05" customHeight="1" x14ac:dyDescent="0.2">
      <c r="A484" s="38"/>
      <c r="B484" s="36" t="s">
        <v>183</v>
      </c>
      <c r="C484" s="38">
        <v>-1</v>
      </c>
      <c r="D484" s="38">
        <v>1</v>
      </c>
      <c r="E484" s="38">
        <v>1</v>
      </c>
      <c r="F484" s="38">
        <v>2.6</v>
      </c>
      <c r="G484" s="38"/>
      <c r="H484" s="41">
        <f t="shared" si="14"/>
        <v>-2.6</v>
      </c>
      <c r="I484" s="38"/>
      <c r="J484" s="60"/>
      <c r="K484" s="56"/>
    </row>
    <row r="485" spans="1:11" ht="20.05" customHeight="1" x14ac:dyDescent="0.2">
      <c r="A485" s="38"/>
      <c r="B485" s="36" t="s">
        <v>188</v>
      </c>
      <c r="C485" s="38">
        <v>-1</v>
      </c>
      <c r="D485" s="38">
        <v>1</v>
      </c>
      <c r="E485" s="38">
        <v>1.2</v>
      </c>
      <c r="F485" s="38">
        <v>1.8</v>
      </c>
      <c r="G485" s="38"/>
      <c r="H485" s="41">
        <f t="shared" si="14"/>
        <v>-2.16</v>
      </c>
      <c r="I485" s="38"/>
      <c r="J485" s="60"/>
      <c r="K485" s="56"/>
    </row>
    <row r="486" spans="1:11" ht="20.05" customHeight="1" x14ac:dyDescent="0.2">
      <c r="A486" s="38"/>
      <c r="B486" s="36" t="s">
        <v>26</v>
      </c>
      <c r="C486" s="38">
        <v>1</v>
      </c>
      <c r="D486" s="38">
        <v>2</v>
      </c>
      <c r="E486" s="38">
        <v>3.1349999999999998</v>
      </c>
      <c r="F486" s="38">
        <v>3.5</v>
      </c>
      <c r="G486" s="38"/>
      <c r="H486" s="41">
        <f t="shared" si="14"/>
        <v>21.945</v>
      </c>
      <c r="I486" s="38"/>
      <c r="J486" s="60"/>
      <c r="K486" s="56"/>
    </row>
    <row r="487" spans="1:11" ht="20.05" customHeight="1" x14ac:dyDescent="0.2">
      <c r="A487" s="38"/>
      <c r="B487" s="36"/>
      <c r="C487" s="38">
        <v>1</v>
      </c>
      <c r="D487" s="38">
        <v>2</v>
      </c>
      <c r="E487" s="38">
        <v>2.4</v>
      </c>
      <c r="F487" s="38">
        <v>3.5</v>
      </c>
      <c r="G487" s="38"/>
      <c r="H487" s="41">
        <f t="shared" si="14"/>
        <v>16.8</v>
      </c>
      <c r="I487" s="38"/>
      <c r="J487" s="60"/>
      <c r="K487" s="56"/>
    </row>
    <row r="488" spans="1:11" ht="20.05" customHeight="1" x14ac:dyDescent="0.2">
      <c r="A488" s="38"/>
      <c r="B488" s="36" t="s">
        <v>183</v>
      </c>
      <c r="C488" s="38">
        <v>-1</v>
      </c>
      <c r="D488" s="38">
        <v>1</v>
      </c>
      <c r="E488" s="38">
        <v>1</v>
      </c>
      <c r="F488" s="38">
        <v>1.1000000000000001</v>
      </c>
      <c r="G488" s="38"/>
      <c r="H488" s="41">
        <f t="shared" si="14"/>
        <v>-1.1000000000000001</v>
      </c>
      <c r="I488" s="38"/>
      <c r="J488" s="60"/>
      <c r="K488" s="56"/>
    </row>
    <row r="489" spans="1:11" ht="20.05" customHeight="1" x14ac:dyDescent="0.2">
      <c r="A489" s="38"/>
      <c r="B489" s="36" t="s">
        <v>190</v>
      </c>
      <c r="C489" s="38">
        <v>-1</v>
      </c>
      <c r="D489" s="38">
        <v>2</v>
      </c>
      <c r="E489" s="38">
        <v>3.14</v>
      </c>
      <c r="F489" s="38">
        <v>1.5</v>
      </c>
      <c r="G489" s="38"/>
      <c r="H489" s="41">
        <f t="shared" si="14"/>
        <v>-9.42</v>
      </c>
      <c r="I489" s="38"/>
      <c r="J489" s="60"/>
      <c r="K489" s="56"/>
    </row>
    <row r="490" spans="1:11" ht="20.05" customHeight="1" x14ac:dyDescent="0.2">
      <c r="A490" s="38"/>
      <c r="B490" s="36" t="s">
        <v>190</v>
      </c>
      <c r="C490" s="38">
        <v>-1</v>
      </c>
      <c r="D490" s="38">
        <v>2</v>
      </c>
      <c r="E490" s="38">
        <v>2.4</v>
      </c>
      <c r="F490" s="38">
        <v>1.5</v>
      </c>
      <c r="G490" s="38"/>
      <c r="H490" s="41">
        <f t="shared" si="14"/>
        <v>-7.1999999999999993</v>
      </c>
      <c r="I490" s="38"/>
      <c r="J490" s="60"/>
      <c r="K490" s="56"/>
    </row>
    <row r="491" spans="1:11" ht="20.05" customHeight="1" x14ac:dyDescent="0.2">
      <c r="A491" s="38"/>
      <c r="B491" s="36" t="s">
        <v>23</v>
      </c>
      <c r="C491" s="38">
        <v>1</v>
      </c>
      <c r="D491" s="38">
        <v>2</v>
      </c>
      <c r="E491" s="38">
        <v>3.6</v>
      </c>
      <c r="F491" s="38">
        <v>3.5</v>
      </c>
      <c r="G491" s="38"/>
      <c r="H491" s="41">
        <f t="shared" si="14"/>
        <v>25.2</v>
      </c>
      <c r="I491" s="38"/>
      <c r="J491" s="60"/>
      <c r="K491" s="56"/>
    </row>
    <row r="492" spans="1:11" ht="20.05" customHeight="1" x14ac:dyDescent="0.2">
      <c r="A492" s="38"/>
      <c r="B492" s="36"/>
      <c r="C492" s="38">
        <v>1</v>
      </c>
      <c r="D492" s="38">
        <v>2</v>
      </c>
      <c r="E492" s="38">
        <v>3.7149999999999999</v>
      </c>
      <c r="F492" s="38">
        <v>3.5</v>
      </c>
      <c r="G492" s="38"/>
      <c r="H492" s="41">
        <f t="shared" si="14"/>
        <v>26.004999999999999</v>
      </c>
      <c r="I492" s="38"/>
      <c r="J492" s="60"/>
      <c r="K492" s="56"/>
    </row>
    <row r="493" spans="1:11" ht="20.05" customHeight="1" x14ac:dyDescent="0.2">
      <c r="A493" s="38"/>
      <c r="B493" s="36" t="s">
        <v>183</v>
      </c>
      <c r="C493" s="38">
        <v>-1</v>
      </c>
      <c r="D493" s="38">
        <v>1</v>
      </c>
      <c r="E493" s="38">
        <v>1</v>
      </c>
      <c r="F493" s="38">
        <v>2.6</v>
      </c>
      <c r="G493" s="38"/>
      <c r="H493" s="41">
        <f t="shared" si="14"/>
        <v>-2.6</v>
      </c>
      <c r="I493" s="38"/>
      <c r="J493" s="60"/>
      <c r="K493" s="56"/>
    </row>
    <row r="494" spans="1:11" ht="20.05" customHeight="1" x14ac:dyDescent="0.2">
      <c r="A494" s="38"/>
      <c r="B494" s="36" t="s">
        <v>188</v>
      </c>
      <c r="C494" s="38">
        <v>-1</v>
      </c>
      <c r="D494" s="38">
        <v>1</v>
      </c>
      <c r="E494" s="38">
        <v>1.8</v>
      </c>
      <c r="F494" s="38">
        <v>1.8</v>
      </c>
      <c r="G494" s="38"/>
      <c r="H494" s="41">
        <f t="shared" si="14"/>
        <v>-3.24</v>
      </c>
      <c r="I494" s="38"/>
      <c r="J494" s="60"/>
      <c r="K494" s="56"/>
    </row>
    <row r="495" spans="1:11" ht="20.05" customHeight="1" x14ac:dyDescent="0.2">
      <c r="A495" s="38"/>
      <c r="B495" s="36" t="s">
        <v>24</v>
      </c>
      <c r="C495" s="38">
        <v>1</v>
      </c>
      <c r="D495" s="38">
        <v>2</v>
      </c>
      <c r="E495" s="38">
        <v>3.6</v>
      </c>
      <c r="F495" s="38">
        <v>3.5</v>
      </c>
      <c r="G495" s="38"/>
      <c r="H495" s="41">
        <f t="shared" si="14"/>
        <v>25.2</v>
      </c>
      <c r="I495" s="38"/>
      <c r="J495" s="60"/>
      <c r="K495" s="56"/>
    </row>
    <row r="496" spans="1:11" ht="20.05" customHeight="1" x14ac:dyDescent="0.2">
      <c r="A496" s="38"/>
      <c r="B496" s="36"/>
      <c r="C496" s="38">
        <v>1</v>
      </c>
      <c r="D496" s="38">
        <v>2</v>
      </c>
      <c r="E496" s="38">
        <v>3.7149999999999999</v>
      </c>
      <c r="F496" s="38">
        <v>3.5</v>
      </c>
      <c r="G496" s="38"/>
      <c r="H496" s="41">
        <f t="shared" si="14"/>
        <v>26.004999999999999</v>
      </c>
      <c r="I496" s="38"/>
      <c r="J496" s="60"/>
      <c r="K496" s="56"/>
    </row>
    <row r="497" spans="1:11" ht="20.05" customHeight="1" x14ac:dyDescent="0.2">
      <c r="A497" s="38"/>
      <c r="B497" s="36" t="s">
        <v>183</v>
      </c>
      <c r="C497" s="38">
        <v>-1</v>
      </c>
      <c r="D497" s="38">
        <v>1</v>
      </c>
      <c r="E497" s="38">
        <v>1</v>
      </c>
      <c r="F497" s="38">
        <v>2.6</v>
      </c>
      <c r="G497" s="38"/>
      <c r="H497" s="41">
        <f t="shared" si="14"/>
        <v>-2.6</v>
      </c>
      <c r="I497" s="38"/>
      <c r="J497" s="60"/>
      <c r="K497" s="56"/>
    </row>
    <row r="498" spans="1:11" ht="20.05" customHeight="1" x14ac:dyDescent="0.2">
      <c r="A498" s="38"/>
      <c r="B498" s="36" t="s">
        <v>188</v>
      </c>
      <c r="C498" s="38">
        <v>-1</v>
      </c>
      <c r="D498" s="38">
        <v>1</v>
      </c>
      <c r="E498" s="38">
        <v>1.5</v>
      </c>
      <c r="F498" s="38">
        <v>1.8</v>
      </c>
      <c r="G498" s="38"/>
      <c r="H498" s="41">
        <f t="shared" si="14"/>
        <v>-2.7</v>
      </c>
      <c r="I498" s="38"/>
      <c r="J498" s="60"/>
      <c r="K498" s="56"/>
    </row>
    <row r="499" spans="1:11" ht="20.05" customHeight="1" x14ac:dyDescent="0.2">
      <c r="A499" s="38"/>
      <c r="B499" s="36" t="s">
        <v>45</v>
      </c>
      <c r="C499" s="38">
        <v>1</v>
      </c>
      <c r="D499" s="38">
        <v>2</v>
      </c>
      <c r="E499" s="38">
        <v>3.6</v>
      </c>
      <c r="F499" s="38">
        <v>3.5</v>
      </c>
      <c r="G499" s="38"/>
      <c r="H499" s="41">
        <f t="shared" si="14"/>
        <v>25.2</v>
      </c>
      <c r="I499" s="38"/>
      <c r="J499" s="60"/>
      <c r="K499" s="56"/>
    </row>
    <row r="500" spans="1:11" ht="20.05" customHeight="1" x14ac:dyDescent="0.2">
      <c r="A500" s="38"/>
      <c r="B500" s="36"/>
      <c r="C500" s="38">
        <v>1</v>
      </c>
      <c r="D500" s="38">
        <v>2</v>
      </c>
      <c r="E500" s="38">
        <v>2.5</v>
      </c>
      <c r="F500" s="38">
        <v>3.5</v>
      </c>
      <c r="G500" s="38"/>
      <c r="H500" s="41">
        <f t="shared" si="14"/>
        <v>17.5</v>
      </c>
      <c r="I500" s="38"/>
      <c r="J500" s="60"/>
      <c r="K500" s="56"/>
    </row>
    <row r="501" spans="1:11" ht="20.05" customHeight="1" x14ac:dyDescent="0.2">
      <c r="A501" s="38"/>
      <c r="B501" s="36" t="s">
        <v>183</v>
      </c>
      <c r="C501" s="38">
        <v>-1</v>
      </c>
      <c r="D501" s="38">
        <v>1</v>
      </c>
      <c r="E501" s="38">
        <v>1</v>
      </c>
      <c r="F501" s="38">
        <v>2.6</v>
      </c>
      <c r="G501" s="38"/>
      <c r="H501" s="41">
        <f t="shared" si="14"/>
        <v>-2.6</v>
      </c>
      <c r="I501" s="38"/>
      <c r="J501" s="60"/>
      <c r="K501" s="56"/>
    </row>
    <row r="502" spans="1:11" ht="20.05" customHeight="1" x14ac:dyDescent="0.2">
      <c r="A502" s="38"/>
      <c r="B502" s="36" t="s">
        <v>188</v>
      </c>
      <c r="C502" s="38">
        <v>-1</v>
      </c>
      <c r="D502" s="38">
        <v>1</v>
      </c>
      <c r="E502" s="38">
        <v>1.8</v>
      </c>
      <c r="F502" s="38">
        <v>1.8</v>
      </c>
      <c r="G502" s="38"/>
      <c r="H502" s="41">
        <f t="shared" si="14"/>
        <v>-3.24</v>
      </c>
      <c r="I502" s="38"/>
      <c r="J502" s="60"/>
      <c r="K502" s="56"/>
    </row>
    <row r="503" spans="1:11" ht="20.05" customHeight="1" x14ac:dyDescent="0.2">
      <c r="A503" s="38"/>
      <c r="B503" s="36" t="s">
        <v>190</v>
      </c>
      <c r="C503" s="38">
        <v>-1</v>
      </c>
      <c r="D503" s="38">
        <v>2</v>
      </c>
      <c r="E503" s="38">
        <v>3.6</v>
      </c>
      <c r="F503" s="38">
        <v>1.5</v>
      </c>
      <c r="G503" s="38"/>
      <c r="H503" s="41">
        <f t="shared" si="14"/>
        <v>-10.8</v>
      </c>
      <c r="I503" s="38"/>
      <c r="J503" s="60"/>
      <c r="K503" s="56"/>
    </row>
    <row r="504" spans="1:11" ht="20.05" customHeight="1" x14ac:dyDescent="0.2">
      <c r="A504" s="38"/>
      <c r="B504" s="36" t="s">
        <v>190</v>
      </c>
      <c r="C504" s="38">
        <v>-1</v>
      </c>
      <c r="D504" s="38">
        <v>2</v>
      </c>
      <c r="E504" s="38">
        <v>2.5</v>
      </c>
      <c r="F504" s="38">
        <v>1.5</v>
      </c>
      <c r="G504" s="38"/>
      <c r="H504" s="41">
        <f t="shared" si="14"/>
        <v>-7.5</v>
      </c>
      <c r="I504" s="38"/>
      <c r="J504" s="60"/>
      <c r="K504" s="56"/>
    </row>
    <row r="505" spans="1:11" ht="20.05" customHeight="1" x14ac:dyDescent="0.2">
      <c r="A505" s="38"/>
      <c r="B505" s="36" t="s">
        <v>27</v>
      </c>
      <c r="C505" s="38">
        <v>1</v>
      </c>
      <c r="D505" s="38">
        <v>2</v>
      </c>
      <c r="E505" s="38">
        <v>3.6</v>
      </c>
      <c r="F505" s="38">
        <v>3.5</v>
      </c>
      <c r="G505" s="38"/>
      <c r="H505" s="41">
        <f t="shared" si="14"/>
        <v>25.2</v>
      </c>
      <c r="I505" s="38"/>
      <c r="J505" s="60"/>
      <c r="K505" s="56"/>
    </row>
    <row r="506" spans="1:11" ht="20.05" customHeight="1" x14ac:dyDescent="0.2">
      <c r="A506" s="38"/>
      <c r="B506" s="36"/>
      <c r="C506" s="38">
        <v>1</v>
      </c>
      <c r="D506" s="38">
        <v>2</v>
      </c>
      <c r="E506" s="38">
        <v>3.7149999999999999</v>
      </c>
      <c r="F506" s="38">
        <v>3.5</v>
      </c>
      <c r="G506" s="38"/>
      <c r="H506" s="41">
        <f t="shared" si="14"/>
        <v>26.004999999999999</v>
      </c>
      <c r="I506" s="38"/>
      <c r="J506" s="60"/>
      <c r="K506" s="56"/>
    </row>
    <row r="507" spans="1:11" ht="20.05" customHeight="1" x14ac:dyDescent="0.2">
      <c r="A507" s="38"/>
      <c r="B507" s="36" t="s">
        <v>183</v>
      </c>
      <c r="C507" s="38">
        <v>-1</v>
      </c>
      <c r="D507" s="38">
        <v>1</v>
      </c>
      <c r="E507" s="38">
        <v>1</v>
      </c>
      <c r="F507" s="38">
        <v>2.6</v>
      </c>
      <c r="G507" s="38"/>
      <c r="H507" s="41">
        <f t="shared" si="14"/>
        <v>-2.6</v>
      </c>
      <c r="I507" s="38"/>
      <c r="J507" s="60"/>
      <c r="K507" s="56"/>
    </row>
    <row r="508" spans="1:11" ht="20.05" customHeight="1" x14ac:dyDescent="0.2">
      <c r="A508" s="38"/>
      <c r="B508" s="36" t="s">
        <v>188</v>
      </c>
      <c r="C508" s="38">
        <v>-1</v>
      </c>
      <c r="D508" s="38">
        <v>1</v>
      </c>
      <c r="E508" s="38">
        <v>1.8</v>
      </c>
      <c r="F508" s="38">
        <v>1.8</v>
      </c>
      <c r="G508" s="38"/>
      <c r="H508" s="41">
        <f t="shared" si="14"/>
        <v>-3.24</v>
      </c>
      <c r="I508" s="38"/>
      <c r="J508" s="60"/>
      <c r="K508" s="56"/>
    </row>
    <row r="509" spans="1:11" ht="20.05" customHeight="1" x14ac:dyDescent="0.2">
      <c r="A509" s="38"/>
      <c r="B509" s="36" t="s">
        <v>28</v>
      </c>
      <c r="C509" s="38">
        <v>1</v>
      </c>
      <c r="D509" s="38">
        <v>2</v>
      </c>
      <c r="E509" s="38">
        <v>3.63</v>
      </c>
      <c r="F509" s="38">
        <v>3.5</v>
      </c>
      <c r="G509" s="38"/>
      <c r="H509" s="41">
        <f t="shared" si="14"/>
        <v>25.41</v>
      </c>
      <c r="I509" s="38"/>
      <c r="J509" s="60"/>
      <c r="K509" s="56"/>
    </row>
    <row r="510" spans="1:11" ht="20.05" customHeight="1" x14ac:dyDescent="0.2">
      <c r="A510" s="38"/>
      <c r="B510" s="36"/>
      <c r="C510" s="38">
        <v>1</v>
      </c>
      <c r="D510" s="38">
        <v>2</v>
      </c>
      <c r="E510" s="38">
        <v>3.7149999999999999</v>
      </c>
      <c r="F510" s="38">
        <v>3.5</v>
      </c>
      <c r="G510" s="38"/>
      <c r="H510" s="41">
        <f t="shared" si="14"/>
        <v>26.004999999999999</v>
      </c>
      <c r="I510" s="38"/>
      <c r="J510" s="60"/>
      <c r="K510" s="56"/>
    </row>
    <row r="511" spans="1:11" ht="20.05" customHeight="1" x14ac:dyDescent="0.2">
      <c r="A511" s="38"/>
      <c r="B511" s="36" t="s">
        <v>183</v>
      </c>
      <c r="C511" s="38">
        <v>-1</v>
      </c>
      <c r="D511" s="38">
        <v>1</v>
      </c>
      <c r="E511" s="38">
        <v>1</v>
      </c>
      <c r="F511" s="38">
        <v>2.6</v>
      </c>
      <c r="G511" s="38"/>
      <c r="H511" s="41">
        <f t="shared" si="14"/>
        <v>-2.6</v>
      </c>
      <c r="I511" s="38"/>
      <c r="J511" s="60"/>
      <c r="K511" s="56"/>
    </row>
    <row r="512" spans="1:11" ht="20.05" customHeight="1" x14ac:dyDescent="0.2">
      <c r="A512" s="38"/>
      <c r="B512" s="36" t="s">
        <v>188</v>
      </c>
      <c r="C512" s="38">
        <v>-1</v>
      </c>
      <c r="D512" s="38">
        <v>1</v>
      </c>
      <c r="E512" s="38">
        <v>1.5</v>
      </c>
      <c r="F512" s="38">
        <v>1.8</v>
      </c>
      <c r="G512" s="38"/>
      <c r="H512" s="41">
        <f t="shared" si="14"/>
        <v>-2.7</v>
      </c>
      <c r="I512" s="38"/>
      <c r="J512" s="60"/>
      <c r="K512" s="56"/>
    </row>
    <row r="513" spans="1:11" ht="20.05" customHeight="1" x14ac:dyDescent="0.2">
      <c r="A513" s="38"/>
      <c r="B513" s="36" t="s">
        <v>29</v>
      </c>
      <c r="C513" s="38">
        <v>1</v>
      </c>
      <c r="D513" s="38">
        <v>2</v>
      </c>
      <c r="E513" s="38">
        <v>5.8650000000000002</v>
      </c>
      <c r="F513" s="38">
        <v>3.5</v>
      </c>
      <c r="G513" s="38"/>
      <c r="H513" s="41">
        <f t="shared" si="14"/>
        <v>41.055</v>
      </c>
      <c r="I513" s="38"/>
      <c r="J513" s="60"/>
      <c r="K513" s="56"/>
    </row>
    <row r="514" spans="1:11" ht="20.05" customHeight="1" x14ac:dyDescent="0.2">
      <c r="A514" s="38"/>
      <c r="B514" s="36"/>
      <c r="C514" s="38">
        <v>1</v>
      </c>
      <c r="D514" s="38">
        <v>2</v>
      </c>
      <c r="E514" s="38">
        <v>6.23</v>
      </c>
      <c r="F514" s="38">
        <v>3.5</v>
      </c>
      <c r="G514" s="38"/>
      <c r="H514" s="41">
        <f t="shared" si="14"/>
        <v>43.61</v>
      </c>
      <c r="I514" s="38"/>
      <c r="J514" s="60"/>
      <c r="K514" s="56"/>
    </row>
    <row r="515" spans="1:11" ht="20.05" customHeight="1" x14ac:dyDescent="0.2">
      <c r="A515" s="38"/>
      <c r="B515" s="36" t="s">
        <v>183</v>
      </c>
      <c r="C515" s="38">
        <v>-1</v>
      </c>
      <c r="D515" s="38">
        <v>2</v>
      </c>
      <c r="E515" s="38">
        <v>1.8</v>
      </c>
      <c r="F515" s="38">
        <v>1.1000000000000001</v>
      </c>
      <c r="G515" s="38"/>
      <c r="H515" s="41">
        <f t="shared" si="14"/>
        <v>-3.9600000000000004</v>
      </c>
      <c r="I515" s="38"/>
      <c r="J515" s="60"/>
      <c r="K515" s="56"/>
    </row>
    <row r="516" spans="1:11" ht="20.05" customHeight="1" x14ac:dyDescent="0.2">
      <c r="A516" s="38"/>
      <c r="B516" s="36" t="s">
        <v>190</v>
      </c>
      <c r="C516" s="38">
        <v>-1</v>
      </c>
      <c r="D516" s="38">
        <v>2</v>
      </c>
      <c r="E516" s="38">
        <v>5.87</v>
      </c>
      <c r="F516" s="38">
        <v>1.5</v>
      </c>
      <c r="G516" s="38"/>
      <c r="H516" s="41">
        <f t="shared" si="14"/>
        <v>-17.61</v>
      </c>
      <c r="I516" s="38"/>
      <c r="J516" s="60"/>
      <c r="K516" s="56"/>
    </row>
    <row r="517" spans="1:11" ht="20.05" customHeight="1" x14ac:dyDescent="0.2">
      <c r="A517" s="38"/>
      <c r="B517" s="36" t="s">
        <v>190</v>
      </c>
      <c r="C517" s="38">
        <v>-1</v>
      </c>
      <c r="D517" s="38">
        <v>2</v>
      </c>
      <c r="E517" s="38">
        <v>6.23</v>
      </c>
      <c r="F517" s="38">
        <v>1.5</v>
      </c>
      <c r="G517" s="38"/>
      <c r="H517" s="41">
        <f t="shared" si="14"/>
        <v>-18.690000000000001</v>
      </c>
      <c r="I517" s="38"/>
      <c r="J517" s="60"/>
      <c r="K517" s="56"/>
    </row>
    <row r="518" spans="1:11" ht="20.05" customHeight="1" x14ac:dyDescent="0.2">
      <c r="A518" s="38"/>
      <c r="B518" s="36" t="s">
        <v>30</v>
      </c>
      <c r="C518" s="38">
        <v>1</v>
      </c>
      <c r="D518" s="38">
        <v>2</v>
      </c>
      <c r="E518" s="38">
        <v>7.8</v>
      </c>
      <c r="F518" s="38">
        <v>3.5</v>
      </c>
      <c r="G518" s="38"/>
      <c r="H518" s="41">
        <f t="shared" si="14"/>
        <v>54.6</v>
      </c>
      <c r="I518" s="38"/>
      <c r="J518" s="60"/>
      <c r="K518" s="56"/>
    </row>
    <row r="519" spans="1:11" ht="20.05" customHeight="1" x14ac:dyDescent="0.2">
      <c r="A519" s="38"/>
      <c r="B519" s="36"/>
      <c r="C519" s="38">
        <v>1</v>
      </c>
      <c r="D519" s="38">
        <v>2</v>
      </c>
      <c r="E519" s="38">
        <v>7.085</v>
      </c>
      <c r="F519" s="38">
        <v>3.5</v>
      </c>
      <c r="G519" s="38"/>
      <c r="H519" s="41">
        <f t="shared" si="14"/>
        <v>49.594999999999999</v>
      </c>
      <c r="I519" s="38"/>
      <c r="J519" s="60"/>
      <c r="K519" s="56"/>
    </row>
    <row r="520" spans="1:11" ht="20.05" customHeight="1" x14ac:dyDescent="0.2">
      <c r="A520" s="38"/>
      <c r="B520" s="36" t="s">
        <v>183</v>
      </c>
      <c r="C520" s="38">
        <v>-1</v>
      </c>
      <c r="D520" s="38">
        <v>1</v>
      </c>
      <c r="E520" s="38">
        <v>1.8</v>
      </c>
      <c r="F520" s="38">
        <v>1.1000000000000001</v>
      </c>
      <c r="G520" s="38"/>
      <c r="H520" s="41">
        <f t="shared" si="14"/>
        <v>-1.9800000000000002</v>
      </c>
      <c r="I520" s="38"/>
      <c r="J520" s="60"/>
      <c r="K520" s="56"/>
    </row>
    <row r="521" spans="1:11" ht="20.05" customHeight="1" x14ac:dyDescent="0.2">
      <c r="A521" s="38"/>
      <c r="B521" s="36" t="s">
        <v>188</v>
      </c>
      <c r="C521" s="38">
        <v>-1</v>
      </c>
      <c r="D521" s="38">
        <v>1</v>
      </c>
      <c r="E521" s="38">
        <v>1.8</v>
      </c>
      <c r="F521" s="38">
        <v>1.2</v>
      </c>
      <c r="G521" s="38"/>
      <c r="H521" s="41">
        <f t="shared" si="14"/>
        <v>-2.16</v>
      </c>
      <c r="I521" s="38"/>
      <c r="J521" s="60"/>
      <c r="K521" s="56"/>
    </row>
    <row r="522" spans="1:11" ht="20.05" customHeight="1" x14ac:dyDescent="0.2">
      <c r="A522" s="38"/>
      <c r="B522" s="36" t="s">
        <v>190</v>
      </c>
      <c r="C522" s="38">
        <v>-1</v>
      </c>
      <c r="D522" s="38">
        <v>2</v>
      </c>
      <c r="E522" s="38">
        <v>7.8</v>
      </c>
      <c r="F522" s="38">
        <v>1.5</v>
      </c>
      <c r="G522" s="38"/>
      <c r="H522" s="41">
        <f t="shared" si="14"/>
        <v>-23.4</v>
      </c>
      <c r="I522" s="38"/>
      <c r="J522" s="60"/>
      <c r="K522" s="56"/>
    </row>
    <row r="523" spans="1:11" ht="20.05" customHeight="1" x14ac:dyDescent="0.2">
      <c r="A523" s="38"/>
      <c r="B523" s="36" t="s">
        <v>190</v>
      </c>
      <c r="C523" s="38">
        <v>-1</v>
      </c>
      <c r="D523" s="38">
        <v>2</v>
      </c>
      <c r="E523" s="38">
        <v>7.085</v>
      </c>
      <c r="F523" s="38">
        <v>1.5</v>
      </c>
      <c r="G523" s="38"/>
      <c r="H523" s="41">
        <f t="shared" si="14"/>
        <v>-21.254999999999999</v>
      </c>
      <c r="I523" s="38"/>
      <c r="J523" s="60"/>
      <c r="K523" s="56"/>
    </row>
    <row r="524" spans="1:11" ht="20.05" customHeight="1" x14ac:dyDescent="0.2">
      <c r="A524" s="38"/>
      <c r="B524" s="36" t="s">
        <v>119</v>
      </c>
      <c r="C524" s="38">
        <v>1</v>
      </c>
      <c r="D524" s="38">
        <v>2</v>
      </c>
      <c r="E524" s="38">
        <v>1.5</v>
      </c>
      <c r="F524" s="38">
        <v>3.5</v>
      </c>
      <c r="G524" s="38"/>
      <c r="H524" s="41">
        <f t="shared" si="14"/>
        <v>10.5</v>
      </c>
      <c r="I524" s="38"/>
      <c r="J524" s="60"/>
      <c r="K524" s="56"/>
    </row>
    <row r="525" spans="1:11" ht="20.05" customHeight="1" x14ac:dyDescent="0.2">
      <c r="A525" s="38"/>
      <c r="B525" s="36"/>
      <c r="C525" s="38">
        <v>1</v>
      </c>
      <c r="D525" s="38">
        <v>2</v>
      </c>
      <c r="E525" s="38">
        <v>1.8</v>
      </c>
      <c r="F525" s="38">
        <v>3.5</v>
      </c>
      <c r="G525" s="38"/>
      <c r="H525" s="41">
        <f t="shared" si="14"/>
        <v>12.6</v>
      </c>
      <c r="I525" s="38"/>
      <c r="J525" s="60"/>
      <c r="K525" s="56"/>
    </row>
    <row r="526" spans="1:11" ht="20.05" customHeight="1" x14ac:dyDescent="0.2">
      <c r="A526" s="38"/>
      <c r="B526" s="36" t="s">
        <v>190</v>
      </c>
      <c r="C526" s="38">
        <v>-1</v>
      </c>
      <c r="D526" s="38">
        <v>2</v>
      </c>
      <c r="E526" s="38">
        <v>1.5</v>
      </c>
      <c r="F526" s="38">
        <v>2.1</v>
      </c>
      <c r="G526" s="38"/>
      <c r="H526" s="41">
        <f t="shared" si="14"/>
        <v>-6.3000000000000007</v>
      </c>
      <c r="I526" s="38"/>
      <c r="J526" s="60"/>
      <c r="K526" s="56"/>
    </row>
    <row r="527" spans="1:11" ht="20.05" customHeight="1" x14ac:dyDescent="0.2">
      <c r="A527" s="38"/>
      <c r="B527" s="36" t="s">
        <v>190</v>
      </c>
      <c r="C527" s="38">
        <v>-1</v>
      </c>
      <c r="D527" s="38">
        <v>2</v>
      </c>
      <c r="E527" s="38">
        <v>1.8</v>
      </c>
      <c r="F527" s="38">
        <v>2.1</v>
      </c>
      <c r="G527" s="38"/>
      <c r="H527" s="41">
        <f t="shared" si="14"/>
        <v>-7.5600000000000005</v>
      </c>
      <c r="I527" s="38"/>
      <c r="J527" s="60"/>
      <c r="K527" s="56"/>
    </row>
    <row r="528" spans="1:11" ht="20.05" customHeight="1" x14ac:dyDescent="0.2">
      <c r="A528" s="38"/>
      <c r="B528" s="36" t="s">
        <v>31</v>
      </c>
      <c r="C528" s="38">
        <v>1</v>
      </c>
      <c r="D528" s="38">
        <v>2</v>
      </c>
      <c r="E528" s="38">
        <v>4.95</v>
      </c>
      <c r="F528" s="38">
        <v>3.5</v>
      </c>
      <c r="G528" s="38"/>
      <c r="H528" s="41">
        <f t="shared" si="14"/>
        <v>34.65</v>
      </c>
      <c r="I528" s="38"/>
      <c r="J528" s="60"/>
      <c r="K528" s="56"/>
    </row>
    <row r="529" spans="1:11" ht="20.05" customHeight="1" x14ac:dyDescent="0.2">
      <c r="A529" s="38"/>
      <c r="B529" s="36"/>
      <c r="C529" s="38">
        <v>1</v>
      </c>
      <c r="D529" s="38">
        <v>2</v>
      </c>
      <c r="E529" s="38">
        <v>7.2</v>
      </c>
      <c r="F529" s="38">
        <v>3.5</v>
      </c>
      <c r="G529" s="38"/>
      <c r="H529" s="41">
        <f t="shared" si="14"/>
        <v>50.4</v>
      </c>
      <c r="I529" s="38"/>
      <c r="J529" s="60"/>
      <c r="K529" s="56"/>
    </row>
    <row r="530" spans="1:11" ht="20.05" customHeight="1" x14ac:dyDescent="0.2">
      <c r="A530" s="38"/>
      <c r="B530" s="36" t="s">
        <v>183</v>
      </c>
      <c r="C530" s="38">
        <v>-1</v>
      </c>
      <c r="D530" s="38">
        <v>1</v>
      </c>
      <c r="E530" s="38">
        <v>0.9</v>
      </c>
      <c r="F530" s="38">
        <v>2.6</v>
      </c>
      <c r="G530" s="38"/>
      <c r="H530" s="41">
        <f t="shared" si="14"/>
        <v>-2.3400000000000003</v>
      </c>
      <c r="I530" s="38"/>
      <c r="J530" s="60"/>
      <c r="K530" s="56"/>
    </row>
    <row r="531" spans="1:11" ht="20.05" customHeight="1" x14ac:dyDescent="0.2">
      <c r="A531" s="38"/>
      <c r="B531" s="36" t="s">
        <v>188</v>
      </c>
      <c r="C531" s="38">
        <v>-1</v>
      </c>
      <c r="D531" s="38">
        <v>3</v>
      </c>
      <c r="E531" s="38">
        <v>1.8</v>
      </c>
      <c r="F531" s="38">
        <v>1.8</v>
      </c>
      <c r="G531" s="38"/>
      <c r="H531" s="41">
        <f t="shared" si="14"/>
        <v>-9.7200000000000006</v>
      </c>
      <c r="I531" s="38"/>
      <c r="J531" s="60"/>
      <c r="K531" s="56"/>
    </row>
    <row r="532" spans="1:11" ht="20.05" customHeight="1" x14ac:dyDescent="0.2">
      <c r="A532" s="38"/>
      <c r="B532" s="36" t="s">
        <v>34</v>
      </c>
      <c r="C532" s="38">
        <v>1</v>
      </c>
      <c r="D532" s="38">
        <v>2</v>
      </c>
      <c r="E532" s="38">
        <v>3.37</v>
      </c>
      <c r="F532" s="38">
        <v>3.5</v>
      </c>
      <c r="G532" s="38"/>
      <c r="H532" s="41">
        <f t="shared" si="14"/>
        <v>23.59</v>
      </c>
      <c r="I532" s="38"/>
      <c r="J532" s="60"/>
      <c r="K532" s="56"/>
    </row>
    <row r="533" spans="1:11" ht="20.05" customHeight="1" x14ac:dyDescent="0.2">
      <c r="A533" s="38"/>
      <c r="B533" s="36"/>
      <c r="C533" s="38">
        <v>1</v>
      </c>
      <c r="D533" s="38">
        <v>2</v>
      </c>
      <c r="E533" s="38">
        <v>3.2149999999999999</v>
      </c>
      <c r="F533" s="38">
        <v>3.5</v>
      </c>
      <c r="G533" s="38"/>
      <c r="H533" s="41">
        <f t="shared" si="14"/>
        <v>22.504999999999999</v>
      </c>
      <c r="I533" s="38"/>
      <c r="J533" s="60"/>
      <c r="K533" s="56"/>
    </row>
    <row r="534" spans="1:11" ht="20.05" customHeight="1" x14ac:dyDescent="0.2">
      <c r="A534" s="38"/>
      <c r="B534" s="36" t="s">
        <v>183</v>
      </c>
      <c r="C534" s="38">
        <v>-1</v>
      </c>
      <c r="D534" s="38">
        <v>1</v>
      </c>
      <c r="E534" s="38">
        <v>0.9</v>
      </c>
      <c r="F534" s="38">
        <v>1.1000000000000001</v>
      </c>
      <c r="G534" s="38"/>
      <c r="H534" s="41">
        <f t="shared" si="14"/>
        <v>-0.9900000000000001</v>
      </c>
      <c r="I534" s="38"/>
      <c r="J534" s="60"/>
      <c r="K534" s="56"/>
    </row>
    <row r="535" spans="1:11" ht="20.05" customHeight="1" x14ac:dyDescent="0.2">
      <c r="A535" s="38"/>
      <c r="B535" s="36" t="s">
        <v>188</v>
      </c>
      <c r="C535" s="38">
        <v>-1</v>
      </c>
      <c r="D535" s="38">
        <v>1</v>
      </c>
      <c r="E535" s="38">
        <v>1.5</v>
      </c>
      <c r="F535" s="38">
        <v>1.2</v>
      </c>
      <c r="G535" s="38"/>
      <c r="H535" s="41">
        <f t="shared" ref="H535:H598" si="15">PRODUCT(C535:F535)</f>
        <v>-1.7999999999999998</v>
      </c>
      <c r="I535" s="38"/>
      <c r="J535" s="60"/>
      <c r="K535" s="56"/>
    </row>
    <row r="536" spans="1:11" ht="20.05" customHeight="1" x14ac:dyDescent="0.2">
      <c r="A536" s="38"/>
      <c r="B536" s="36" t="s">
        <v>190</v>
      </c>
      <c r="C536" s="38">
        <v>-1</v>
      </c>
      <c r="D536" s="38">
        <v>2</v>
      </c>
      <c r="E536" s="38">
        <v>3.37</v>
      </c>
      <c r="F536" s="38">
        <v>1.5</v>
      </c>
      <c r="G536" s="38"/>
      <c r="H536" s="41">
        <f t="shared" si="15"/>
        <v>-10.11</v>
      </c>
      <c r="I536" s="38"/>
      <c r="J536" s="60"/>
      <c r="K536" s="56"/>
    </row>
    <row r="537" spans="1:11" ht="20.05" customHeight="1" x14ac:dyDescent="0.2">
      <c r="A537" s="38"/>
      <c r="B537" s="36" t="s">
        <v>190</v>
      </c>
      <c r="C537" s="38">
        <v>-1</v>
      </c>
      <c r="D537" s="38">
        <v>2</v>
      </c>
      <c r="E537" s="38">
        <v>3.2149999999999999</v>
      </c>
      <c r="F537" s="38">
        <v>1.5</v>
      </c>
      <c r="G537" s="38"/>
      <c r="H537" s="41">
        <f t="shared" si="15"/>
        <v>-9.6449999999999996</v>
      </c>
      <c r="I537" s="38"/>
      <c r="J537" s="60"/>
      <c r="K537" s="56"/>
    </row>
    <row r="538" spans="1:11" ht="20.05" customHeight="1" x14ac:dyDescent="0.2">
      <c r="A538" s="38"/>
      <c r="B538" s="36" t="s">
        <v>32</v>
      </c>
      <c r="C538" s="38">
        <v>1</v>
      </c>
      <c r="D538" s="38">
        <v>2</v>
      </c>
      <c r="E538" s="38">
        <v>3.16</v>
      </c>
      <c r="F538" s="38">
        <v>3.5</v>
      </c>
      <c r="G538" s="38"/>
      <c r="H538" s="41">
        <f t="shared" si="15"/>
        <v>22.12</v>
      </c>
      <c r="I538" s="38"/>
      <c r="J538" s="60"/>
      <c r="K538" s="56"/>
    </row>
    <row r="539" spans="1:11" ht="20.05" customHeight="1" x14ac:dyDescent="0.2">
      <c r="A539" s="38"/>
      <c r="B539" s="36"/>
      <c r="C539" s="38">
        <v>1</v>
      </c>
      <c r="D539" s="38">
        <v>2</v>
      </c>
      <c r="E539" s="38">
        <v>3.2149999999999999</v>
      </c>
      <c r="F539" s="38">
        <v>3.5</v>
      </c>
      <c r="G539" s="38"/>
      <c r="H539" s="41">
        <f t="shared" si="15"/>
        <v>22.504999999999999</v>
      </c>
      <c r="I539" s="38"/>
      <c r="J539" s="60"/>
      <c r="K539" s="56"/>
    </row>
    <row r="540" spans="1:11" ht="20.05" customHeight="1" x14ac:dyDescent="0.2">
      <c r="A540" s="38"/>
      <c r="B540" s="36" t="s">
        <v>183</v>
      </c>
      <c r="C540" s="38">
        <v>-1</v>
      </c>
      <c r="D540" s="38">
        <v>1</v>
      </c>
      <c r="E540" s="38">
        <v>1.2</v>
      </c>
      <c r="F540" s="38">
        <v>2.6</v>
      </c>
      <c r="G540" s="38"/>
      <c r="H540" s="41">
        <f t="shared" si="15"/>
        <v>-3.12</v>
      </c>
      <c r="I540" s="38"/>
      <c r="J540" s="60"/>
      <c r="K540" s="56"/>
    </row>
    <row r="541" spans="1:11" ht="20.05" customHeight="1" x14ac:dyDescent="0.2">
      <c r="A541" s="38"/>
      <c r="B541" s="36" t="s">
        <v>33</v>
      </c>
      <c r="C541" s="38">
        <v>1</v>
      </c>
      <c r="D541" s="38">
        <v>2</v>
      </c>
      <c r="E541" s="38">
        <v>3.0449999999999999</v>
      </c>
      <c r="F541" s="38">
        <v>3.5</v>
      </c>
      <c r="G541" s="38"/>
      <c r="H541" s="41">
        <f t="shared" si="15"/>
        <v>21.314999999999998</v>
      </c>
      <c r="I541" s="38"/>
      <c r="J541" s="60"/>
      <c r="K541" s="56"/>
    </row>
    <row r="542" spans="1:11" ht="20.05" customHeight="1" x14ac:dyDescent="0.2">
      <c r="A542" s="38"/>
      <c r="B542" s="36"/>
      <c r="C542" s="38">
        <v>1</v>
      </c>
      <c r="D542" s="38">
        <v>2</v>
      </c>
      <c r="E542" s="38">
        <v>3.2149999999999999</v>
      </c>
      <c r="F542" s="38">
        <v>3.5</v>
      </c>
      <c r="G542" s="38"/>
      <c r="H542" s="41">
        <f t="shared" si="15"/>
        <v>22.504999999999999</v>
      </c>
      <c r="I542" s="38"/>
      <c r="J542" s="60"/>
      <c r="K542" s="56"/>
    </row>
    <row r="543" spans="1:11" ht="20.05" customHeight="1" x14ac:dyDescent="0.2">
      <c r="A543" s="38"/>
      <c r="B543" s="36" t="s">
        <v>183</v>
      </c>
      <c r="C543" s="38">
        <v>-1</v>
      </c>
      <c r="D543" s="38">
        <v>1</v>
      </c>
      <c r="E543" s="38">
        <v>0.9</v>
      </c>
      <c r="F543" s="38">
        <v>2.6</v>
      </c>
      <c r="G543" s="38"/>
      <c r="H543" s="41">
        <f t="shared" si="15"/>
        <v>-2.3400000000000003</v>
      </c>
      <c r="I543" s="38"/>
      <c r="J543" s="60"/>
      <c r="K543" s="56"/>
    </row>
    <row r="544" spans="1:11" ht="20.05" customHeight="1" x14ac:dyDescent="0.2">
      <c r="A544" s="38"/>
      <c r="B544" s="36" t="s">
        <v>35</v>
      </c>
      <c r="C544" s="38">
        <v>1</v>
      </c>
      <c r="D544" s="38">
        <v>2</v>
      </c>
      <c r="E544" s="38">
        <v>3</v>
      </c>
      <c r="F544" s="38">
        <v>3.5</v>
      </c>
      <c r="G544" s="38"/>
      <c r="H544" s="41">
        <f t="shared" si="15"/>
        <v>21</v>
      </c>
      <c r="I544" s="38"/>
      <c r="J544" s="60"/>
      <c r="K544" s="56"/>
    </row>
    <row r="545" spans="1:11" ht="20.05" customHeight="1" x14ac:dyDescent="0.2">
      <c r="A545" s="38"/>
      <c r="B545" s="36"/>
      <c r="C545" s="38">
        <v>1</v>
      </c>
      <c r="D545" s="38">
        <v>2</v>
      </c>
      <c r="E545" s="38">
        <v>3.2149999999999999</v>
      </c>
      <c r="F545" s="38">
        <v>3.5</v>
      </c>
      <c r="G545" s="38"/>
      <c r="H545" s="41">
        <f t="shared" si="15"/>
        <v>22.504999999999999</v>
      </c>
      <c r="I545" s="38"/>
      <c r="J545" s="60"/>
      <c r="K545" s="56"/>
    </row>
    <row r="546" spans="1:11" ht="20.05" customHeight="1" x14ac:dyDescent="0.2">
      <c r="A546" s="38"/>
      <c r="B546" s="36" t="s">
        <v>183</v>
      </c>
      <c r="C546" s="38">
        <v>-1</v>
      </c>
      <c r="D546" s="38">
        <v>1</v>
      </c>
      <c r="E546" s="38">
        <v>0.9</v>
      </c>
      <c r="F546" s="38">
        <v>1.1000000000000001</v>
      </c>
      <c r="G546" s="38"/>
      <c r="H546" s="41">
        <f t="shared" si="15"/>
        <v>-0.9900000000000001</v>
      </c>
      <c r="I546" s="38"/>
      <c r="J546" s="60"/>
      <c r="K546" s="56"/>
    </row>
    <row r="547" spans="1:11" ht="20.05" customHeight="1" x14ac:dyDescent="0.2">
      <c r="A547" s="38"/>
      <c r="B547" s="36" t="s">
        <v>190</v>
      </c>
      <c r="C547" s="38">
        <v>-1</v>
      </c>
      <c r="D547" s="38">
        <v>2</v>
      </c>
      <c r="E547" s="38">
        <v>3</v>
      </c>
      <c r="F547" s="38">
        <v>1.5</v>
      </c>
      <c r="G547" s="38"/>
      <c r="H547" s="41">
        <f t="shared" si="15"/>
        <v>-9</v>
      </c>
      <c r="I547" s="38"/>
      <c r="J547" s="60"/>
      <c r="K547" s="56"/>
    </row>
    <row r="548" spans="1:11" ht="20.05" customHeight="1" x14ac:dyDescent="0.2">
      <c r="A548" s="38"/>
      <c r="B548" s="36" t="s">
        <v>190</v>
      </c>
      <c r="C548" s="38">
        <v>-1</v>
      </c>
      <c r="D548" s="38">
        <v>2</v>
      </c>
      <c r="E548" s="38">
        <v>3.2149999999999999</v>
      </c>
      <c r="F548" s="38">
        <v>1.5</v>
      </c>
      <c r="G548" s="38"/>
      <c r="H548" s="41">
        <f t="shared" si="15"/>
        <v>-9.6449999999999996</v>
      </c>
      <c r="I548" s="38"/>
      <c r="J548" s="60"/>
      <c r="K548" s="56"/>
    </row>
    <row r="549" spans="1:11" ht="20.05" customHeight="1" x14ac:dyDescent="0.2">
      <c r="A549" s="38"/>
      <c r="B549" s="36" t="s">
        <v>36</v>
      </c>
      <c r="C549" s="38">
        <v>1</v>
      </c>
      <c r="D549" s="38">
        <v>2</v>
      </c>
      <c r="E549" s="38">
        <v>15.788</v>
      </c>
      <c r="F549" s="38">
        <v>3.5</v>
      </c>
      <c r="G549" s="38"/>
      <c r="H549" s="41">
        <f t="shared" si="15"/>
        <v>110.51600000000001</v>
      </c>
      <c r="I549" s="38"/>
      <c r="J549" s="60"/>
      <c r="K549" s="56"/>
    </row>
    <row r="550" spans="1:11" ht="20.05" customHeight="1" x14ac:dyDescent="0.2">
      <c r="A550" s="38"/>
      <c r="B550" s="36"/>
      <c r="C550" s="38">
        <v>1</v>
      </c>
      <c r="D550" s="38">
        <v>2</v>
      </c>
      <c r="E550" s="38">
        <v>1.3759999999999999</v>
      </c>
      <c r="F550" s="38">
        <v>3.5</v>
      </c>
      <c r="G550" s="38"/>
      <c r="H550" s="41">
        <f t="shared" si="15"/>
        <v>9.6319999999999997</v>
      </c>
      <c r="I550" s="38"/>
      <c r="J550" s="60"/>
      <c r="K550" s="56"/>
    </row>
    <row r="551" spans="1:11" ht="20.05" customHeight="1" x14ac:dyDescent="0.2">
      <c r="A551" s="38"/>
      <c r="B551" s="36" t="s">
        <v>188</v>
      </c>
      <c r="C551" s="38">
        <v>-1</v>
      </c>
      <c r="D551" s="38">
        <v>5</v>
      </c>
      <c r="E551" s="38">
        <v>1.8</v>
      </c>
      <c r="F551" s="38">
        <v>1.2</v>
      </c>
      <c r="G551" s="38"/>
      <c r="H551" s="41">
        <f t="shared" si="15"/>
        <v>-10.799999999999999</v>
      </c>
      <c r="I551" s="38"/>
      <c r="J551" s="60"/>
      <c r="K551" s="56"/>
    </row>
    <row r="552" spans="1:11" ht="20.05" customHeight="1" x14ac:dyDescent="0.2">
      <c r="A552" s="38"/>
      <c r="B552" s="36" t="s">
        <v>190</v>
      </c>
      <c r="C552" s="38">
        <v>-1</v>
      </c>
      <c r="D552" s="38">
        <v>2</v>
      </c>
      <c r="E552" s="38">
        <v>15.79</v>
      </c>
      <c r="F552" s="38">
        <v>1.5</v>
      </c>
      <c r="G552" s="38"/>
      <c r="H552" s="41">
        <f t="shared" si="15"/>
        <v>-47.37</v>
      </c>
      <c r="I552" s="38"/>
      <c r="J552" s="60"/>
      <c r="K552" s="56"/>
    </row>
    <row r="553" spans="1:11" ht="20.05" customHeight="1" x14ac:dyDescent="0.2">
      <c r="A553" s="38"/>
      <c r="B553" s="36" t="s">
        <v>190</v>
      </c>
      <c r="C553" s="38">
        <v>-1</v>
      </c>
      <c r="D553" s="38">
        <v>2</v>
      </c>
      <c r="E553" s="38">
        <v>1.3759999999999999</v>
      </c>
      <c r="F553" s="38">
        <v>1.5</v>
      </c>
      <c r="G553" s="38"/>
      <c r="H553" s="41">
        <f t="shared" si="15"/>
        <v>-4.1280000000000001</v>
      </c>
      <c r="I553" s="38"/>
      <c r="J553" s="60"/>
      <c r="K553" s="56"/>
    </row>
    <row r="554" spans="1:11" ht="20.05" customHeight="1" x14ac:dyDescent="0.2">
      <c r="A554" s="38"/>
      <c r="B554" s="36" t="s">
        <v>37</v>
      </c>
      <c r="C554" s="38">
        <v>1</v>
      </c>
      <c r="D554" s="38">
        <v>1</v>
      </c>
      <c r="E554" s="38">
        <v>2.02</v>
      </c>
      <c r="F554" s="38">
        <v>3.5</v>
      </c>
      <c r="G554" s="38"/>
      <c r="H554" s="41">
        <f t="shared" si="15"/>
        <v>7.07</v>
      </c>
      <c r="I554" s="38"/>
      <c r="J554" s="60"/>
      <c r="K554" s="56"/>
    </row>
    <row r="555" spans="1:11" ht="20.05" customHeight="1" x14ac:dyDescent="0.2">
      <c r="A555" s="38"/>
      <c r="B555" s="36"/>
      <c r="C555" s="38">
        <v>1</v>
      </c>
      <c r="D555" s="38">
        <v>2</v>
      </c>
      <c r="E555" s="38">
        <v>8.2949999999999999</v>
      </c>
      <c r="F555" s="38">
        <v>3.5</v>
      </c>
      <c r="G555" s="38"/>
      <c r="H555" s="41">
        <f t="shared" si="15"/>
        <v>58.064999999999998</v>
      </c>
      <c r="I555" s="38"/>
      <c r="J555" s="60"/>
      <c r="K555" s="56"/>
    </row>
    <row r="556" spans="1:11" ht="20.05" customHeight="1" x14ac:dyDescent="0.2">
      <c r="A556" s="38"/>
      <c r="B556" s="36" t="s">
        <v>188</v>
      </c>
      <c r="C556" s="38">
        <v>-1</v>
      </c>
      <c r="D556" s="38">
        <v>1</v>
      </c>
      <c r="E556" s="38">
        <v>1.8</v>
      </c>
      <c r="F556" s="38">
        <v>1.2</v>
      </c>
      <c r="G556" s="38"/>
      <c r="H556" s="41">
        <f t="shared" si="15"/>
        <v>-2.16</v>
      </c>
      <c r="I556" s="38"/>
      <c r="J556" s="60"/>
      <c r="K556" s="56"/>
    </row>
    <row r="557" spans="1:11" ht="20.05" customHeight="1" x14ac:dyDescent="0.2">
      <c r="A557" s="38"/>
      <c r="B557" s="36" t="s">
        <v>190</v>
      </c>
      <c r="C557" s="38">
        <v>-1</v>
      </c>
      <c r="D557" s="38">
        <v>1</v>
      </c>
      <c r="E557" s="38">
        <v>2.02</v>
      </c>
      <c r="F557" s="38">
        <v>1.5</v>
      </c>
      <c r="G557" s="38"/>
      <c r="H557" s="41">
        <f t="shared" si="15"/>
        <v>-3.0300000000000002</v>
      </c>
      <c r="I557" s="38"/>
      <c r="J557" s="60"/>
      <c r="K557" s="56"/>
    </row>
    <row r="558" spans="1:11" ht="20.05" customHeight="1" x14ac:dyDescent="0.2">
      <c r="A558" s="38"/>
      <c r="B558" s="36" t="s">
        <v>190</v>
      </c>
      <c r="C558" s="38">
        <v>-1</v>
      </c>
      <c r="D558" s="38">
        <v>2</v>
      </c>
      <c r="E558" s="38">
        <v>8.2949999999999999</v>
      </c>
      <c r="F558" s="38">
        <v>1.5</v>
      </c>
      <c r="G558" s="38"/>
      <c r="H558" s="41">
        <f t="shared" si="15"/>
        <v>-24.884999999999998</v>
      </c>
      <c r="I558" s="38"/>
      <c r="J558" s="60"/>
      <c r="K558" s="56"/>
    </row>
    <row r="559" spans="1:11" ht="20.05" customHeight="1" x14ac:dyDescent="0.2">
      <c r="A559" s="38"/>
      <c r="B559" s="36" t="s">
        <v>38</v>
      </c>
      <c r="C559" s="38">
        <v>1</v>
      </c>
      <c r="D559" s="38">
        <v>2</v>
      </c>
      <c r="E559" s="38">
        <v>34.356000000000002</v>
      </c>
      <c r="F559" s="38">
        <v>3.5</v>
      </c>
      <c r="G559" s="38"/>
      <c r="H559" s="41">
        <f t="shared" si="15"/>
        <v>240.49200000000002</v>
      </c>
      <c r="I559" s="38"/>
      <c r="J559" s="60"/>
      <c r="K559" s="56"/>
    </row>
    <row r="560" spans="1:11" ht="20.05" customHeight="1" x14ac:dyDescent="0.2">
      <c r="A560" s="38"/>
      <c r="B560" s="36"/>
      <c r="C560" s="38">
        <v>1</v>
      </c>
      <c r="D560" s="38">
        <v>2</v>
      </c>
      <c r="E560" s="38">
        <v>2.4</v>
      </c>
      <c r="F560" s="38">
        <v>3.5</v>
      </c>
      <c r="G560" s="38"/>
      <c r="H560" s="41">
        <f t="shared" si="15"/>
        <v>16.8</v>
      </c>
      <c r="I560" s="38"/>
      <c r="J560" s="60"/>
      <c r="K560" s="56"/>
    </row>
    <row r="561" spans="1:11" ht="20.05" customHeight="1" x14ac:dyDescent="0.2">
      <c r="A561" s="38"/>
      <c r="B561" s="36" t="s">
        <v>183</v>
      </c>
      <c r="C561" s="38">
        <v>-1</v>
      </c>
      <c r="D561" s="38">
        <v>1</v>
      </c>
      <c r="E561" s="38">
        <v>2</v>
      </c>
      <c r="F561" s="38">
        <v>1.1000000000000001</v>
      </c>
      <c r="G561" s="38"/>
      <c r="H561" s="41">
        <f t="shared" si="15"/>
        <v>-2.2000000000000002</v>
      </c>
      <c r="I561" s="38"/>
      <c r="J561" s="60"/>
      <c r="K561" s="56"/>
    </row>
    <row r="562" spans="1:11" ht="20.05" customHeight="1" x14ac:dyDescent="0.2">
      <c r="A562" s="38"/>
      <c r="B562" s="36" t="s">
        <v>183</v>
      </c>
      <c r="C562" s="38">
        <v>-1</v>
      </c>
      <c r="D562" s="38">
        <v>2</v>
      </c>
      <c r="E562" s="38">
        <v>1.8</v>
      </c>
      <c r="F562" s="38">
        <v>1.1000000000000001</v>
      </c>
      <c r="G562" s="38"/>
      <c r="H562" s="41">
        <f t="shared" si="15"/>
        <v>-3.9600000000000004</v>
      </c>
      <c r="I562" s="38"/>
      <c r="J562" s="60"/>
      <c r="K562" s="56"/>
    </row>
    <row r="563" spans="1:11" ht="20.05" customHeight="1" x14ac:dyDescent="0.2">
      <c r="A563" s="38"/>
      <c r="B563" s="36" t="s">
        <v>183</v>
      </c>
      <c r="C563" s="38">
        <v>-1</v>
      </c>
      <c r="D563" s="38">
        <v>3</v>
      </c>
      <c r="E563" s="38">
        <v>1.2</v>
      </c>
      <c r="F563" s="38">
        <v>1.1000000000000001</v>
      </c>
      <c r="G563" s="38"/>
      <c r="H563" s="41">
        <f t="shared" si="15"/>
        <v>-3.96</v>
      </c>
      <c r="I563" s="38"/>
      <c r="J563" s="60"/>
      <c r="K563" s="56"/>
    </row>
    <row r="564" spans="1:11" ht="20.05" customHeight="1" x14ac:dyDescent="0.2">
      <c r="A564" s="38"/>
      <c r="B564" s="36" t="s">
        <v>183</v>
      </c>
      <c r="C564" s="38">
        <v>-1</v>
      </c>
      <c r="D564" s="38">
        <v>1</v>
      </c>
      <c r="E564" s="38">
        <v>1</v>
      </c>
      <c r="F564" s="38">
        <v>1.1000000000000001</v>
      </c>
      <c r="G564" s="38"/>
      <c r="H564" s="41">
        <f t="shared" si="15"/>
        <v>-1.1000000000000001</v>
      </c>
      <c r="I564" s="38"/>
      <c r="J564" s="60"/>
      <c r="K564" s="56"/>
    </row>
    <row r="565" spans="1:11" ht="20.05" customHeight="1" x14ac:dyDescent="0.2">
      <c r="A565" s="38"/>
      <c r="B565" s="36" t="s">
        <v>183</v>
      </c>
      <c r="C565" s="38">
        <v>-1</v>
      </c>
      <c r="D565" s="38">
        <v>2</v>
      </c>
      <c r="E565" s="38">
        <v>0.9</v>
      </c>
      <c r="F565" s="38">
        <v>1.1000000000000001</v>
      </c>
      <c r="G565" s="38"/>
      <c r="H565" s="41">
        <f t="shared" si="15"/>
        <v>-1.9800000000000002</v>
      </c>
      <c r="I565" s="38"/>
      <c r="J565" s="60"/>
      <c r="K565" s="56"/>
    </row>
    <row r="566" spans="1:11" ht="20.05" customHeight="1" x14ac:dyDescent="0.2">
      <c r="A566" s="38"/>
      <c r="B566" s="36" t="s">
        <v>183</v>
      </c>
      <c r="C566" s="38">
        <v>-1</v>
      </c>
      <c r="D566" s="38">
        <v>1</v>
      </c>
      <c r="E566" s="38">
        <v>3</v>
      </c>
      <c r="F566" s="38">
        <v>1.1000000000000001</v>
      </c>
      <c r="G566" s="38"/>
      <c r="H566" s="41">
        <f t="shared" si="15"/>
        <v>-3.3000000000000003</v>
      </c>
      <c r="I566" s="38"/>
      <c r="J566" s="60"/>
      <c r="K566" s="56"/>
    </row>
    <row r="567" spans="1:11" ht="20.05" customHeight="1" x14ac:dyDescent="0.2">
      <c r="A567" s="38"/>
      <c r="B567" s="36" t="s">
        <v>183</v>
      </c>
      <c r="C567" s="38">
        <v>-1</v>
      </c>
      <c r="D567" s="38">
        <v>1</v>
      </c>
      <c r="E567" s="38">
        <v>2.4</v>
      </c>
      <c r="F567" s="38">
        <v>1.1000000000000001</v>
      </c>
      <c r="G567" s="38"/>
      <c r="H567" s="41">
        <f t="shared" si="15"/>
        <v>-2.64</v>
      </c>
      <c r="I567" s="38"/>
      <c r="J567" s="60"/>
      <c r="K567" s="56"/>
    </row>
    <row r="568" spans="1:11" ht="20.05" customHeight="1" x14ac:dyDescent="0.2">
      <c r="A568" s="38"/>
      <c r="B568" s="36" t="s">
        <v>183</v>
      </c>
      <c r="C568" s="38">
        <v>-1</v>
      </c>
      <c r="D568" s="38">
        <v>1</v>
      </c>
      <c r="E568" s="38">
        <v>2</v>
      </c>
      <c r="F568" s="38">
        <v>1.1000000000000001</v>
      </c>
      <c r="G568" s="38"/>
      <c r="H568" s="41">
        <f t="shared" si="15"/>
        <v>-2.2000000000000002</v>
      </c>
      <c r="I568" s="38"/>
      <c r="J568" s="60"/>
      <c r="K568" s="56"/>
    </row>
    <row r="569" spans="1:11" ht="20.05" customHeight="1" x14ac:dyDescent="0.2">
      <c r="A569" s="38"/>
      <c r="B569" s="36" t="s">
        <v>190</v>
      </c>
      <c r="C569" s="38">
        <v>-1</v>
      </c>
      <c r="D569" s="38">
        <v>2</v>
      </c>
      <c r="E569" s="38">
        <v>34.36</v>
      </c>
      <c r="F569" s="38">
        <v>1.5</v>
      </c>
      <c r="G569" s="38"/>
      <c r="H569" s="41">
        <f t="shared" si="15"/>
        <v>-103.08</v>
      </c>
      <c r="I569" s="38"/>
      <c r="J569" s="60"/>
      <c r="K569" s="56"/>
    </row>
    <row r="570" spans="1:11" ht="20.05" customHeight="1" x14ac:dyDescent="0.2">
      <c r="A570" s="38"/>
      <c r="B570" s="36" t="s">
        <v>190</v>
      </c>
      <c r="C570" s="38">
        <v>-1</v>
      </c>
      <c r="D570" s="38">
        <v>2</v>
      </c>
      <c r="E570" s="38">
        <v>2.4</v>
      </c>
      <c r="F570" s="38">
        <v>1.5</v>
      </c>
      <c r="G570" s="38"/>
      <c r="H570" s="41">
        <f t="shared" si="15"/>
        <v>-7.1999999999999993</v>
      </c>
      <c r="I570" s="38"/>
      <c r="J570" s="60"/>
      <c r="K570" s="56"/>
    </row>
    <row r="571" spans="1:11" ht="20.05" customHeight="1" x14ac:dyDescent="0.2">
      <c r="A571" s="38"/>
      <c r="B571" s="36" t="s">
        <v>188</v>
      </c>
      <c r="C571" s="38">
        <v>-1</v>
      </c>
      <c r="D571" s="38">
        <v>1</v>
      </c>
      <c r="E571" s="38">
        <v>1.5</v>
      </c>
      <c r="F571" s="38">
        <v>1.2</v>
      </c>
      <c r="G571" s="38"/>
      <c r="H571" s="41">
        <f t="shared" si="15"/>
        <v>-1.7999999999999998</v>
      </c>
      <c r="I571" s="38"/>
      <c r="J571" s="60"/>
      <c r="K571" s="56"/>
    </row>
    <row r="572" spans="1:11" ht="20.05" customHeight="1" x14ac:dyDescent="0.2">
      <c r="A572" s="38"/>
      <c r="B572" s="36" t="s">
        <v>39</v>
      </c>
      <c r="C572" s="38">
        <v>1</v>
      </c>
      <c r="D572" s="38">
        <v>2</v>
      </c>
      <c r="E572" s="38">
        <v>3</v>
      </c>
      <c r="F572" s="38">
        <v>3.5</v>
      </c>
      <c r="G572" s="38"/>
      <c r="H572" s="41">
        <f t="shared" si="15"/>
        <v>21</v>
      </c>
      <c r="I572" s="38"/>
      <c r="J572" s="60"/>
      <c r="K572" s="56"/>
    </row>
    <row r="573" spans="1:11" ht="20.05" customHeight="1" x14ac:dyDescent="0.2">
      <c r="A573" s="38"/>
      <c r="B573" s="36"/>
      <c r="C573" s="38">
        <v>1</v>
      </c>
      <c r="D573" s="38">
        <v>2</v>
      </c>
      <c r="E573" s="38">
        <v>15.05</v>
      </c>
      <c r="F573" s="38">
        <v>3.5</v>
      </c>
      <c r="G573" s="38"/>
      <c r="H573" s="41">
        <f t="shared" si="15"/>
        <v>105.35000000000001</v>
      </c>
      <c r="I573" s="38"/>
      <c r="J573" s="60"/>
      <c r="K573" s="56"/>
    </row>
    <row r="574" spans="1:11" ht="20.05" customHeight="1" x14ac:dyDescent="0.2">
      <c r="A574" s="38"/>
      <c r="B574" s="36" t="s">
        <v>183</v>
      </c>
      <c r="C574" s="38">
        <v>-1</v>
      </c>
      <c r="D574" s="38">
        <v>1</v>
      </c>
      <c r="E574" s="38">
        <v>2</v>
      </c>
      <c r="F574" s="38">
        <v>1.1000000000000001</v>
      </c>
      <c r="G574" s="38"/>
      <c r="H574" s="41">
        <f t="shared" si="15"/>
        <v>-2.2000000000000002</v>
      </c>
      <c r="I574" s="38"/>
      <c r="J574" s="60"/>
      <c r="K574" s="56"/>
    </row>
    <row r="575" spans="1:11" ht="20.05" customHeight="1" x14ac:dyDescent="0.2">
      <c r="A575" s="38"/>
      <c r="B575" s="36" t="s">
        <v>183</v>
      </c>
      <c r="C575" s="38">
        <v>-1</v>
      </c>
      <c r="D575" s="38">
        <v>1</v>
      </c>
      <c r="E575" s="38">
        <v>0.9</v>
      </c>
      <c r="F575" s="38">
        <v>1.1000000000000001</v>
      </c>
      <c r="G575" s="38"/>
      <c r="H575" s="41">
        <f t="shared" si="15"/>
        <v>-0.9900000000000001</v>
      </c>
      <c r="I575" s="38"/>
      <c r="J575" s="60"/>
      <c r="K575" s="56"/>
    </row>
    <row r="576" spans="1:11" ht="20.05" customHeight="1" x14ac:dyDescent="0.2">
      <c r="A576" s="38"/>
      <c r="B576" s="36" t="s">
        <v>183</v>
      </c>
      <c r="C576" s="38">
        <v>-1</v>
      </c>
      <c r="D576" s="38">
        <v>1</v>
      </c>
      <c r="E576" s="38">
        <v>1.2</v>
      </c>
      <c r="F576" s="38">
        <v>1.1000000000000001</v>
      </c>
      <c r="G576" s="38"/>
      <c r="H576" s="41">
        <f t="shared" si="15"/>
        <v>-1.32</v>
      </c>
      <c r="I576" s="38"/>
      <c r="J576" s="60"/>
      <c r="K576" s="56"/>
    </row>
    <row r="577" spans="1:11" ht="20.05" customHeight="1" x14ac:dyDescent="0.2">
      <c r="A577" s="38"/>
      <c r="B577" s="36" t="s">
        <v>190</v>
      </c>
      <c r="C577" s="38">
        <v>-1</v>
      </c>
      <c r="D577" s="38">
        <v>2</v>
      </c>
      <c r="E577" s="38">
        <v>15.05</v>
      </c>
      <c r="F577" s="38">
        <v>1.5</v>
      </c>
      <c r="G577" s="38"/>
      <c r="H577" s="41">
        <f t="shared" si="15"/>
        <v>-45.150000000000006</v>
      </c>
      <c r="I577" s="38"/>
      <c r="J577" s="60"/>
      <c r="K577" s="56"/>
    </row>
    <row r="578" spans="1:11" ht="20.05" customHeight="1" x14ac:dyDescent="0.2">
      <c r="A578" s="38"/>
      <c r="B578" s="36" t="s">
        <v>40</v>
      </c>
      <c r="C578" s="38">
        <v>1</v>
      </c>
      <c r="D578" s="38">
        <v>2</v>
      </c>
      <c r="E578" s="38">
        <v>2.4</v>
      </c>
      <c r="F578" s="38">
        <v>3.5</v>
      </c>
      <c r="G578" s="38"/>
      <c r="H578" s="41">
        <f t="shared" si="15"/>
        <v>16.8</v>
      </c>
      <c r="I578" s="38"/>
      <c r="J578" s="60"/>
      <c r="K578" s="56"/>
    </row>
    <row r="579" spans="1:11" ht="20.05" customHeight="1" x14ac:dyDescent="0.2">
      <c r="A579" s="38"/>
      <c r="B579" s="36"/>
      <c r="C579" s="38">
        <v>1</v>
      </c>
      <c r="D579" s="38">
        <v>2</v>
      </c>
      <c r="E579" s="38">
        <v>15.05</v>
      </c>
      <c r="F579" s="38">
        <v>3.5</v>
      </c>
      <c r="G579" s="38"/>
      <c r="H579" s="41">
        <f t="shared" si="15"/>
        <v>105.35000000000001</v>
      </c>
      <c r="I579" s="38"/>
      <c r="J579" s="60"/>
      <c r="K579" s="56"/>
    </row>
    <row r="580" spans="1:11" ht="20.05" customHeight="1" x14ac:dyDescent="0.2">
      <c r="A580" s="38"/>
      <c r="B580" s="36" t="s">
        <v>183</v>
      </c>
      <c r="C580" s="38">
        <v>-1</v>
      </c>
      <c r="D580" s="38">
        <v>2</v>
      </c>
      <c r="E580" s="38">
        <v>1</v>
      </c>
      <c r="F580" s="38">
        <v>1.1000000000000001</v>
      </c>
      <c r="G580" s="38"/>
      <c r="H580" s="41">
        <f t="shared" si="15"/>
        <v>-2.2000000000000002</v>
      </c>
      <c r="I580" s="38"/>
      <c r="J580" s="60"/>
      <c r="K580" s="56"/>
    </row>
    <row r="581" spans="1:11" ht="20.05" customHeight="1" x14ac:dyDescent="0.2">
      <c r="A581" s="38"/>
      <c r="B581" s="36" t="s">
        <v>190</v>
      </c>
      <c r="C581" s="38">
        <v>-1</v>
      </c>
      <c r="D581" s="38">
        <v>2</v>
      </c>
      <c r="E581" s="38">
        <v>15.05</v>
      </c>
      <c r="F581" s="38">
        <v>1.5</v>
      </c>
      <c r="G581" s="38"/>
      <c r="H581" s="41">
        <f t="shared" si="15"/>
        <v>-45.150000000000006</v>
      </c>
      <c r="I581" s="38"/>
      <c r="J581" s="60"/>
      <c r="K581" s="56"/>
    </row>
    <row r="582" spans="1:11" ht="20.05" customHeight="1" x14ac:dyDescent="0.2">
      <c r="A582" s="38"/>
      <c r="B582" s="36" t="s">
        <v>188</v>
      </c>
      <c r="C582" s="38">
        <v>-1</v>
      </c>
      <c r="D582" s="38">
        <v>2</v>
      </c>
      <c r="E582" s="38">
        <v>1.8</v>
      </c>
      <c r="F582" s="38">
        <v>1.2</v>
      </c>
      <c r="G582" s="38"/>
      <c r="H582" s="41">
        <f t="shared" si="15"/>
        <v>-4.32</v>
      </c>
      <c r="I582" s="38"/>
      <c r="J582" s="60"/>
      <c r="K582" s="56"/>
    </row>
    <row r="583" spans="1:11" ht="20.05" customHeight="1" x14ac:dyDescent="0.2">
      <c r="A583" s="38"/>
      <c r="B583" s="36" t="s">
        <v>41</v>
      </c>
      <c r="C583" s="38">
        <v>1</v>
      </c>
      <c r="D583" s="38">
        <v>2</v>
      </c>
      <c r="E583" s="38">
        <v>34.356000000000002</v>
      </c>
      <c r="F583" s="38">
        <v>3.5</v>
      </c>
      <c r="G583" s="38"/>
      <c r="H583" s="41">
        <f t="shared" si="15"/>
        <v>240.49200000000002</v>
      </c>
      <c r="I583" s="38"/>
      <c r="J583" s="60"/>
      <c r="K583" s="56"/>
    </row>
    <row r="584" spans="1:11" ht="20.05" customHeight="1" x14ac:dyDescent="0.2">
      <c r="A584" s="38"/>
      <c r="B584" s="36"/>
      <c r="C584" s="38">
        <v>1</v>
      </c>
      <c r="D584" s="38">
        <v>2</v>
      </c>
      <c r="E584" s="38">
        <v>2.4</v>
      </c>
      <c r="F584" s="38">
        <v>3.5</v>
      </c>
      <c r="G584" s="38"/>
      <c r="H584" s="41">
        <f t="shared" si="15"/>
        <v>16.8</v>
      </c>
      <c r="I584" s="38"/>
      <c r="J584" s="60"/>
      <c r="K584" s="56"/>
    </row>
    <row r="585" spans="1:11" ht="20.05" customHeight="1" x14ac:dyDescent="0.2">
      <c r="A585" s="38"/>
      <c r="B585" s="36" t="s">
        <v>183</v>
      </c>
      <c r="C585" s="38">
        <v>-1</v>
      </c>
      <c r="D585" s="38">
        <v>2</v>
      </c>
      <c r="E585" s="38">
        <v>0.9</v>
      </c>
      <c r="F585" s="38">
        <v>1.1000000000000001</v>
      </c>
      <c r="G585" s="38"/>
      <c r="H585" s="41">
        <f t="shared" si="15"/>
        <v>-1.9800000000000002</v>
      </c>
      <c r="I585" s="38"/>
      <c r="J585" s="60"/>
      <c r="K585" s="56"/>
    </row>
    <row r="586" spans="1:11" ht="20.05" customHeight="1" x14ac:dyDescent="0.2">
      <c r="A586" s="38"/>
      <c r="B586" s="36" t="s">
        <v>183</v>
      </c>
      <c r="C586" s="38">
        <v>-1</v>
      </c>
      <c r="D586" s="38">
        <v>6</v>
      </c>
      <c r="E586" s="38">
        <v>1</v>
      </c>
      <c r="F586" s="38">
        <v>1.1000000000000001</v>
      </c>
      <c r="G586" s="38"/>
      <c r="H586" s="41">
        <f t="shared" si="15"/>
        <v>-6.6000000000000005</v>
      </c>
      <c r="I586" s="38"/>
      <c r="J586" s="60"/>
      <c r="K586" s="56"/>
    </row>
    <row r="587" spans="1:11" ht="20.05" customHeight="1" x14ac:dyDescent="0.2">
      <c r="A587" s="38"/>
      <c r="B587" s="36" t="s">
        <v>183</v>
      </c>
      <c r="C587" s="38">
        <v>-1</v>
      </c>
      <c r="D587" s="38">
        <v>4</v>
      </c>
      <c r="E587" s="38">
        <v>2</v>
      </c>
      <c r="F587" s="38">
        <v>1.1000000000000001</v>
      </c>
      <c r="G587" s="38"/>
      <c r="H587" s="41">
        <f t="shared" si="15"/>
        <v>-8.8000000000000007</v>
      </c>
      <c r="I587" s="38"/>
      <c r="J587" s="60"/>
      <c r="K587" s="56"/>
    </row>
    <row r="588" spans="1:11" ht="20.05" customHeight="1" x14ac:dyDescent="0.2">
      <c r="A588" s="38"/>
      <c r="B588" s="36" t="s">
        <v>183</v>
      </c>
      <c r="C588" s="38">
        <v>-1</v>
      </c>
      <c r="D588" s="38">
        <v>1</v>
      </c>
      <c r="E588" s="38">
        <v>3</v>
      </c>
      <c r="F588" s="38">
        <v>1.1000000000000001</v>
      </c>
      <c r="G588" s="38"/>
      <c r="H588" s="41">
        <f t="shared" si="15"/>
        <v>-3.3000000000000003</v>
      </c>
      <c r="I588" s="38"/>
      <c r="J588" s="60"/>
      <c r="K588" s="56"/>
    </row>
    <row r="589" spans="1:11" ht="20.05" customHeight="1" x14ac:dyDescent="0.2">
      <c r="A589" s="38"/>
      <c r="B589" s="36" t="s">
        <v>185</v>
      </c>
      <c r="C589" s="38">
        <v>-1</v>
      </c>
      <c r="D589" s="38">
        <v>1</v>
      </c>
      <c r="E589" s="38">
        <v>2.4</v>
      </c>
      <c r="F589" s="38">
        <v>1.1000000000000001</v>
      </c>
      <c r="G589" s="38"/>
      <c r="H589" s="41">
        <f t="shared" si="15"/>
        <v>-2.64</v>
      </c>
      <c r="I589" s="38"/>
      <c r="J589" s="60"/>
      <c r="K589" s="56"/>
    </row>
    <row r="590" spans="1:11" ht="20.05" customHeight="1" x14ac:dyDescent="0.2">
      <c r="A590" s="38"/>
      <c r="B590" s="36" t="s">
        <v>183</v>
      </c>
      <c r="C590" s="38">
        <v>-1</v>
      </c>
      <c r="D590" s="38">
        <v>1</v>
      </c>
      <c r="E590" s="38">
        <v>1.6</v>
      </c>
      <c r="F590" s="38">
        <v>1.1000000000000001</v>
      </c>
      <c r="G590" s="38"/>
      <c r="H590" s="41">
        <f t="shared" si="15"/>
        <v>-1.7600000000000002</v>
      </c>
      <c r="I590" s="38"/>
      <c r="J590" s="60"/>
      <c r="K590" s="56"/>
    </row>
    <row r="591" spans="1:11" ht="20.05" customHeight="1" x14ac:dyDescent="0.2">
      <c r="A591" s="38"/>
      <c r="B591" s="36" t="s">
        <v>190</v>
      </c>
      <c r="C591" s="38">
        <v>-1</v>
      </c>
      <c r="D591" s="38">
        <v>2</v>
      </c>
      <c r="E591" s="38">
        <v>34.36</v>
      </c>
      <c r="F591" s="38">
        <v>1.5</v>
      </c>
      <c r="G591" s="38"/>
      <c r="H591" s="41">
        <f t="shared" si="15"/>
        <v>-103.08</v>
      </c>
      <c r="I591" s="38"/>
      <c r="J591" s="60"/>
      <c r="K591" s="56"/>
    </row>
    <row r="592" spans="1:11" ht="20.05" customHeight="1" x14ac:dyDescent="0.2">
      <c r="A592" s="38"/>
      <c r="B592" s="36" t="s">
        <v>190</v>
      </c>
      <c r="C592" s="38">
        <v>-1</v>
      </c>
      <c r="D592" s="38">
        <v>2</v>
      </c>
      <c r="E592" s="38">
        <v>2.4</v>
      </c>
      <c r="F592" s="38">
        <v>1.5</v>
      </c>
      <c r="G592" s="38"/>
      <c r="H592" s="41">
        <f t="shared" si="15"/>
        <v>-7.1999999999999993</v>
      </c>
      <c r="I592" s="38"/>
      <c r="J592" s="60"/>
      <c r="K592" s="56"/>
    </row>
    <row r="593" spans="1:11" ht="20.05" customHeight="1" x14ac:dyDescent="0.2">
      <c r="A593" s="38"/>
      <c r="B593" s="36" t="s">
        <v>188</v>
      </c>
      <c r="C593" s="38">
        <v>-1</v>
      </c>
      <c r="D593" s="38">
        <v>1</v>
      </c>
      <c r="E593" s="38">
        <v>1.8</v>
      </c>
      <c r="F593" s="38">
        <v>1.2</v>
      </c>
      <c r="G593" s="38"/>
      <c r="H593" s="41">
        <f t="shared" si="15"/>
        <v>-2.16</v>
      </c>
      <c r="I593" s="38"/>
      <c r="J593" s="60"/>
      <c r="K593" s="56"/>
    </row>
    <row r="594" spans="1:11" ht="20.05" customHeight="1" x14ac:dyDescent="0.2">
      <c r="A594" s="38"/>
      <c r="B594" s="36" t="s">
        <v>42</v>
      </c>
      <c r="C594" s="38">
        <v>1</v>
      </c>
      <c r="D594" s="38">
        <v>2</v>
      </c>
      <c r="E594" s="38">
        <v>7.5449999999999999</v>
      </c>
      <c r="F594" s="38">
        <v>3.5</v>
      </c>
      <c r="G594" s="38"/>
      <c r="H594" s="41">
        <f t="shared" si="15"/>
        <v>52.814999999999998</v>
      </c>
      <c r="I594" s="38"/>
      <c r="J594" s="60"/>
      <c r="K594" s="56"/>
    </row>
    <row r="595" spans="1:11" ht="20.05" customHeight="1" x14ac:dyDescent="0.2">
      <c r="A595" s="38"/>
      <c r="B595" s="36" t="s">
        <v>190</v>
      </c>
      <c r="C595" s="38">
        <v>-1</v>
      </c>
      <c r="D595" s="38">
        <v>2</v>
      </c>
      <c r="E595" s="38">
        <v>7.5449999999999999</v>
      </c>
      <c r="F595" s="38">
        <v>1.5</v>
      </c>
      <c r="G595" s="38"/>
      <c r="H595" s="41">
        <f t="shared" si="15"/>
        <v>-22.634999999999998</v>
      </c>
      <c r="I595" s="38"/>
      <c r="J595" s="60"/>
      <c r="K595" s="56"/>
    </row>
    <row r="596" spans="1:11" ht="20.05" customHeight="1" x14ac:dyDescent="0.2">
      <c r="A596" s="38"/>
      <c r="B596" s="36" t="s">
        <v>43</v>
      </c>
      <c r="C596" s="38">
        <v>1</v>
      </c>
      <c r="D596" s="38">
        <v>2</v>
      </c>
      <c r="E596" s="38">
        <v>35.65</v>
      </c>
      <c r="F596" s="38">
        <v>3.5</v>
      </c>
      <c r="G596" s="38"/>
      <c r="H596" s="41">
        <f t="shared" si="15"/>
        <v>249.54999999999998</v>
      </c>
      <c r="I596" s="38"/>
      <c r="J596" s="60"/>
      <c r="K596" s="56"/>
    </row>
    <row r="597" spans="1:11" ht="20.05" customHeight="1" x14ac:dyDescent="0.2">
      <c r="A597" s="38"/>
      <c r="B597" s="36"/>
      <c r="C597" s="38">
        <v>1</v>
      </c>
      <c r="D597" s="38">
        <v>1</v>
      </c>
      <c r="E597" s="38">
        <v>2.02</v>
      </c>
      <c r="F597" s="38">
        <v>3.5</v>
      </c>
      <c r="G597" s="38"/>
      <c r="H597" s="41">
        <f t="shared" si="15"/>
        <v>7.07</v>
      </c>
      <c r="I597" s="38"/>
      <c r="J597" s="60"/>
      <c r="K597" s="56"/>
    </row>
    <row r="598" spans="1:11" ht="20.05" customHeight="1" x14ac:dyDescent="0.2">
      <c r="A598" s="38"/>
      <c r="B598" s="36" t="s">
        <v>190</v>
      </c>
      <c r="C598" s="38">
        <v>-1</v>
      </c>
      <c r="D598" s="38">
        <v>2</v>
      </c>
      <c r="E598" s="38">
        <v>35.65</v>
      </c>
      <c r="F598" s="38">
        <v>1.5</v>
      </c>
      <c r="G598" s="38"/>
      <c r="H598" s="41">
        <f t="shared" si="15"/>
        <v>-106.94999999999999</v>
      </c>
      <c r="I598" s="38"/>
      <c r="J598" s="60"/>
      <c r="K598" s="56"/>
    </row>
    <row r="599" spans="1:11" ht="20.05" customHeight="1" x14ac:dyDescent="0.2">
      <c r="A599" s="38"/>
      <c r="B599" s="36" t="s">
        <v>190</v>
      </c>
      <c r="C599" s="38">
        <v>-1</v>
      </c>
      <c r="D599" s="38">
        <v>2</v>
      </c>
      <c r="E599" s="38">
        <v>2.02</v>
      </c>
      <c r="F599" s="38">
        <v>1.5</v>
      </c>
      <c r="G599" s="38"/>
      <c r="H599" s="41">
        <f t="shared" ref="H599:H600" si="16">PRODUCT(C599:F599)</f>
        <v>-6.0600000000000005</v>
      </c>
      <c r="I599" s="38"/>
      <c r="J599" s="60"/>
      <c r="K599" s="56"/>
    </row>
    <row r="600" spans="1:11" ht="20.05" customHeight="1" x14ac:dyDescent="0.2">
      <c r="A600" s="38"/>
      <c r="B600" s="36" t="s">
        <v>183</v>
      </c>
      <c r="C600" s="38">
        <v>-1</v>
      </c>
      <c r="D600" s="38">
        <v>1</v>
      </c>
      <c r="E600" s="38">
        <v>0.9</v>
      </c>
      <c r="F600" s="38">
        <v>1.1000000000000001</v>
      </c>
      <c r="G600" s="38"/>
      <c r="H600" s="41">
        <f t="shared" si="16"/>
        <v>-0.9900000000000001</v>
      </c>
      <c r="I600" s="38"/>
      <c r="J600" s="60"/>
      <c r="K600" s="56"/>
    </row>
    <row r="601" spans="1:11" ht="20.05" customHeight="1" x14ac:dyDescent="0.2">
      <c r="A601" s="38"/>
      <c r="B601" s="36"/>
      <c r="C601" s="38"/>
      <c r="D601" s="38"/>
      <c r="E601" s="38"/>
      <c r="F601" s="38"/>
      <c r="G601" s="38"/>
      <c r="H601" s="42">
        <f>SUM(H383:H600)</f>
        <v>2093.4000000000015</v>
      </c>
      <c r="I601" s="38" t="s">
        <v>154</v>
      </c>
      <c r="J601" s="60">
        <f>'C-Datas'!I309</f>
        <v>275</v>
      </c>
      <c r="K601" s="56">
        <f>ROUND(H601*J601,0)</f>
        <v>575685</v>
      </c>
    </row>
    <row r="602" spans="1:11" ht="57.1" customHeight="1" x14ac:dyDescent="0.2">
      <c r="A602" s="38">
        <v>15</v>
      </c>
      <c r="B602" s="122" t="s">
        <v>388</v>
      </c>
      <c r="C602" s="123"/>
      <c r="D602" s="123"/>
      <c r="E602" s="123"/>
      <c r="F602" s="123"/>
      <c r="G602" s="124"/>
      <c r="H602" s="38"/>
      <c r="I602" s="38"/>
      <c r="J602" s="60"/>
      <c r="K602" s="56"/>
    </row>
    <row r="603" spans="1:11" ht="20.05" customHeight="1" x14ac:dyDescent="0.2">
      <c r="A603" s="38"/>
      <c r="B603" s="36" t="s">
        <v>5</v>
      </c>
      <c r="C603" s="38">
        <v>1</v>
      </c>
      <c r="D603" s="38">
        <v>2</v>
      </c>
      <c r="E603" s="38">
        <v>4.13</v>
      </c>
      <c r="F603" s="38">
        <v>3</v>
      </c>
      <c r="G603" s="38"/>
      <c r="H603" s="41">
        <f t="shared" ref="H603:H690" si="17">PRODUCT(C603:F603)</f>
        <v>24.78</v>
      </c>
      <c r="I603" s="38"/>
      <c r="J603" s="60"/>
      <c r="K603" s="56"/>
    </row>
    <row r="604" spans="1:11" ht="20.05" customHeight="1" x14ac:dyDescent="0.2">
      <c r="A604" s="38"/>
      <c r="B604" s="36"/>
      <c r="C604" s="38">
        <v>1</v>
      </c>
      <c r="D604" s="38">
        <v>2</v>
      </c>
      <c r="E604" s="38">
        <v>7.6050000000000004</v>
      </c>
      <c r="F604" s="38">
        <v>3</v>
      </c>
      <c r="G604" s="38"/>
      <c r="H604" s="41">
        <f t="shared" si="17"/>
        <v>45.63</v>
      </c>
      <c r="I604" s="38"/>
      <c r="J604" s="60"/>
      <c r="K604" s="56"/>
    </row>
    <row r="605" spans="1:11" ht="20.05" customHeight="1" x14ac:dyDescent="0.2">
      <c r="A605" s="38"/>
      <c r="B605" s="36" t="s">
        <v>183</v>
      </c>
      <c r="C605" s="38">
        <v>-1</v>
      </c>
      <c r="D605" s="38">
        <v>1</v>
      </c>
      <c r="E605" s="38">
        <v>1</v>
      </c>
      <c r="F605" s="38">
        <v>2.6</v>
      </c>
      <c r="G605" s="38"/>
      <c r="H605" s="41">
        <f t="shared" si="17"/>
        <v>-2.6</v>
      </c>
      <c r="I605" s="38"/>
      <c r="J605" s="60"/>
      <c r="K605" s="56"/>
    </row>
    <row r="606" spans="1:11" ht="20.05" customHeight="1" x14ac:dyDescent="0.2">
      <c r="A606" s="38"/>
      <c r="B606" s="36" t="s">
        <v>188</v>
      </c>
      <c r="C606" s="38">
        <v>-1</v>
      </c>
      <c r="D606" s="38">
        <v>2</v>
      </c>
      <c r="E606" s="38">
        <v>1.8</v>
      </c>
      <c r="F606" s="38">
        <v>1.8</v>
      </c>
      <c r="G606" s="38"/>
      <c r="H606" s="41">
        <f t="shared" si="17"/>
        <v>-6.48</v>
      </c>
      <c r="I606" s="38"/>
      <c r="J606" s="60"/>
      <c r="K606" s="56"/>
    </row>
    <row r="607" spans="1:11" ht="20.05" customHeight="1" x14ac:dyDescent="0.2">
      <c r="A607" s="38"/>
      <c r="B607" s="36" t="s">
        <v>188</v>
      </c>
      <c r="C607" s="38">
        <v>-1</v>
      </c>
      <c r="D607" s="38">
        <v>2</v>
      </c>
      <c r="E607" s="38">
        <v>1.5</v>
      </c>
      <c r="F607" s="38">
        <v>1.8</v>
      </c>
      <c r="G607" s="38"/>
      <c r="H607" s="41">
        <f t="shared" si="17"/>
        <v>-5.4</v>
      </c>
      <c r="I607" s="38"/>
      <c r="J607" s="60"/>
      <c r="K607" s="56"/>
    </row>
    <row r="608" spans="1:11" ht="20.05" customHeight="1" x14ac:dyDescent="0.2">
      <c r="A608" s="38"/>
      <c r="B608" s="36" t="s">
        <v>44</v>
      </c>
      <c r="C608" s="38">
        <v>1</v>
      </c>
      <c r="D608" s="38">
        <v>2</v>
      </c>
      <c r="E608" s="38">
        <v>6.3949999999999996</v>
      </c>
      <c r="F608" s="38">
        <v>3</v>
      </c>
      <c r="G608" s="38"/>
      <c r="H608" s="41">
        <f t="shared" si="17"/>
        <v>38.369999999999997</v>
      </c>
      <c r="I608" s="38"/>
      <c r="J608" s="60"/>
      <c r="K608" s="56"/>
    </row>
    <row r="609" spans="1:11" ht="20.05" customHeight="1" x14ac:dyDescent="0.2">
      <c r="A609" s="38"/>
      <c r="B609" s="36"/>
      <c r="C609" s="38">
        <v>1</v>
      </c>
      <c r="D609" s="38">
        <v>2</v>
      </c>
      <c r="E609" s="38">
        <v>6</v>
      </c>
      <c r="F609" s="38">
        <v>3</v>
      </c>
      <c r="G609" s="38"/>
      <c r="H609" s="41">
        <f t="shared" si="17"/>
        <v>36</v>
      </c>
      <c r="I609" s="38"/>
      <c r="J609" s="60"/>
      <c r="K609" s="56"/>
    </row>
    <row r="610" spans="1:11" ht="20.05" customHeight="1" x14ac:dyDescent="0.2">
      <c r="A610" s="38"/>
      <c r="B610" s="36" t="s">
        <v>183</v>
      </c>
      <c r="C610" s="38">
        <v>-1</v>
      </c>
      <c r="D610" s="38">
        <v>1</v>
      </c>
      <c r="E610" s="38">
        <v>1.2</v>
      </c>
      <c r="F610" s="38">
        <v>2.6</v>
      </c>
      <c r="G610" s="38"/>
      <c r="H610" s="41">
        <f t="shared" si="17"/>
        <v>-3.12</v>
      </c>
      <c r="I610" s="38"/>
      <c r="J610" s="60"/>
      <c r="K610" s="56"/>
    </row>
    <row r="611" spans="1:11" ht="20.05" customHeight="1" x14ac:dyDescent="0.2">
      <c r="A611" s="38"/>
      <c r="B611" s="36" t="s">
        <v>25</v>
      </c>
      <c r="C611" s="38">
        <v>1</v>
      </c>
      <c r="D611" s="38">
        <v>2</v>
      </c>
      <c r="E611" s="38">
        <v>2.4</v>
      </c>
      <c r="F611" s="38">
        <v>3</v>
      </c>
      <c r="G611" s="38"/>
      <c r="H611" s="41">
        <f t="shared" si="17"/>
        <v>14.399999999999999</v>
      </c>
      <c r="I611" s="38"/>
      <c r="J611" s="60"/>
      <c r="K611" s="56"/>
    </row>
    <row r="612" spans="1:11" ht="20.05" customHeight="1" x14ac:dyDescent="0.2">
      <c r="A612" s="38"/>
      <c r="B612" s="36"/>
      <c r="C612" s="38">
        <v>1</v>
      </c>
      <c r="D612" s="38">
        <v>2</v>
      </c>
      <c r="E612" s="38">
        <v>3.7149999999999999</v>
      </c>
      <c r="F612" s="38">
        <v>3</v>
      </c>
      <c r="G612" s="38"/>
      <c r="H612" s="41">
        <f t="shared" si="17"/>
        <v>22.29</v>
      </c>
      <c r="I612" s="38"/>
      <c r="J612" s="60"/>
      <c r="K612" s="56"/>
    </row>
    <row r="613" spans="1:11" ht="20.05" customHeight="1" x14ac:dyDescent="0.2">
      <c r="A613" s="38"/>
      <c r="B613" s="36" t="s">
        <v>183</v>
      </c>
      <c r="C613" s="38">
        <v>-1</v>
      </c>
      <c r="D613" s="38">
        <v>1</v>
      </c>
      <c r="E613" s="38">
        <v>1</v>
      </c>
      <c r="F613" s="38">
        <v>1.1000000000000001</v>
      </c>
      <c r="G613" s="38"/>
      <c r="H613" s="41">
        <f t="shared" si="17"/>
        <v>-1.1000000000000001</v>
      </c>
      <c r="I613" s="38"/>
      <c r="J613" s="60"/>
      <c r="K613" s="56"/>
    </row>
    <row r="614" spans="1:11" ht="20.05" customHeight="1" x14ac:dyDescent="0.2">
      <c r="A614" s="38"/>
      <c r="B614" s="36" t="s">
        <v>190</v>
      </c>
      <c r="C614" s="38">
        <v>-1</v>
      </c>
      <c r="D614" s="38">
        <v>2</v>
      </c>
      <c r="E614" s="38">
        <v>2.4</v>
      </c>
      <c r="F614" s="38">
        <v>1.5</v>
      </c>
      <c r="G614" s="38"/>
      <c r="H614" s="41">
        <f t="shared" si="17"/>
        <v>-7.1999999999999993</v>
      </c>
      <c r="I614" s="38"/>
      <c r="J614" s="60"/>
      <c r="K614" s="56"/>
    </row>
    <row r="615" spans="1:11" ht="20.05" customHeight="1" x14ac:dyDescent="0.2">
      <c r="A615" s="38"/>
      <c r="B615" s="36" t="s">
        <v>190</v>
      </c>
      <c r="C615" s="38">
        <v>-1</v>
      </c>
      <c r="D615" s="38">
        <v>2</v>
      </c>
      <c r="E615" s="38">
        <v>3.7149999999999999</v>
      </c>
      <c r="F615" s="38">
        <v>1.5</v>
      </c>
      <c r="G615" s="38"/>
      <c r="H615" s="41">
        <f t="shared" si="17"/>
        <v>-11.145</v>
      </c>
      <c r="I615" s="38"/>
      <c r="J615" s="60"/>
      <c r="K615" s="56"/>
    </row>
    <row r="616" spans="1:11" ht="20.05" customHeight="1" x14ac:dyDescent="0.2">
      <c r="A616" s="38"/>
      <c r="B616" s="36" t="s">
        <v>112</v>
      </c>
      <c r="C616" s="38">
        <v>1</v>
      </c>
      <c r="D616" s="38">
        <v>2</v>
      </c>
      <c r="E616" s="38">
        <v>2.4</v>
      </c>
      <c r="F616" s="38">
        <v>3</v>
      </c>
      <c r="G616" s="38"/>
      <c r="H616" s="41">
        <f t="shared" si="17"/>
        <v>14.399999999999999</v>
      </c>
      <c r="I616" s="38"/>
      <c r="J616" s="60"/>
      <c r="K616" s="56"/>
    </row>
    <row r="617" spans="1:11" ht="20.05" customHeight="1" x14ac:dyDescent="0.2">
      <c r="A617" s="38"/>
      <c r="B617" s="36"/>
      <c r="C617" s="38">
        <v>1</v>
      </c>
      <c r="D617" s="38">
        <v>2</v>
      </c>
      <c r="E617" s="38">
        <v>2.4</v>
      </c>
      <c r="F617" s="38">
        <v>3</v>
      </c>
      <c r="G617" s="38"/>
      <c r="H617" s="41">
        <f t="shared" si="17"/>
        <v>14.399999999999999</v>
      </c>
      <c r="I617" s="38"/>
      <c r="J617" s="60"/>
      <c r="K617" s="56"/>
    </row>
    <row r="618" spans="1:11" ht="20.05" customHeight="1" x14ac:dyDescent="0.2">
      <c r="A618" s="38"/>
      <c r="B618" s="36" t="s">
        <v>190</v>
      </c>
      <c r="C618" s="38">
        <v>-1</v>
      </c>
      <c r="D618" s="38">
        <v>2</v>
      </c>
      <c r="E618" s="38">
        <v>2.4</v>
      </c>
      <c r="F618" s="38">
        <v>1.5</v>
      </c>
      <c r="G618" s="38"/>
      <c r="H618" s="41">
        <f t="shared" si="17"/>
        <v>-7.1999999999999993</v>
      </c>
      <c r="I618" s="38"/>
      <c r="J618" s="60"/>
      <c r="K618" s="56"/>
    </row>
    <row r="619" spans="1:11" ht="20.05" customHeight="1" x14ac:dyDescent="0.2">
      <c r="A619" s="38"/>
      <c r="B619" s="36" t="s">
        <v>6</v>
      </c>
      <c r="C619" s="38">
        <v>1</v>
      </c>
      <c r="D619" s="38">
        <v>2</v>
      </c>
      <c r="E619" s="38">
        <v>3.085</v>
      </c>
      <c r="F619" s="38">
        <v>3</v>
      </c>
      <c r="G619" s="38"/>
      <c r="H619" s="41">
        <f t="shared" si="17"/>
        <v>18.509999999999998</v>
      </c>
      <c r="I619" s="38"/>
      <c r="J619" s="60"/>
      <c r="K619" s="56"/>
    </row>
    <row r="620" spans="1:11" ht="20.05" customHeight="1" x14ac:dyDescent="0.2">
      <c r="A620" s="38"/>
      <c r="B620" s="36"/>
      <c r="C620" s="38">
        <v>1</v>
      </c>
      <c r="D620" s="38">
        <v>2</v>
      </c>
      <c r="E620" s="38">
        <v>7.6050000000000004</v>
      </c>
      <c r="F620" s="38">
        <v>3</v>
      </c>
      <c r="G620" s="38"/>
      <c r="H620" s="41">
        <f t="shared" si="17"/>
        <v>45.63</v>
      </c>
      <c r="I620" s="38"/>
      <c r="J620" s="60"/>
      <c r="K620" s="56"/>
    </row>
    <row r="621" spans="1:11" ht="20.05" customHeight="1" x14ac:dyDescent="0.2">
      <c r="A621" s="38"/>
      <c r="B621" s="36" t="s">
        <v>183</v>
      </c>
      <c r="C621" s="38">
        <v>-1</v>
      </c>
      <c r="D621" s="38">
        <v>1</v>
      </c>
      <c r="E621" s="38">
        <v>1.2</v>
      </c>
      <c r="F621" s="38">
        <v>1.1000000000000001</v>
      </c>
      <c r="G621" s="38"/>
      <c r="H621" s="41">
        <f t="shared" si="17"/>
        <v>-1.32</v>
      </c>
      <c r="I621" s="38"/>
      <c r="J621" s="60"/>
      <c r="K621" s="56"/>
    </row>
    <row r="622" spans="1:11" ht="20.05" customHeight="1" x14ac:dyDescent="0.2">
      <c r="A622" s="38"/>
      <c r="B622" s="36" t="s">
        <v>188</v>
      </c>
      <c r="C622" s="38">
        <v>-1</v>
      </c>
      <c r="D622" s="38">
        <v>1</v>
      </c>
      <c r="E622" s="38">
        <v>1.8</v>
      </c>
      <c r="F622" s="38">
        <v>1.2</v>
      </c>
      <c r="G622" s="38"/>
      <c r="H622" s="41">
        <f t="shared" si="17"/>
        <v>-2.16</v>
      </c>
      <c r="I622" s="38"/>
      <c r="J622" s="60"/>
      <c r="K622" s="56"/>
    </row>
    <row r="623" spans="1:11" ht="20.05" customHeight="1" x14ac:dyDescent="0.2">
      <c r="A623" s="38"/>
      <c r="B623" s="36" t="s">
        <v>190</v>
      </c>
      <c r="C623" s="38">
        <v>-1</v>
      </c>
      <c r="D623" s="38">
        <v>2</v>
      </c>
      <c r="E623" s="38">
        <v>3.09</v>
      </c>
      <c r="F623" s="38">
        <v>1.5</v>
      </c>
      <c r="G623" s="38"/>
      <c r="H623" s="41">
        <f t="shared" si="17"/>
        <v>-9.27</v>
      </c>
      <c r="I623" s="38"/>
      <c r="J623" s="60"/>
      <c r="K623" s="56"/>
    </row>
    <row r="624" spans="1:11" ht="20.05" customHeight="1" x14ac:dyDescent="0.2">
      <c r="A624" s="38"/>
      <c r="B624" s="36" t="s">
        <v>190</v>
      </c>
      <c r="C624" s="38">
        <v>-1</v>
      </c>
      <c r="D624" s="38">
        <v>2</v>
      </c>
      <c r="E624" s="38">
        <v>7.6050000000000004</v>
      </c>
      <c r="F624" s="38">
        <v>1.5</v>
      </c>
      <c r="G624" s="38"/>
      <c r="H624" s="41">
        <f t="shared" si="17"/>
        <v>-22.815000000000001</v>
      </c>
      <c r="I624" s="38"/>
      <c r="J624" s="60"/>
      <c r="K624" s="56"/>
    </row>
    <row r="625" spans="1:11" ht="20.05" customHeight="1" x14ac:dyDescent="0.2">
      <c r="A625" s="38"/>
      <c r="B625" s="36" t="s">
        <v>7</v>
      </c>
      <c r="C625" s="38">
        <v>1</v>
      </c>
      <c r="D625" s="38">
        <v>2</v>
      </c>
      <c r="E625" s="38">
        <v>8.6449999999999996</v>
      </c>
      <c r="F625" s="38">
        <v>3</v>
      </c>
      <c r="G625" s="38"/>
      <c r="H625" s="41">
        <f t="shared" si="17"/>
        <v>51.87</v>
      </c>
      <c r="I625" s="38"/>
      <c r="J625" s="60"/>
      <c r="K625" s="56"/>
    </row>
    <row r="626" spans="1:11" ht="20.05" customHeight="1" x14ac:dyDescent="0.2">
      <c r="A626" s="38"/>
      <c r="B626" s="36"/>
      <c r="C626" s="38">
        <v>1</v>
      </c>
      <c r="D626" s="38">
        <v>2</v>
      </c>
      <c r="E626" s="38">
        <v>7.6050000000000004</v>
      </c>
      <c r="F626" s="38">
        <v>3</v>
      </c>
      <c r="G626" s="38"/>
      <c r="H626" s="41">
        <f t="shared" si="17"/>
        <v>45.63</v>
      </c>
      <c r="I626" s="38"/>
      <c r="J626" s="60"/>
      <c r="K626" s="56"/>
    </row>
    <row r="627" spans="1:11" ht="20.05" customHeight="1" x14ac:dyDescent="0.2">
      <c r="A627" s="38"/>
      <c r="B627" s="36" t="s">
        <v>183</v>
      </c>
      <c r="C627" s="38">
        <v>-1</v>
      </c>
      <c r="D627" s="38">
        <v>1</v>
      </c>
      <c r="E627" s="38">
        <v>1.8</v>
      </c>
      <c r="F627" s="38">
        <v>1.1000000000000001</v>
      </c>
      <c r="G627" s="38"/>
      <c r="H627" s="41">
        <f t="shared" si="17"/>
        <v>-1.9800000000000002</v>
      </c>
      <c r="I627" s="38"/>
      <c r="J627" s="60"/>
      <c r="K627" s="56"/>
    </row>
    <row r="628" spans="1:11" ht="20.05" customHeight="1" x14ac:dyDescent="0.2">
      <c r="A628" s="38"/>
      <c r="B628" s="36" t="s">
        <v>188</v>
      </c>
      <c r="C628" s="38">
        <v>-1</v>
      </c>
      <c r="D628" s="38">
        <v>1</v>
      </c>
      <c r="E628" s="38">
        <v>1.8</v>
      </c>
      <c r="F628" s="38">
        <v>1.2</v>
      </c>
      <c r="G628" s="38"/>
      <c r="H628" s="41">
        <f t="shared" si="17"/>
        <v>-2.16</v>
      </c>
      <c r="I628" s="38"/>
      <c r="J628" s="60"/>
      <c r="K628" s="56"/>
    </row>
    <row r="629" spans="1:11" ht="20.05" customHeight="1" x14ac:dyDescent="0.2">
      <c r="A629" s="38"/>
      <c r="B629" s="36" t="s">
        <v>188</v>
      </c>
      <c r="C629" s="38">
        <v>-1</v>
      </c>
      <c r="D629" s="38">
        <v>4</v>
      </c>
      <c r="E629" s="38">
        <v>1.5</v>
      </c>
      <c r="F629" s="38">
        <v>1.2</v>
      </c>
      <c r="G629" s="38"/>
      <c r="H629" s="41">
        <f t="shared" si="17"/>
        <v>-7.1999999999999993</v>
      </c>
      <c r="I629" s="38"/>
      <c r="J629" s="60"/>
      <c r="K629" s="56"/>
    </row>
    <row r="630" spans="1:11" ht="20.05" customHeight="1" x14ac:dyDescent="0.2">
      <c r="A630" s="38"/>
      <c r="B630" s="36" t="s">
        <v>190</v>
      </c>
      <c r="C630" s="38">
        <v>-1</v>
      </c>
      <c r="D630" s="38">
        <v>2</v>
      </c>
      <c r="E630" s="38">
        <v>8.65</v>
      </c>
      <c r="F630" s="38">
        <v>1.5</v>
      </c>
      <c r="G630" s="38"/>
      <c r="H630" s="41">
        <f t="shared" si="17"/>
        <v>-25.950000000000003</v>
      </c>
      <c r="I630" s="38"/>
      <c r="J630" s="60"/>
      <c r="K630" s="56"/>
    </row>
    <row r="631" spans="1:11" ht="20.05" customHeight="1" x14ac:dyDescent="0.2">
      <c r="A631" s="38"/>
      <c r="B631" s="36" t="s">
        <v>190</v>
      </c>
      <c r="C631" s="38">
        <v>-1</v>
      </c>
      <c r="D631" s="38">
        <v>2</v>
      </c>
      <c r="E631" s="38">
        <v>7.6050000000000004</v>
      </c>
      <c r="F631" s="38">
        <v>1.5</v>
      </c>
      <c r="G631" s="38"/>
      <c r="H631" s="41">
        <f t="shared" si="17"/>
        <v>-22.815000000000001</v>
      </c>
      <c r="I631" s="38"/>
      <c r="J631" s="60"/>
      <c r="K631" s="56"/>
    </row>
    <row r="632" spans="1:11" ht="20.05" customHeight="1" x14ac:dyDescent="0.2">
      <c r="A632" s="38"/>
      <c r="B632" s="36" t="s">
        <v>118</v>
      </c>
      <c r="C632" s="38">
        <v>1</v>
      </c>
      <c r="D632" s="38">
        <v>2</v>
      </c>
      <c r="E632" s="38">
        <v>1.5</v>
      </c>
      <c r="F632" s="38">
        <v>3</v>
      </c>
      <c r="G632" s="38"/>
      <c r="H632" s="41">
        <f t="shared" si="17"/>
        <v>9</v>
      </c>
      <c r="I632" s="38"/>
      <c r="J632" s="60"/>
      <c r="K632" s="56"/>
    </row>
    <row r="633" spans="1:11" ht="20.05" customHeight="1" x14ac:dyDescent="0.2">
      <c r="A633" s="38"/>
      <c r="B633" s="36"/>
      <c r="C633" s="38">
        <v>1</v>
      </c>
      <c r="D633" s="38">
        <v>2</v>
      </c>
      <c r="E633" s="38">
        <v>1.8</v>
      </c>
      <c r="F633" s="38">
        <v>3</v>
      </c>
      <c r="G633" s="38"/>
      <c r="H633" s="41">
        <f t="shared" si="17"/>
        <v>10.8</v>
      </c>
      <c r="I633" s="38"/>
      <c r="J633" s="60"/>
      <c r="K633" s="56"/>
    </row>
    <row r="634" spans="1:11" ht="20.05" customHeight="1" x14ac:dyDescent="0.2">
      <c r="A634" s="38"/>
      <c r="B634" s="36" t="s">
        <v>189</v>
      </c>
      <c r="C634" s="38">
        <v>-1</v>
      </c>
      <c r="D634" s="38">
        <v>1</v>
      </c>
      <c r="E634" s="38">
        <v>0.6</v>
      </c>
      <c r="F634" s="38">
        <v>0.6</v>
      </c>
      <c r="G634" s="38"/>
      <c r="H634" s="41">
        <f t="shared" si="17"/>
        <v>-0.36</v>
      </c>
      <c r="I634" s="38"/>
      <c r="J634" s="60"/>
      <c r="K634" s="56"/>
    </row>
    <row r="635" spans="1:11" ht="20.05" customHeight="1" x14ac:dyDescent="0.2">
      <c r="A635" s="38"/>
      <c r="B635" s="36" t="s">
        <v>190</v>
      </c>
      <c r="C635" s="38">
        <v>-1</v>
      </c>
      <c r="D635" s="38">
        <v>2</v>
      </c>
      <c r="E635" s="38">
        <v>1.5</v>
      </c>
      <c r="F635" s="38">
        <v>2.1</v>
      </c>
      <c r="G635" s="38"/>
      <c r="H635" s="41">
        <f t="shared" si="17"/>
        <v>-6.3000000000000007</v>
      </c>
      <c r="I635" s="38"/>
      <c r="J635" s="60"/>
      <c r="K635" s="56"/>
    </row>
    <row r="636" spans="1:11" ht="20.05" customHeight="1" x14ac:dyDescent="0.2">
      <c r="A636" s="38"/>
      <c r="B636" s="36" t="s">
        <v>190</v>
      </c>
      <c r="C636" s="38">
        <v>-1</v>
      </c>
      <c r="D636" s="38">
        <v>2</v>
      </c>
      <c r="E636" s="38">
        <v>1.8</v>
      </c>
      <c r="F636" s="38">
        <v>2.1</v>
      </c>
      <c r="G636" s="38"/>
      <c r="H636" s="41">
        <f t="shared" si="17"/>
        <v>-7.5600000000000005</v>
      </c>
      <c r="I636" s="38"/>
      <c r="J636" s="60"/>
      <c r="K636" s="56"/>
    </row>
    <row r="637" spans="1:11" ht="20.05" customHeight="1" x14ac:dyDescent="0.2">
      <c r="A637" s="38"/>
      <c r="B637" s="36" t="s">
        <v>8</v>
      </c>
      <c r="C637" s="38">
        <v>1</v>
      </c>
      <c r="D637" s="38">
        <v>2</v>
      </c>
      <c r="E637" s="38">
        <v>2.875</v>
      </c>
      <c r="F637" s="38">
        <v>3</v>
      </c>
      <c r="G637" s="38"/>
      <c r="H637" s="41">
        <f t="shared" si="17"/>
        <v>17.25</v>
      </c>
      <c r="I637" s="38"/>
      <c r="J637" s="60"/>
      <c r="K637" s="56"/>
    </row>
    <row r="638" spans="1:11" ht="20.05" customHeight="1" x14ac:dyDescent="0.2">
      <c r="A638" s="38"/>
      <c r="B638" s="36"/>
      <c r="C638" s="38">
        <v>1</v>
      </c>
      <c r="D638" s="38">
        <v>2</v>
      </c>
      <c r="E638" s="38">
        <v>5.52</v>
      </c>
      <c r="F638" s="38">
        <v>3</v>
      </c>
      <c r="G638" s="38"/>
      <c r="H638" s="41">
        <f t="shared" si="17"/>
        <v>33.119999999999997</v>
      </c>
      <c r="I638" s="38"/>
      <c r="J638" s="60"/>
      <c r="K638" s="56"/>
    </row>
    <row r="639" spans="1:11" ht="20.05" customHeight="1" x14ac:dyDescent="0.2">
      <c r="A639" s="38"/>
      <c r="B639" s="36" t="s">
        <v>183</v>
      </c>
      <c r="C639" s="38">
        <v>-1</v>
      </c>
      <c r="D639" s="38">
        <v>1</v>
      </c>
      <c r="E639" s="38">
        <v>1</v>
      </c>
      <c r="F639" s="38">
        <v>2.6</v>
      </c>
      <c r="G639" s="38"/>
      <c r="H639" s="41">
        <f t="shared" si="17"/>
        <v>-2.6</v>
      </c>
      <c r="I639" s="38"/>
      <c r="J639" s="60"/>
      <c r="K639" s="56"/>
    </row>
    <row r="640" spans="1:11" ht="20.05" customHeight="1" x14ac:dyDescent="0.2">
      <c r="A640" s="38"/>
      <c r="B640" s="36" t="s">
        <v>188</v>
      </c>
      <c r="C640" s="38">
        <v>-1</v>
      </c>
      <c r="D640" s="38">
        <v>1</v>
      </c>
      <c r="E640" s="38">
        <v>1.2</v>
      </c>
      <c r="F640" s="38">
        <v>2.6</v>
      </c>
      <c r="G640" s="38"/>
      <c r="H640" s="41">
        <f t="shared" si="17"/>
        <v>-3.12</v>
      </c>
      <c r="I640" s="38"/>
      <c r="J640" s="60"/>
      <c r="K640" s="56"/>
    </row>
    <row r="641" spans="1:11" ht="20.05" customHeight="1" x14ac:dyDescent="0.2">
      <c r="A641" s="38"/>
      <c r="B641" s="36" t="s">
        <v>12</v>
      </c>
      <c r="C641" s="38">
        <v>1</v>
      </c>
      <c r="D641" s="38">
        <v>2</v>
      </c>
      <c r="E641" s="38">
        <v>1.2</v>
      </c>
      <c r="F641" s="38">
        <v>3</v>
      </c>
      <c r="G641" s="38"/>
      <c r="H641" s="41">
        <f t="shared" si="17"/>
        <v>7.1999999999999993</v>
      </c>
      <c r="I641" s="38"/>
      <c r="J641" s="60"/>
      <c r="K641" s="56"/>
    </row>
    <row r="642" spans="1:11" ht="20.05" customHeight="1" x14ac:dyDescent="0.2">
      <c r="A642" s="38"/>
      <c r="B642" s="36"/>
      <c r="C642" s="38">
        <v>1</v>
      </c>
      <c r="D642" s="38">
        <v>2</v>
      </c>
      <c r="E642" s="38">
        <v>1.5</v>
      </c>
      <c r="F642" s="38">
        <v>3</v>
      </c>
      <c r="G642" s="38"/>
      <c r="H642" s="41">
        <f t="shared" si="17"/>
        <v>9</v>
      </c>
      <c r="I642" s="38"/>
      <c r="J642" s="60"/>
      <c r="K642" s="56"/>
    </row>
    <row r="643" spans="1:11" ht="20.05" customHeight="1" x14ac:dyDescent="0.2">
      <c r="A643" s="38"/>
      <c r="B643" s="36" t="s">
        <v>189</v>
      </c>
      <c r="C643" s="38">
        <v>-1</v>
      </c>
      <c r="D643" s="38">
        <v>1</v>
      </c>
      <c r="E643" s="38">
        <v>0.6</v>
      </c>
      <c r="F643" s="38">
        <v>0.6</v>
      </c>
      <c r="G643" s="38"/>
      <c r="H643" s="41">
        <f t="shared" si="17"/>
        <v>-0.36</v>
      </c>
      <c r="I643" s="38"/>
      <c r="J643" s="60"/>
      <c r="K643" s="56"/>
    </row>
    <row r="644" spans="1:11" ht="20.05" customHeight="1" x14ac:dyDescent="0.2">
      <c r="A644" s="38"/>
      <c r="B644" s="36" t="s">
        <v>190</v>
      </c>
      <c r="C644" s="38">
        <v>-1</v>
      </c>
      <c r="D644" s="38">
        <v>2</v>
      </c>
      <c r="E644" s="38">
        <v>1.2</v>
      </c>
      <c r="F644" s="38">
        <v>2.1</v>
      </c>
      <c r="G644" s="38"/>
      <c r="H644" s="41">
        <f t="shared" si="17"/>
        <v>-5.04</v>
      </c>
      <c r="I644" s="38"/>
      <c r="J644" s="60"/>
      <c r="K644" s="56"/>
    </row>
    <row r="645" spans="1:11" ht="20.05" customHeight="1" x14ac:dyDescent="0.2">
      <c r="A645" s="38"/>
      <c r="B645" s="36" t="s">
        <v>190</v>
      </c>
      <c r="C645" s="38">
        <v>-1</v>
      </c>
      <c r="D645" s="38">
        <v>2</v>
      </c>
      <c r="E645" s="38">
        <v>1.5</v>
      </c>
      <c r="F645" s="38">
        <v>2.1</v>
      </c>
      <c r="G645" s="38"/>
      <c r="H645" s="41">
        <f t="shared" si="17"/>
        <v>-6.3000000000000007</v>
      </c>
      <c r="I645" s="38"/>
      <c r="J645" s="60"/>
      <c r="K645" s="56"/>
    </row>
    <row r="646" spans="1:11" ht="20.05" customHeight="1" x14ac:dyDescent="0.2">
      <c r="A646" s="38"/>
      <c r="B646" s="36" t="s">
        <v>9</v>
      </c>
      <c r="C646" s="38">
        <v>1</v>
      </c>
      <c r="D646" s="38">
        <v>2</v>
      </c>
      <c r="E646" s="38">
        <v>2.875</v>
      </c>
      <c r="F646" s="38">
        <v>3</v>
      </c>
      <c r="G646" s="38"/>
      <c r="H646" s="41">
        <f t="shared" si="17"/>
        <v>17.25</v>
      </c>
      <c r="I646" s="38"/>
      <c r="J646" s="60"/>
      <c r="K646" s="56"/>
    </row>
    <row r="647" spans="1:11" ht="20.05" customHeight="1" x14ac:dyDescent="0.2">
      <c r="A647" s="38"/>
      <c r="B647" s="36"/>
      <c r="C647" s="38">
        <v>1</v>
      </c>
      <c r="D647" s="38">
        <v>2</v>
      </c>
      <c r="E647" s="38">
        <v>5.52</v>
      </c>
      <c r="F647" s="38">
        <v>3</v>
      </c>
      <c r="G647" s="38"/>
      <c r="H647" s="41">
        <f t="shared" si="17"/>
        <v>33.119999999999997</v>
      </c>
      <c r="I647" s="38"/>
      <c r="J647" s="60"/>
      <c r="K647" s="56"/>
    </row>
    <row r="648" spans="1:11" ht="20.05" customHeight="1" x14ac:dyDescent="0.2">
      <c r="A648" s="38"/>
      <c r="B648" s="36" t="s">
        <v>183</v>
      </c>
      <c r="C648" s="38">
        <v>-1</v>
      </c>
      <c r="D648" s="38">
        <v>1</v>
      </c>
      <c r="E648" s="38">
        <v>1</v>
      </c>
      <c r="F648" s="38">
        <v>2.6</v>
      </c>
      <c r="G648" s="38"/>
      <c r="H648" s="41">
        <f t="shared" si="17"/>
        <v>-2.6</v>
      </c>
      <c r="I648" s="38"/>
      <c r="J648" s="60"/>
      <c r="K648" s="56"/>
    </row>
    <row r="649" spans="1:11" ht="20.05" customHeight="1" x14ac:dyDescent="0.2">
      <c r="A649" s="38"/>
      <c r="B649" s="36" t="s">
        <v>188</v>
      </c>
      <c r="C649" s="38">
        <v>-1</v>
      </c>
      <c r="D649" s="38">
        <v>1</v>
      </c>
      <c r="E649" s="38">
        <v>1.2</v>
      </c>
      <c r="F649" s="38">
        <v>2.6</v>
      </c>
      <c r="G649" s="38"/>
      <c r="H649" s="41">
        <f t="shared" si="17"/>
        <v>-3.12</v>
      </c>
      <c r="I649" s="38"/>
      <c r="J649" s="60"/>
      <c r="K649" s="56"/>
    </row>
    <row r="650" spans="1:11" ht="20.05" customHeight="1" x14ac:dyDescent="0.2">
      <c r="A650" s="38"/>
      <c r="B650" s="36" t="s">
        <v>13</v>
      </c>
      <c r="C650" s="38">
        <v>1</v>
      </c>
      <c r="D650" s="38">
        <v>2</v>
      </c>
      <c r="E650" s="38">
        <v>1.2</v>
      </c>
      <c r="F650" s="38">
        <v>3</v>
      </c>
      <c r="G650" s="38"/>
      <c r="H650" s="41">
        <f t="shared" si="17"/>
        <v>7.1999999999999993</v>
      </c>
      <c r="I650" s="38"/>
      <c r="J650" s="60"/>
      <c r="K650" s="56"/>
    </row>
    <row r="651" spans="1:11" ht="20.05" customHeight="1" x14ac:dyDescent="0.2">
      <c r="A651" s="38"/>
      <c r="B651" s="36"/>
      <c r="C651" s="38">
        <v>1</v>
      </c>
      <c r="D651" s="38">
        <v>2</v>
      </c>
      <c r="E651" s="38">
        <v>1.5</v>
      </c>
      <c r="F651" s="38">
        <v>3</v>
      </c>
      <c r="G651" s="38"/>
      <c r="H651" s="41">
        <f t="shared" si="17"/>
        <v>9</v>
      </c>
      <c r="I651" s="38"/>
      <c r="J651" s="60"/>
      <c r="K651" s="56"/>
    </row>
    <row r="652" spans="1:11" ht="20.05" customHeight="1" x14ac:dyDescent="0.2">
      <c r="A652" s="38"/>
      <c r="B652" s="36" t="s">
        <v>189</v>
      </c>
      <c r="C652" s="38">
        <v>-1</v>
      </c>
      <c r="D652" s="38">
        <v>1</v>
      </c>
      <c r="E652" s="38">
        <v>0.6</v>
      </c>
      <c r="F652" s="38">
        <v>0.6</v>
      </c>
      <c r="G652" s="38"/>
      <c r="H652" s="41">
        <f t="shared" si="17"/>
        <v>-0.36</v>
      </c>
      <c r="I652" s="38"/>
      <c r="J652" s="60"/>
      <c r="K652" s="56"/>
    </row>
    <row r="653" spans="1:11" ht="20.05" customHeight="1" x14ac:dyDescent="0.2">
      <c r="A653" s="38"/>
      <c r="B653" s="36" t="s">
        <v>190</v>
      </c>
      <c r="C653" s="38">
        <v>-1</v>
      </c>
      <c r="D653" s="38">
        <v>2</v>
      </c>
      <c r="E653" s="38">
        <v>1.2</v>
      </c>
      <c r="F653" s="38">
        <v>2.1</v>
      </c>
      <c r="G653" s="38"/>
      <c r="H653" s="41">
        <f t="shared" si="17"/>
        <v>-5.04</v>
      </c>
      <c r="I653" s="38"/>
      <c r="J653" s="60"/>
      <c r="K653" s="56"/>
    </row>
    <row r="654" spans="1:11" ht="20.05" customHeight="1" x14ac:dyDescent="0.2">
      <c r="A654" s="38"/>
      <c r="B654" s="36" t="s">
        <v>190</v>
      </c>
      <c r="C654" s="38">
        <v>-1</v>
      </c>
      <c r="D654" s="38">
        <v>2</v>
      </c>
      <c r="E654" s="38">
        <v>1.5</v>
      </c>
      <c r="F654" s="38">
        <v>2.1</v>
      </c>
      <c r="G654" s="38"/>
      <c r="H654" s="41">
        <f t="shared" si="17"/>
        <v>-6.3000000000000007</v>
      </c>
      <c r="I654" s="38"/>
      <c r="J654" s="60"/>
      <c r="K654" s="56"/>
    </row>
    <row r="655" spans="1:11" ht="20.05" customHeight="1" x14ac:dyDescent="0.2">
      <c r="A655" s="38"/>
      <c r="B655" s="36" t="s">
        <v>10</v>
      </c>
      <c r="C655" s="38">
        <v>1</v>
      </c>
      <c r="D655" s="38">
        <v>2</v>
      </c>
      <c r="E655" s="38">
        <v>5.8650000000000002</v>
      </c>
      <c r="F655" s="38">
        <v>3</v>
      </c>
      <c r="G655" s="38"/>
      <c r="H655" s="41">
        <f t="shared" si="17"/>
        <v>35.19</v>
      </c>
      <c r="I655" s="38"/>
      <c r="J655" s="60"/>
      <c r="K655" s="56"/>
    </row>
    <row r="656" spans="1:11" ht="20.05" customHeight="1" x14ac:dyDescent="0.2">
      <c r="A656" s="38"/>
      <c r="B656" s="36"/>
      <c r="C656" s="38">
        <v>1</v>
      </c>
      <c r="D656" s="38">
        <v>2</v>
      </c>
      <c r="E656" s="38">
        <v>4.5999999999999996</v>
      </c>
      <c r="F656" s="38">
        <v>3</v>
      </c>
      <c r="G656" s="38"/>
      <c r="H656" s="41">
        <f t="shared" si="17"/>
        <v>27.599999999999998</v>
      </c>
      <c r="I656" s="38"/>
      <c r="J656" s="60"/>
      <c r="K656" s="56"/>
    </row>
    <row r="657" spans="1:11" ht="20.05" customHeight="1" x14ac:dyDescent="0.2">
      <c r="A657" s="38"/>
      <c r="B657" s="36" t="s">
        <v>183</v>
      </c>
      <c r="C657" s="38">
        <v>-1</v>
      </c>
      <c r="D657" s="38">
        <v>1</v>
      </c>
      <c r="E657" s="38">
        <v>1.8</v>
      </c>
      <c r="F657" s="38">
        <v>0.9</v>
      </c>
      <c r="G657" s="38"/>
      <c r="H657" s="41">
        <f t="shared" si="17"/>
        <v>-1.62</v>
      </c>
      <c r="I657" s="38"/>
      <c r="J657" s="60"/>
      <c r="K657" s="56"/>
    </row>
    <row r="658" spans="1:11" ht="20.05" customHeight="1" x14ac:dyDescent="0.2">
      <c r="A658" s="38"/>
      <c r="B658" s="36" t="s">
        <v>190</v>
      </c>
      <c r="C658" s="38">
        <v>-1</v>
      </c>
      <c r="D658" s="38">
        <v>1</v>
      </c>
      <c r="E658" s="38">
        <v>5.87</v>
      </c>
      <c r="F658" s="38">
        <v>1.5</v>
      </c>
      <c r="G658" s="38"/>
      <c r="H658" s="41">
        <f t="shared" si="17"/>
        <v>-8.8049999999999997</v>
      </c>
      <c r="I658" s="38"/>
      <c r="J658" s="60"/>
      <c r="K658" s="56"/>
    </row>
    <row r="659" spans="1:11" ht="20.05" customHeight="1" x14ac:dyDescent="0.2">
      <c r="A659" s="38"/>
      <c r="B659" s="36" t="s">
        <v>190</v>
      </c>
      <c r="C659" s="38">
        <v>-1</v>
      </c>
      <c r="D659" s="38">
        <v>2</v>
      </c>
      <c r="E659" s="38">
        <v>4.5999999999999996</v>
      </c>
      <c r="F659" s="38">
        <v>1.5</v>
      </c>
      <c r="G659" s="38"/>
      <c r="H659" s="41">
        <f t="shared" si="17"/>
        <v>-13.799999999999999</v>
      </c>
      <c r="I659" s="38"/>
      <c r="J659" s="60"/>
      <c r="K659" s="56"/>
    </row>
    <row r="660" spans="1:11" ht="20.05" customHeight="1" x14ac:dyDescent="0.2">
      <c r="A660" s="38"/>
      <c r="B660" s="36" t="s">
        <v>11</v>
      </c>
      <c r="C660" s="38">
        <v>1</v>
      </c>
      <c r="D660" s="38">
        <v>2</v>
      </c>
      <c r="E660" s="38">
        <v>7.1349999999999998</v>
      </c>
      <c r="F660" s="38">
        <v>3</v>
      </c>
      <c r="G660" s="38"/>
      <c r="H660" s="41">
        <f t="shared" si="17"/>
        <v>42.81</v>
      </c>
      <c r="I660" s="38"/>
      <c r="J660" s="60"/>
      <c r="K660" s="56"/>
    </row>
    <row r="661" spans="1:11" ht="20.05" customHeight="1" x14ac:dyDescent="0.2">
      <c r="A661" s="38"/>
      <c r="B661" s="36"/>
      <c r="C661" s="38">
        <v>1</v>
      </c>
      <c r="D661" s="38">
        <v>2</v>
      </c>
      <c r="E661" s="38">
        <v>3.83</v>
      </c>
      <c r="F661" s="38">
        <v>3</v>
      </c>
      <c r="G661" s="38"/>
      <c r="H661" s="41">
        <f t="shared" si="17"/>
        <v>22.98</v>
      </c>
      <c r="I661" s="38"/>
      <c r="J661" s="60"/>
      <c r="K661" s="56"/>
    </row>
    <row r="662" spans="1:11" ht="20.05" customHeight="1" x14ac:dyDescent="0.2">
      <c r="A662" s="38"/>
      <c r="B662" s="36" t="s">
        <v>190</v>
      </c>
      <c r="C662" s="38">
        <v>1</v>
      </c>
      <c r="D662" s="38">
        <v>1</v>
      </c>
      <c r="E662" s="38">
        <v>7.14</v>
      </c>
      <c r="F662" s="38">
        <v>1.5</v>
      </c>
      <c r="G662" s="38"/>
      <c r="H662" s="41">
        <f t="shared" si="17"/>
        <v>10.709999999999999</v>
      </c>
      <c r="I662" s="38"/>
      <c r="J662" s="60"/>
      <c r="K662" s="56"/>
    </row>
    <row r="663" spans="1:11" ht="20.05" customHeight="1" x14ac:dyDescent="0.2">
      <c r="A663" s="38"/>
      <c r="B663" s="36" t="s">
        <v>190</v>
      </c>
      <c r="C663" s="38">
        <v>1</v>
      </c>
      <c r="D663" s="38">
        <v>2</v>
      </c>
      <c r="E663" s="38">
        <v>3.83</v>
      </c>
      <c r="F663" s="38">
        <v>1.5</v>
      </c>
      <c r="G663" s="38"/>
      <c r="H663" s="41">
        <f t="shared" si="17"/>
        <v>11.49</v>
      </c>
      <c r="I663" s="38"/>
      <c r="J663" s="60"/>
      <c r="K663" s="56"/>
    </row>
    <row r="664" spans="1:11" ht="20.05" customHeight="1" x14ac:dyDescent="0.2">
      <c r="A664" s="38"/>
      <c r="B664" s="36" t="s">
        <v>188</v>
      </c>
      <c r="C664" s="38">
        <v>-1</v>
      </c>
      <c r="D664" s="38">
        <v>1</v>
      </c>
      <c r="E664" s="38">
        <v>1.8</v>
      </c>
      <c r="F664" s="38">
        <v>1.2</v>
      </c>
      <c r="G664" s="38"/>
      <c r="H664" s="41">
        <f t="shared" si="17"/>
        <v>-2.16</v>
      </c>
      <c r="I664" s="38"/>
      <c r="J664" s="60"/>
      <c r="K664" s="56"/>
    </row>
    <row r="665" spans="1:11" ht="20.05" customHeight="1" x14ac:dyDescent="0.2">
      <c r="A665" s="38"/>
      <c r="B665" s="36" t="s">
        <v>51</v>
      </c>
      <c r="C665" s="38">
        <v>1</v>
      </c>
      <c r="D665" s="38">
        <v>2</v>
      </c>
      <c r="E665" s="38">
        <v>11.702999999999999</v>
      </c>
      <c r="F665" s="38">
        <v>3</v>
      </c>
      <c r="G665" s="38"/>
      <c r="H665" s="41">
        <f t="shared" si="17"/>
        <v>70.217999999999989</v>
      </c>
      <c r="I665" s="38"/>
      <c r="J665" s="60"/>
      <c r="K665" s="56"/>
    </row>
    <row r="666" spans="1:11" ht="20.05" customHeight="1" x14ac:dyDescent="0.2">
      <c r="A666" s="38"/>
      <c r="B666" s="36"/>
      <c r="C666" s="38">
        <v>1</v>
      </c>
      <c r="D666" s="38">
        <v>2</v>
      </c>
      <c r="E666" s="38">
        <v>1.8</v>
      </c>
      <c r="F666" s="38">
        <v>3</v>
      </c>
      <c r="G666" s="38"/>
      <c r="H666" s="41">
        <f t="shared" si="17"/>
        <v>10.8</v>
      </c>
      <c r="I666" s="38"/>
      <c r="J666" s="60"/>
      <c r="K666" s="56"/>
    </row>
    <row r="667" spans="1:11" ht="20.05" customHeight="1" x14ac:dyDescent="0.2">
      <c r="A667" s="38"/>
      <c r="B667" s="36" t="s">
        <v>183</v>
      </c>
      <c r="C667" s="38">
        <v>-1</v>
      </c>
      <c r="D667" s="38">
        <v>6</v>
      </c>
      <c r="E667" s="38">
        <v>0.9</v>
      </c>
      <c r="F667" s="38">
        <v>1.1000000000000001</v>
      </c>
      <c r="G667" s="38"/>
      <c r="H667" s="41">
        <f t="shared" si="17"/>
        <v>-5.9400000000000013</v>
      </c>
      <c r="I667" s="38"/>
      <c r="J667" s="60"/>
      <c r="K667" s="56"/>
    </row>
    <row r="668" spans="1:11" ht="20.05" customHeight="1" x14ac:dyDescent="0.2">
      <c r="A668" s="38"/>
      <c r="B668" s="36" t="s">
        <v>190</v>
      </c>
      <c r="C668" s="38">
        <v>-1</v>
      </c>
      <c r="D668" s="38">
        <v>2</v>
      </c>
      <c r="E668" s="38">
        <v>11.7</v>
      </c>
      <c r="F668" s="38">
        <v>2.1</v>
      </c>
      <c r="G668" s="38"/>
      <c r="H668" s="41">
        <f t="shared" si="17"/>
        <v>-49.14</v>
      </c>
      <c r="I668" s="38"/>
      <c r="J668" s="60"/>
      <c r="K668" s="56"/>
    </row>
    <row r="669" spans="1:11" ht="20.05" customHeight="1" x14ac:dyDescent="0.2">
      <c r="A669" s="38"/>
      <c r="B669" s="36" t="s">
        <v>190</v>
      </c>
      <c r="C669" s="38">
        <v>-1</v>
      </c>
      <c r="D669" s="38">
        <v>2</v>
      </c>
      <c r="E669" s="38">
        <v>1.8</v>
      </c>
      <c r="F669" s="38">
        <v>2.1</v>
      </c>
      <c r="G669" s="38"/>
      <c r="H669" s="41">
        <f t="shared" si="17"/>
        <v>-7.5600000000000005</v>
      </c>
      <c r="I669" s="38"/>
      <c r="J669" s="60"/>
      <c r="K669" s="56"/>
    </row>
    <row r="670" spans="1:11" ht="20.05" customHeight="1" x14ac:dyDescent="0.2">
      <c r="A670" s="38"/>
      <c r="B670" s="36" t="s">
        <v>14</v>
      </c>
      <c r="C670" s="38">
        <v>1</v>
      </c>
      <c r="D670" s="38">
        <v>2</v>
      </c>
      <c r="E670" s="38">
        <v>1.2</v>
      </c>
      <c r="F670" s="38">
        <v>3</v>
      </c>
      <c r="G670" s="38"/>
      <c r="H670" s="41">
        <f t="shared" si="17"/>
        <v>7.1999999999999993</v>
      </c>
      <c r="I670" s="38"/>
      <c r="J670" s="60"/>
      <c r="K670" s="56"/>
    </row>
    <row r="671" spans="1:11" ht="20.05" customHeight="1" x14ac:dyDescent="0.2">
      <c r="A671" s="38"/>
      <c r="B671" s="36"/>
      <c r="C671" s="38">
        <v>1</v>
      </c>
      <c r="D671" s="38">
        <v>2</v>
      </c>
      <c r="E671" s="38">
        <v>1.8</v>
      </c>
      <c r="F671" s="38">
        <v>3</v>
      </c>
      <c r="G671" s="38"/>
      <c r="H671" s="41">
        <f t="shared" si="17"/>
        <v>10.8</v>
      </c>
      <c r="I671" s="38"/>
      <c r="J671" s="60"/>
      <c r="K671" s="56"/>
    </row>
    <row r="672" spans="1:11" ht="20.05" customHeight="1" x14ac:dyDescent="0.2">
      <c r="A672" s="38"/>
      <c r="B672" s="36" t="s">
        <v>190</v>
      </c>
      <c r="C672" s="38">
        <v>-1</v>
      </c>
      <c r="D672" s="38">
        <v>2</v>
      </c>
      <c r="E672" s="38">
        <v>1.2</v>
      </c>
      <c r="F672" s="38">
        <v>2.1</v>
      </c>
      <c r="G672" s="38"/>
      <c r="H672" s="41">
        <f t="shared" si="17"/>
        <v>-5.04</v>
      </c>
      <c r="I672" s="38"/>
      <c r="J672" s="60"/>
      <c r="K672" s="56"/>
    </row>
    <row r="673" spans="1:11" ht="20.05" customHeight="1" x14ac:dyDescent="0.2">
      <c r="A673" s="38"/>
      <c r="B673" s="36" t="s">
        <v>190</v>
      </c>
      <c r="C673" s="38">
        <v>-1</v>
      </c>
      <c r="D673" s="38">
        <v>2</v>
      </c>
      <c r="E673" s="38">
        <v>1.8</v>
      </c>
      <c r="F673" s="38">
        <v>2.1</v>
      </c>
      <c r="G673" s="38"/>
      <c r="H673" s="41">
        <f t="shared" si="17"/>
        <v>-7.5600000000000005</v>
      </c>
      <c r="I673" s="38"/>
      <c r="J673" s="60"/>
      <c r="K673" s="56"/>
    </row>
    <row r="674" spans="1:11" ht="20.05" customHeight="1" x14ac:dyDescent="0.2">
      <c r="A674" s="38"/>
      <c r="B674" s="36" t="s">
        <v>15</v>
      </c>
      <c r="C674" s="38">
        <v>1</v>
      </c>
      <c r="D674" s="38">
        <v>2</v>
      </c>
      <c r="E674" s="38">
        <v>1.2</v>
      </c>
      <c r="F674" s="38">
        <v>3</v>
      </c>
      <c r="G674" s="38"/>
      <c r="H674" s="41">
        <f t="shared" si="17"/>
        <v>7.1999999999999993</v>
      </c>
      <c r="I674" s="38"/>
      <c r="J674" s="60"/>
      <c r="K674" s="56"/>
    </row>
    <row r="675" spans="1:11" ht="20.05" customHeight="1" x14ac:dyDescent="0.2">
      <c r="A675" s="38"/>
      <c r="B675" s="36"/>
      <c r="C675" s="38">
        <v>1</v>
      </c>
      <c r="D675" s="38">
        <v>2</v>
      </c>
      <c r="E675" s="38">
        <v>1.8</v>
      </c>
      <c r="F675" s="38">
        <v>3</v>
      </c>
      <c r="G675" s="38"/>
      <c r="H675" s="41">
        <f t="shared" si="17"/>
        <v>10.8</v>
      </c>
      <c r="I675" s="38"/>
      <c r="J675" s="60"/>
      <c r="K675" s="56"/>
    </row>
    <row r="676" spans="1:11" ht="20.05" customHeight="1" x14ac:dyDescent="0.2">
      <c r="A676" s="38"/>
      <c r="B676" s="36" t="s">
        <v>190</v>
      </c>
      <c r="C676" s="38">
        <v>-1</v>
      </c>
      <c r="D676" s="38">
        <v>2</v>
      </c>
      <c r="E676" s="38">
        <v>1.2</v>
      </c>
      <c r="F676" s="38">
        <v>2.1</v>
      </c>
      <c r="G676" s="38"/>
      <c r="H676" s="41">
        <f t="shared" si="17"/>
        <v>-5.04</v>
      </c>
      <c r="I676" s="38"/>
      <c r="J676" s="60"/>
      <c r="K676" s="56"/>
    </row>
    <row r="677" spans="1:11" ht="20.05" customHeight="1" x14ac:dyDescent="0.2">
      <c r="A677" s="38"/>
      <c r="B677" s="36" t="s">
        <v>190</v>
      </c>
      <c r="C677" s="38">
        <v>-1</v>
      </c>
      <c r="D677" s="38">
        <v>2</v>
      </c>
      <c r="E677" s="38">
        <v>1.8</v>
      </c>
      <c r="F677" s="38">
        <v>2.1</v>
      </c>
      <c r="G677" s="38"/>
      <c r="H677" s="41">
        <f t="shared" si="17"/>
        <v>-7.5600000000000005</v>
      </c>
      <c r="I677" s="38"/>
      <c r="J677" s="60"/>
      <c r="K677" s="56"/>
    </row>
    <row r="678" spans="1:11" ht="20.05" customHeight="1" x14ac:dyDescent="0.2">
      <c r="A678" s="38"/>
      <c r="B678" s="36" t="s">
        <v>16</v>
      </c>
      <c r="C678" s="38">
        <v>1</v>
      </c>
      <c r="D678" s="38">
        <v>2</v>
      </c>
      <c r="E678" s="38">
        <v>2.08</v>
      </c>
      <c r="F678" s="38">
        <v>3</v>
      </c>
      <c r="G678" s="38"/>
      <c r="H678" s="41">
        <f t="shared" si="17"/>
        <v>12.48</v>
      </c>
      <c r="I678" s="38"/>
      <c r="J678" s="60"/>
      <c r="K678" s="56"/>
    </row>
    <row r="679" spans="1:11" ht="20.05" customHeight="1" x14ac:dyDescent="0.2">
      <c r="A679" s="38"/>
      <c r="B679" s="36"/>
      <c r="C679" s="38">
        <v>1</v>
      </c>
      <c r="D679" s="38">
        <v>2</v>
      </c>
      <c r="E679" s="38">
        <v>1.8</v>
      </c>
      <c r="F679" s="38">
        <v>3</v>
      </c>
      <c r="G679" s="38"/>
      <c r="H679" s="41">
        <f t="shared" si="17"/>
        <v>10.8</v>
      </c>
      <c r="I679" s="38"/>
      <c r="J679" s="60"/>
      <c r="K679" s="56"/>
    </row>
    <row r="680" spans="1:11" ht="20.05" customHeight="1" x14ac:dyDescent="0.2">
      <c r="A680" s="38"/>
      <c r="B680" s="36" t="s">
        <v>183</v>
      </c>
      <c r="C680" s="38">
        <v>-1</v>
      </c>
      <c r="D680" s="38">
        <v>1</v>
      </c>
      <c r="E680" s="38">
        <v>0.9</v>
      </c>
      <c r="F680" s="38">
        <v>2.6</v>
      </c>
      <c r="G680" s="38"/>
      <c r="H680" s="41">
        <f t="shared" si="17"/>
        <v>-2.3400000000000003</v>
      </c>
      <c r="I680" s="38"/>
      <c r="J680" s="60"/>
      <c r="K680" s="56"/>
    </row>
    <row r="681" spans="1:11" ht="20.05" customHeight="1" x14ac:dyDescent="0.2">
      <c r="A681" s="38"/>
      <c r="B681" s="36" t="s">
        <v>17</v>
      </c>
      <c r="C681" s="38">
        <v>1</v>
      </c>
      <c r="D681" s="38">
        <v>2</v>
      </c>
      <c r="E681" s="38">
        <v>1.9650000000000001</v>
      </c>
      <c r="F681" s="38">
        <v>3</v>
      </c>
      <c r="G681" s="38"/>
      <c r="H681" s="41">
        <f t="shared" si="17"/>
        <v>11.790000000000001</v>
      </c>
      <c r="I681" s="38"/>
      <c r="J681" s="60"/>
      <c r="K681" s="56"/>
    </row>
    <row r="682" spans="1:11" ht="20.05" customHeight="1" x14ac:dyDescent="0.2">
      <c r="A682" s="38"/>
      <c r="B682" s="36"/>
      <c r="C682" s="38">
        <v>1</v>
      </c>
      <c r="D682" s="38">
        <v>2</v>
      </c>
      <c r="E682" s="38">
        <v>1.8</v>
      </c>
      <c r="F682" s="38">
        <v>3</v>
      </c>
      <c r="G682" s="38"/>
      <c r="H682" s="41">
        <f t="shared" si="17"/>
        <v>10.8</v>
      </c>
      <c r="I682" s="38"/>
      <c r="J682" s="60"/>
      <c r="K682" s="56"/>
    </row>
    <row r="683" spans="1:11" ht="20.05" customHeight="1" x14ac:dyDescent="0.2">
      <c r="A683" s="38"/>
      <c r="B683" s="36" t="s">
        <v>183</v>
      </c>
      <c r="C683" s="38">
        <v>-1</v>
      </c>
      <c r="D683" s="38">
        <v>1</v>
      </c>
      <c r="E683" s="38">
        <v>0.9</v>
      </c>
      <c r="F683" s="38">
        <v>2.6</v>
      </c>
      <c r="G683" s="38"/>
      <c r="H683" s="41">
        <f t="shared" si="17"/>
        <v>-2.3400000000000003</v>
      </c>
      <c r="I683" s="38"/>
      <c r="J683" s="60"/>
      <c r="K683" s="56"/>
    </row>
    <row r="684" spans="1:11" ht="20.05" customHeight="1" x14ac:dyDescent="0.2">
      <c r="A684" s="38"/>
      <c r="B684" s="36" t="s">
        <v>18</v>
      </c>
      <c r="C684" s="38">
        <v>1</v>
      </c>
      <c r="D684" s="38">
        <v>2</v>
      </c>
      <c r="E684" s="38">
        <v>1.95</v>
      </c>
      <c r="F684" s="38">
        <v>3</v>
      </c>
      <c r="G684" s="38"/>
      <c r="H684" s="41">
        <f t="shared" si="17"/>
        <v>11.7</v>
      </c>
      <c r="I684" s="38"/>
      <c r="J684" s="60"/>
      <c r="K684" s="56"/>
    </row>
    <row r="685" spans="1:11" ht="20.05" customHeight="1" x14ac:dyDescent="0.2">
      <c r="A685" s="38"/>
      <c r="B685" s="36"/>
      <c r="C685" s="38">
        <v>1</v>
      </c>
      <c r="D685" s="38">
        <v>2</v>
      </c>
      <c r="E685" s="38">
        <v>1.8</v>
      </c>
      <c r="F685" s="38">
        <v>3</v>
      </c>
      <c r="G685" s="38"/>
      <c r="H685" s="41">
        <f t="shared" si="17"/>
        <v>10.8</v>
      </c>
      <c r="I685" s="38"/>
      <c r="J685" s="60"/>
      <c r="K685" s="56"/>
    </row>
    <row r="686" spans="1:11" ht="20.05" customHeight="1" x14ac:dyDescent="0.2">
      <c r="A686" s="38"/>
      <c r="B686" s="36" t="s">
        <v>183</v>
      </c>
      <c r="C686" s="38">
        <v>-1</v>
      </c>
      <c r="D686" s="38">
        <v>1</v>
      </c>
      <c r="E686" s="38">
        <v>0.9</v>
      </c>
      <c r="F686" s="38">
        <v>2.6</v>
      </c>
      <c r="G686" s="38"/>
      <c r="H686" s="41">
        <f t="shared" si="17"/>
        <v>-2.3400000000000003</v>
      </c>
      <c r="I686" s="38"/>
      <c r="J686" s="60"/>
      <c r="K686" s="56"/>
    </row>
    <row r="687" spans="1:11" ht="20.05" customHeight="1" x14ac:dyDescent="0.2">
      <c r="A687" s="38"/>
      <c r="B687" s="36" t="s">
        <v>106</v>
      </c>
      <c r="C687" s="38">
        <v>1</v>
      </c>
      <c r="D687" s="38">
        <v>2</v>
      </c>
      <c r="E687" s="38">
        <v>1.95</v>
      </c>
      <c r="F687" s="38">
        <v>3</v>
      </c>
      <c r="G687" s="38"/>
      <c r="H687" s="41">
        <f t="shared" si="17"/>
        <v>11.7</v>
      </c>
      <c r="I687" s="38"/>
      <c r="J687" s="60"/>
      <c r="K687" s="56"/>
    </row>
    <row r="688" spans="1:11" ht="20.05" customHeight="1" x14ac:dyDescent="0.2">
      <c r="A688" s="38"/>
      <c r="B688" s="36"/>
      <c r="C688" s="38">
        <v>1</v>
      </c>
      <c r="D688" s="38">
        <v>2</v>
      </c>
      <c r="E688" s="38">
        <v>1.8</v>
      </c>
      <c r="F688" s="38">
        <v>3</v>
      </c>
      <c r="G688" s="38"/>
      <c r="H688" s="41">
        <f t="shared" si="17"/>
        <v>10.8</v>
      </c>
      <c r="I688" s="38"/>
      <c r="J688" s="60"/>
      <c r="K688" s="56"/>
    </row>
    <row r="689" spans="1:11" ht="20.05" customHeight="1" x14ac:dyDescent="0.2">
      <c r="A689" s="38"/>
      <c r="B689" s="36" t="s">
        <v>183</v>
      </c>
      <c r="C689" s="38">
        <v>-1</v>
      </c>
      <c r="D689" s="38">
        <v>1</v>
      </c>
      <c r="E689" s="38">
        <v>0.9</v>
      </c>
      <c r="F689" s="38">
        <v>2.6</v>
      </c>
      <c r="G689" s="38"/>
      <c r="H689" s="41">
        <f t="shared" si="17"/>
        <v>-2.3400000000000003</v>
      </c>
      <c r="I689" s="38"/>
      <c r="J689" s="60"/>
      <c r="K689" s="56"/>
    </row>
    <row r="690" spans="1:11" ht="20.05" customHeight="1" x14ac:dyDescent="0.2">
      <c r="A690" s="38"/>
      <c r="B690" s="36" t="s">
        <v>19</v>
      </c>
      <c r="C690" s="38">
        <v>1</v>
      </c>
      <c r="D690" s="38">
        <v>2</v>
      </c>
      <c r="E690" s="38">
        <v>6.3</v>
      </c>
      <c r="F690" s="38">
        <v>3</v>
      </c>
      <c r="G690" s="38"/>
      <c r="H690" s="41">
        <f t="shared" si="17"/>
        <v>37.799999999999997</v>
      </c>
      <c r="I690" s="38"/>
      <c r="J690" s="60"/>
      <c r="K690" s="56"/>
    </row>
    <row r="691" spans="1:11" ht="20.05" customHeight="1" x14ac:dyDescent="0.2">
      <c r="A691" s="38"/>
      <c r="B691" s="36"/>
      <c r="C691" s="38">
        <v>1</v>
      </c>
      <c r="D691" s="38">
        <v>2</v>
      </c>
      <c r="E691" s="38">
        <v>3.6</v>
      </c>
      <c r="F691" s="38">
        <v>3</v>
      </c>
      <c r="G691" s="38"/>
      <c r="H691" s="41">
        <f t="shared" ref="H691:H754" si="18">PRODUCT(C691:F691)</f>
        <v>21.6</v>
      </c>
      <c r="I691" s="38"/>
      <c r="J691" s="60"/>
      <c r="K691" s="56"/>
    </row>
    <row r="692" spans="1:11" ht="20.05" customHeight="1" x14ac:dyDescent="0.2">
      <c r="A692" s="38"/>
      <c r="B692" s="36" t="s">
        <v>183</v>
      </c>
      <c r="C692" s="38">
        <v>-1</v>
      </c>
      <c r="D692" s="38">
        <v>1</v>
      </c>
      <c r="E692" s="38">
        <v>1.2</v>
      </c>
      <c r="F692" s="38">
        <v>2.6</v>
      </c>
      <c r="G692" s="38"/>
      <c r="H692" s="41">
        <f t="shared" si="18"/>
        <v>-3.12</v>
      </c>
      <c r="I692" s="38"/>
      <c r="J692" s="60"/>
      <c r="K692" s="56"/>
    </row>
    <row r="693" spans="1:11" ht="20.05" customHeight="1" x14ac:dyDescent="0.2">
      <c r="A693" s="38"/>
      <c r="B693" s="36" t="s">
        <v>188</v>
      </c>
      <c r="C693" s="38">
        <v>-1</v>
      </c>
      <c r="D693" s="38">
        <v>2</v>
      </c>
      <c r="E693" s="38">
        <v>1.8</v>
      </c>
      <c r="F693" s="38">
        <v>1.8</v>
      </c>
      <c r="G693" s="38"/>
      <c r="H693" s="41">
        <f t="shared" si="18"/>
        <v>-6.48</v>
      </c>
      <c r="I693" s="38"/>
      <c r="J693" s="60"/>
      <c r="K693" s="56"/>
    </row>
    <row r="694" spans="1:11" ht="20.05" customHeight="1" x14ac:dyDescent="0.2">
      <c r="A694" s="38"/>
      <c r="B694" s="36" t="s">
        <v>117</v>
      </c>
      <c r="C694" s="38">
        <v>1</v>
      </c>
      <c r="D694" s="38">
        <v>2</v>
      </c>
      <c r="E694" s="38">
        <v>3.1349999999999998</v>
      </c>
      <c r="F694" s="38">
        <v>3</v>
      </c>
      <c r="G694" s="38"/>
      <c r="H694" s="41">
        <f t="shared" si="18"/>
        <v>18.809999999999999</v>
      </c>
      <c r="I694" s="38"/>
      <c r="J694" s="60"/>
      <c r="K694" s="56"/>
    </row>
    <row r="695" spans="1:11" ht="20.05" customHeight="1" x14ac:dyDescent="0.2">
      <c r="A695" s="38"/>
      <c r="B695" s="36"/>
      <c r="C695" s="38">
        <v>1</v>
      </c>
      <c r="D695" s="38">
        <v>2</v>
      </c>
      <c r="E695" s="38">
        <v>3.7149999999999999</v>
      </c>
      <c r="F695" s="38">
        <v>3</v>
      </c>
      <c r="G695" s="38"/>
      <c r="H695" s="41">
        <f t="shared" si="18"/>
        <v>22.29</v>
      </c>
      <c r="I695" s="38"/>
      <c r="J695" s="60"/>
      <c r="K695" s="56"/>
    </row>
    <row r="696" spans="1:11" ht="20.05" customHeight="1" x14ac:dyDescent="0.2">
      <c r="A696" s="38"/>
      <c r="B696" s="36" t="s">
        <v>183</v>
      </c>
      <c r="C696" s="38">
        <v>-1</v>
      </c>
      <c r="D696" s="38">
        <v>1</v>
      </c>
      <c r="E696" s="38">
        <v>1</v>
      </c>
      <c r="F696" s="38">
        <v>2.6</v>
      </c>
      <c r="G696" s="38"/>
      <c r="H696" s="41">
        <f t="shared" si="18"/>
        <v>-2.6</v>
      </c>
      <c r="I696" s="38"/>
      <c r="J696" s="60"/>
      <c r="K696" s="56"/>
    </row>
    <row r="697" spans="1:11" ht="20.05" customHeight="1" x14ac:dyDescent="0.2">
      <c r="A697" s="38"/>
      <c r="B697" s="36" t="s">
        <v>188</v>
      </c>
      <c r="C697" s="38">
        <v>-1</v>
      </c>
      <c r="D697" s="38">
        <v>1</v>
      </c>
      <c r="E697" s="38">
        <v>1.2</v>
      </c>
      <c r="F697" s="38">
        <v>1.8</v>
      </c>
      <c r="G697" s="38"/>
      <c r="H697" s="41">
        <f t="shared" si="18"/>
        <v>-2.16</v>
      </c>
      <c r="I697" s="38"/>
      <c r="J697" s="60"/>
      <c r="K697" s="56"/>
    </row>
    <row r="698" spans="1:11" ht="20.05" customHeight="1" x14ac:dyDescent="0.2">
      <c r="A698" s="38"/>
      <c r="B698" s="36" t="s">
        <v>111</v>
      </c>
      <c r="C698" s="38">
        <v>1</v>
      </c>
      <c r="D698" s="38">
        <v>2</v>
      </c>
      <c r="E698" s="38">
        <v>3.1349999999999998</v>
      </c>
      <c r="F698" s="38">
        <v>3</v>
      </c>
      <c r="G698" s="38"/>
      <c r="H698" s="41">
        <f t="shared" si="18"/>
        <v>18.809999999999999</v>
      </c>
      <c r="I698" s="38"/>
      <c r="J698" s="60"/>
      <c r="K698" s="56"/>
    </row>
    <row r="699" spans="1:11" ht="20.05" customHeight="1" x14ac:dyDescent="0.2">
      <c r="A699" s="38"/>
      <c r="B699" s="36"/>
      <c r="C699" s="38">
        <v>1</v>
      </c>
      <c r="D699" s="38">
        <v>2</v>
      </c>
      <c r="E699" s="38">
        <v>3.52</v>
      </c>
      <c r="F699" s="38">
        <v>3</v>
      </c>
      <c r="G699" s="38"/>
      <c r="H699" s="41">
        <f t="shared" si="18"/>
        <v>21.12</v>
      </c>
      <c r="I699" s="38"/>
      <c r="J699" s="60"/>
      <c r="K699" s="56"/>
    </row>
    <row r="700" spans="1:11" ht="20.05" customHeight="1" x14ac:dyDescent="0.2">
      <c r="A700" s="38"/>
      <c r="B700" s="36" t="s">
        <v>183</v>
      </c>
      <c r="C700" s="38">
        <v>-1</v>
      </c>
      <c r="D700" s="38">
        <v>1</v>
      </c>
      <c r="E700" s="38">
        <v>1</v>
      </c>
      <c r="F700" s="38">
        <v>2.6</v>
      </c>
      <c r="G700" s="38"/>
      <c r="H700" s="41">
        <f t="shared" si="18"/>
        <v>-2.6</v>
      </c>
      <c r="I700" s="38"/>
      <c r="J700" s="60"/>
      <c r="K700" s="56"/>
    </row>
    <row r="701" spans="1:11" ht="20.05" customHeight="1" x14ac:dyDescent="0.2">
      <c r="A701" s="38"/>
      <c r="B701" s="36" t="s">
        <v>188</v>
      </c>
      <c r="C701" s="38">
        <v>-1</v>
      </c>
      <c r="D701" s="38">
        <v>1</v>
      </c>
      <c r="E701" s="38">
        <v>1.2</v>
      </c>
      <c r="F701" s="38">
        <v>1.8</v>
      </c>
      <c r="G701" s="38"/>
      <c r="H701" s="41">
        <f t="shared" si="18"/>
        <v>-2.16</v>
      </c>
      <c r="I701" s="38"/>
      <c r="J701" s="60"/>
      <c r="K701" s="56"/>
    </row>
    <row r="702" spans="1:11" ht="20.05" customHeight="1" x14ac:dyDescent="0.2">
      <c r="A702" s="38"/>
      <c r="B702" s="36" t="s">
        <v>22</v>
      </c>
      <c r="C702" s="38">
        <v>1</v>
      </c>
      <c r="D702" s="38">
        <v>2</v>
      </c>
      <c r="E702" s="38">
        <v>3.1349999999999998</v>
      </c>
      <c r="F702" s="38">
        <v>3</v>
      </c>
      <c r="G702" s="38"/>
      <c r="H702" s="41">
        <f t="shared" si="18"/>
        <v>18.809999999999999</v>
      </c>
      <c r="I702" s="38"/>
      <c r="J702" s="60"/>
      <c r="K702" s="56"/>
    </row>
    <row r="703" spans="1:11" ht="20.05" customHeight="1" x14ac:dyDescent="0.2">
      <c r="A703" s="38"/>
      <c r="B703" s="36"/>
      <c r="C703" s="38">
        <v>1</v>
      </c>
      <c r="D703" s="38">
        <v>2</v>
      </c>
      <c r="E703" s="38">
        <v>3.67</v>
      </c>
      <c r="F703" s="38">
        <v>3</v>
      </c>
      <c r="G703" s="38"/>
      <c r="H703" s="41">
        <f t="shared" si="18"/>
        <v>22.02</v>
      </c>
      <c r="I703" s="38"/>
      <c r="J703" s="60"/>
      <c r="K703" s="56"/>
    </row>
    <row r="704" spans="1:11" ht="20.05" customHeight="1" x14ac:dyDescent="0.2">
      <c r="A704" s="38"/>
      <c r="B704" s="36" t="s">
        <v>183</v>
      </c>
      <c r="C704" s="38">
        <v>-1</v>
      </c>
      <c r="D704" s="38">
        <v>1</v>
      </c>
      <c r="E704" s="38">
        <v>1</v>
      </c>
      <c r="F704" s="38">
        <v>2.6</v>
      </c>
      <c r="G704" s="38"/>
      <c r="H704" s="41">
        <f t="shared" si="18"/>
        <v>-2.6</v>
      </c>
      <c r="I704" s="38"/>
      <c r="J704" s="60"/>
      <c r="K704" s="56"/>
    </row>
    <row r="705" spans="1:11" ht="20.05" customHeight="1" x14ac:dyDescent="0.2">
      <c r="A705" s="38"/>
      <c r="B705" s="36" t="s">
        <v>188</v>
      </c>
      <c r="C705" s="38">
        <v>-1</v>
      </c>
      <c r="D705" s="38">
        <v>1</v>
      </c>
      <c r="E705" s="38">
        <v>1.2</v>
      </c>
      <c r="F705" s="38">
        <v>1.8</v>
      </c>
      <c r="G705" s="38"/>
      <c r="H705" s="41">
        <f t="shared" si="18"/>
        <v>-2.16</v>
      </c>
      <c r="I705" s="38"/>
      <c r="J705" s="60"/>
      <c r="K705" s="56"/>
    </row>
    <row r="706" spans="1:11" ht="20.05" customHeight="1" x14ac:dyDescent="0.2">
      <c r="A706" s="38"/>
      <c r="B706" s="36" t="s">
        <v>26</v>
      </c>
      <c r="C706" s="38">
        <v>1</v>
      </c>
      <c r="D706" s="38">
        <v>2</v>
      </c>
      <c r="E706" s="38">
        <v>3.1349999999999998</v>
      </c>
      <c r="F706" s="38">
        <v>3</v>
      </c>
      <c r="G706" s="38"/>
      <c r="H706" s="41">
        <f t="shared" si="18"/>
        <v>18.809999999999999</v>
      </c>
      <c r="I706" s="38"/>
      <c r="J706" s="60"/>
      <c r="K706" s="56"/>
    </row>
    <row r="707" spans="1:11" ht="20.05" customHeight="1" x14ac:dyDescent="0.2">
      <c r="A707" s="38"/>
      <c r="B707" s="36"/>
      <c r="C707" s="38">
        <v>1</v>
      </c>
      <c r="D707" s="38">
        <v>2</v>
      </c>
      <c r="E707" s="38">
        <v>2.4</v>
      </c>
      <c r="F707" s="38">
        <v>3</v>
      </c>
      <c r="G707" s="38"/>
      <c r="H707" s="41">
        <f t="shared" si="18"/>
        <v>14.399999999999999</v>
      </c>
      <c r="I707" s="38"/>
      <c r="J707" s="60"/>
      <c r="K707" s="56"/>
    </row>
    <row r="708" spans="1:11" ht="20.05" customHeight="1" x14ac:dyDescent="0.2">
      <c r="A708" s="38"/>
      <c r="B708" s="36" t="s">
        <v>183</v>
      </c>
      <c r="C708" s="38">
        <v>-1</v>
      </c>
      <c r="D708" s="38">
        <v>1</v>
      </c>
      <c r="E708" s="38">
        <v>1</v>
      </c>
      <c r="F708" s="38">
        <v>1.1000000000000001</v>
      </c>
      <c r="G708" s="38"/>
      <c r="H708" s="41">
        <f t="shared" si="18"/>
        <v>-1.1000000000000001</v>
      </c>
      <c r="I708" s="38"/>
      <c r="J708" s="60"/>
      <c r="K708" s="56"/>
    </row>
    <row r="709" spans="1:11" ht="20.05" customHeight="1" x14ac:dyDescent="0.2">
      <c r="A709" s="38"/>
      <c r="B709" s="36" t="s">
        <v>190</v>
      </c>
      <c r="C709" s="38">
        <v>-1</v>
      </c>
      <c r="D709" s="38">
        <v>2</v>
      </c>
      <c r="E709" s="38">
        <v>3.14</v>
      </c>
      <c r="F709" s="38">
        <v>1.5</v>
      </c>
      <c r="G709" s="38"/>
      <c r="H709" s="41">
        <f t="shared" si="18"/>
        <v>-9.42</v>
      </c>
      <c r="I709" s="38"/>
      <c r="J709" s="60"/>
      <c r="K709" s="56"/>
    </row>
    <row r="710" spans="1:11" ht="20.05" customHeight="1" x14ac:dyDescent="0.2">
      <c r="A710" s="38"/>
      <c r="B710" s="36" t="s">
        <v>190</v>
      </c>
      <c r="C710" s="38">
        <v>-1</v>
      </c>
      <c r="D710" s="38">
        <v>2</v>
      </c>
      <c r="E710" s="38">
        <v>2.4</v>
      </c>
      <c r="F710" s="38">
        <v>1.5</v>
      </c>
      <c r="G710" s="38"/>
      <c r="H710" s="41">
        <f t="shared" si="18"/>
        <v>-7.1999999999999993</v>
      </c>
      <c r="I710" s="38"/>
      <c r="J710" s="60"/>
      <c r="K710" s="56"/>
    </row>
    <row r="711" spans="1:11" ht="20.05" customHeight="1" x14ac:dyDescent="0.2">
      <c r="A711" s="38"/>
      <c r="B711" s="36" t="s">
        <v>23</v>
      </c>
      <c r="C711" s="38">
        <v>1</v>
      </c>
      <c r="D711" s="38">
        <v>2</v>
      </c>
      <c r="E711" s="38">
        <v>3.6</v>
      </c>
      <c r="F711" s="38">
        <v>3</v>
      </c>
      <c r="G711" s="38"/>
      <c r="H711" s="41">
        <f t="shared" si="18"/>
        <v>21.6</v>
      </c>
      <c r="I711" s="38"/>
      <c r="J711" s="60"/>
      <c r="K711" s="56"/>
    </row>
    <row r="712" spans="1:11" ht="20.05" customHeight="1" x14ac:dyDescent="0.2">
      <c r="A712" s="38"/>
      <c r="B712" s="36"/>
      <c r="C712" s="38">
        <v>1</v>
      </c>
      <c r="D712" s="38">
        <v>2</v>
      </c>
      <c r="E712" s="38">
        <v>3.7149999999999999</v>
      </c>
      <c r="F712" s="38">
        <v>3</v>
      </c>
      <c r="G712" s="38"/>
      <c r="H712" s="41">
        <f t="shared" si="18"/>
        <v>22.29</v>
      </c>
      <c r="I712" s="38"/>
      <c r="J712" s="60"/>
      <c r="K712" s="56"/>
    </row>
    <row r="713" spans="1:11" ht="20.05" customHeight="1" x14ac:dyDescent="0.2">
      <c r="A713" s="38"/>
      <c r="B713" s="36" t="s">
        <v>183</v>
      </c>
      <c r="C713" s="38">
        <v>-1</v>
      </c>
      <c r="D713" s="38">
        <v>1</v>
      </c>
      <c r="E713" s="38">
        <v>1</v>
      </c>
      <c r="F713" s="38">
        <v>2.6</v>
      </c>
      <c r="G713" s="38"/>
      <c r="H713" s="41">
        <f t="shared" si="18"/>
        <v>-2.6</v>
      </c>
      <c r="I713" s="38"/>
      <c r="J713" s="60"/>
      <c r="K713" s="56"/>
    </row>
    <row r="714" spans="1:11" ht="20.05" customHeight="1" x14ac:dyDescent="0.2">
      <c r="A714" s="38"/>
      <c r="B714" s="36" t="s">
        <v>188</v>
      </c>
      <c r="C714" s="38">
        <v>-1</v>
      </c>
      <c r="D714" s="38">
        <v>1</v>
      </c>
      <c r="E714" s="38">
        <v>1.8</v>
      </c>
      <c r="F714" s="38">
        <v>1.8</v>
      </c>
      <c r="G714" s="38"/>
      <c r="H714" s="41">
        <f t="shared" si="18"/>
        <v>-3.24</v>
      </c>
      <c r="I714" s="38"/>
      <c r="J714" s="60"/>
      <c r="K714" s="56"/>
    </row>
    <row r="715" spans="1:11" ht="20.05" customHeight="1" x14ac:dyDescent="0.2">
      <c r="A715" s="38"/>
      <c r="B715" s="36" t="s">
        <v>24</v>
      </c>
      <c r="C715" s="38">
        <v>1</v>
      </c>
      <c r="D715" s="38">
        <v>2</v>
      </c>
      <c r="E715" s="38">
        <v>3.6</v>
      </c>
      <c r="F715" s="38">
        <v>3</v>
      </c>
      <c r="G715" s="38"/>
      <c r="H715" s="41">
        <f t="shared" si="18"/>
        <v>21.6</v>
      </c>
      <c r="I715" s="38"/>
      <c r="J715" s="60"/>
      <c r="K715" s="56"/>
    </row>
    <row r="716" spans="1:11" ht="20.05" customHeight="1" x14ac:dyDescent="0.2">
      <c r="A716" s="38"/>
      <c r="B716" s="36"/>
      <c r="C716" s="38">
        <v>1</v>
      </c>
      <c r="D716" s="38">
        <v>2</v>
      </c>
      <c r="E716" s="38">
        <v>3.7149999999999999</v>
      </c>
      <c r="F716" s="38">
        <v>3</v>
      </c>
      <c r="G716" s="38"/>
      <c r="H716" s="41">
        <f t="shared" si="18"/>
        <v>22.29</v>
      </c>
      <c r="I716" s="38"/>
      <c r="J716" s="60"/>
      <c r="K716" s="56"/>
    </row>
    <row r="717" spans="1:11" ht="20.05" customHeight="1" x14ac:dyDescent="0.2">
      <c r="A717" s="38"/>
      <c r="B717" s="36" t="s">
        <v>183</v>
      </c>
      <c r="C717" s="38">
        <v>-1</v>
      </c>
      <c r="D717" s="38">
        <v>1</v>
      </c>
      <c r="E717" s="38">
        <v>1</v>
      </c>
      <c r="F717" s="38">
        <v>2.6</v>
      </c>
      <c r="G717" s="38"/>
      <c r="H717" s="41">
        <f t="shared" si="18"/>
        <v>-2.6</v>
      </c>
      <c r="I717" s="38"/>
      <c r="J717" s="60"/>
      <c r="K717" s="56"/>
    </row>
    <row r="718" spans="1:11" ht="20.05" customHeight="1" x14ac:dyDescent="0.2">
      <c r="A718" s="38"/>
      <c r="B718" s="36" t="s">
        <v>188</v>
      </c>
      <c r="C718" s="38">
        <v>-1</v>
      </c>
      <c r="D718" s="38">
        <v>1</v>
      </c>
      <c r="E718" s="38">
        <v>1.5</v>
      </c>
      <c r="F718" s="38">
        <v>1.8</v>
      </c>
      <c r="G718" s="38"/>
      <c r="H718" s="41">
        <f t="shared" si="18"/>
        <v>-2.7</v>
      </c>
      <c r="I718" s="38"/>
      <c r="J718" s="60"/>
      <c r="K718" s="56"/>
    </row>
    <row r="719" spans="1:11" ht="20.05" customHeight="1" x14ac:dyDescent="0.2">
      <c r="A719" s="38"/>
      <c r="B719" s="36" t="s">
        <v>45</v>
      </c>
      <c r="C719" s="38">
        <v>1</v>
      </c>
      <c r="D719" s="38">
        <v>2</v>
      </c>
      <c r="E719" s="38">
        <v>3.6</v>
      </c>
      <c r="F719" s="38">
        <v>3</v>
      </c>
      <c r="G719" s="38"/>
      <c r="H719" s="41">
        <f t="shared" si="18"/>
        <v>21.6</v>
      </c>
      <c r="I719" s="38"/>
      <c r="J719" s="60"/>
      <c r="K719" s="56"/>
    </row>
    <row r="720" spans="1:11" ht="20.05" customHeight="1" x14ac:dyDescent="0.2">
      <c r="A720" s="38"/>
      <c r="B720" s="36"/>
      <c r="C720" s="38">
        <v>1</v>
      </c>
      <c r="D720" s="38">
        <v>2</v>
      </c>
      <c r="E720" s="38">
        <v>2.5</v>
      </c>
      <c r="F720" s="38">
        <v>3</v>
      </c>
      <c r="G720" s="38"/>
      <c r="H720" s="41">
        <f t="shared" si="18"/>
        <v>15</v>
      </c>
      <c r="I720" s="38"/>
      <c r="J720" s="60"/>
      <c r="K720" s="56"/>
    </row>
    <row r="721" spans="1:11" ht="20.05" customHeight="1" x14ac:dyDescent="0.2">
      <c r="A721" s="38"/>
      <c r="B721" s="36" t="s">
        <v>183</v>
      </c>
      <c r="C721" s="38">
        <v>-1</v>
      </c>
      <c r="D721" s="38">
        <v>1</v>
      </c>
      <c r="E721" s="38">
        <v>1</v>
      </c>
      <c r="F721" s="38">
        <v>2.6</v>
      </c>
      <c r="G721" s="38"/>
      <c r="H721" s="41">
        <f t="shared" si="18"/>
        <v>-2.6</v>
      </c>
      <c r="I721" s="38"/>
      <c r="J721" s="60"/>
      <c r="K721" s="56"/>
    </row>
    <row r="722" spans="1:11" ht="20.05" customHeight="1" x14ac:dyDescent="0.2">
      <c r="A722" s="38"/>
      <c r="B722" s="36" t="s">
        <v>188</v>
      </c>
      <c r="C722" s="38">
        <v>-1</v>
      </c>
      <c r="D722" s="38">
        <v>1</v>
      </c>
      <c r="E722" s="38">
        <v>1.8</v>
      </c>
      <c r="F722" s="38">
        <v>1.8</v>
      </c>
      <c r="G722" s="38"/>
      <c r="H722" s="41">
        <f t="shared" si="18"/>
        <v>-3.24</v>
      </c>
      <c r="I722" s="38"/>
      <c r="J722" s="60"/>
      <c r="K722" s="56"/>
    </row>
    <row r="723" spans="1:11" ht="20.05" customHeight="1" x14ac:dyDescent="0.2">
      <c r="A723" s="38"/>
      <c r="B723" s="36" t="s">
        <v>190</v>
      </c>
      <c r="C723" s="38">
        <v>-1</v>
      </c>
      <c r="D723" s="38">
        <v>2</v>
      </c>
      <c r="E723" s="38">
        <v>3.6</v>
      </c>
      <c r="F723" s="38">
        <v>1.5</v>
      </c>
      <c r="G723" s="38"/>
      <c r="H723" s="41">
        <f t="shared" si="18"/>
        <v>-10.8</v>
      </c>
      <c r="I723" s="38"/>
      <c r="J723" s="60"/>
      <c r="K723" s="56"/>
    </row>
    <row r="724" spans="1:11" ht="20.05" customHeight="1" x14ac:dyDescent="0.2">
      <c r="A724" s="38"/>
      <c r="B724" s="36" t="s">
        <v>190</v>
      </c>
      <c r="C724" s="38">
        <v>-1</v>
      </c>
      <c r="D724" s="38">
        <v>2</v>
      </c>
      <c r="E724" s="38">
        <v>2.5</v>
      </c>
      <c r="F724" s="38">
        <v>1.5</v>
      </c>
      <c r="G724" s="38"/>
      <c r="H724" s="41">
        <f t="shared" si="18"/>
        <v>-7.5</v>
      </c>
      <c r="I724" s="38"/>
      <c r="J724" s="60"/>
      <c r="K724" s="56"/>
    </row>
    <row r="725" spans="1:11" ht="20.05" customHeight="1" x14ac:dyDescent="0.2">
      <c r="A725" s="38"/>
      <c r="B725" s="36" t="s">
        <v>27</v>
      </c>
      <c r="C725" s="38">
        <v>1</v>
      </c>
      <c r="D725" s="38">
        <v>2</v>
      </c>
      <c r="E725" s="38">
        <v>3.6</v>
      </c>
      <c r="F725" s="38">
        <v>3</v>
      </c>
      <c r="G725" s="38"/>
      <c r="H725" s="41">
        <f t="shared" si="18"/>
        <v>21.6</v>
      </c>
      <c r="I725" s="38"/>
      <c r="J725" s="60"/>
      <c r="K725" s="56"/>
    </row>
    <row r="726" spans="1:11" ht="20.05" customHeight="1" x14ac:dyDescent="0.2">
      <c r="A726" s="38"/>
      <c r="B726" s="36"/>
      <c r="C726" s="38">
        <v>1</v>
      </c>
      <c r="D726" s="38">
        <v>2</v>
      </c>
      <c r="E726" s="38">
        <v>3.7149999999999999</v>
      </c>
      <c r="F726" s="38">
        <v>3</v>
      </c>
      <c r="G726" s="38"/>
      <c r="H726" s="41">
        <f t="shared" si="18"/>
        <v>22.29</v>
      </c>
      <c r="I726" s="38"/>
      <c r="J726" s="60"/>
      <c r="K726" s="56"/>
    </row>
    <row r="727" spans="1:11" ht="20.05" customHeight="1" x14ac:dyDescent="0.2">
      <c r="A727" s="38"/>
      <c r="B727" s="36" t="s">
        <v>183</v>
      </c>
      <c r="C727" s="38">
        <v>-1</v>
      </c>
      <c r="D727" s="38">
        <v>1</v>
      </c>
      <c r="E727" s="38">
        <v>1</v>
      </c>
      <c r="F727" s="38">
        <v>2.6</v>
      </c>
      <c r="G727" s="38"/>
      <c r="H727" s="41">
        <f t="shared" si="18"/>
        <v>-2.6</v>
      </c>
      <c r="I727" s="38"/>
      <c r="J727" s="60"/>
      <c r="K727" s="56"/>
    </row>
    <row r="728" spans="1:11" ht="20.05" customHeight="1" x14ac:dyDescent="0.2">
      <c r="A728" s="38"/>
      <c r="B728" s="36" t="s">
        <v>188</v>
      </c>
      <c r="C728" s="38">
        <v>-1</v>
      </c>
      <c r="D728" s="38">
        <v>1</v>
      </c>
      <c r="E728" s="38">
        <v>1.8</v>
      </c>
      <c r="F728" s="38">
        <v>1.8</v>
      </c>
      <c r="G728" s="38"/>
      <c r="H728" s="41">
        <f t="shared" si="18"/>
        <v>-3.24</v>
      </c>
      <c r="I728" s="38"/>
      <c r="J728" s="60"/>
      <c r="K728" s="56"/>
    </row>
    <row r="729" spans="1:11" ht="20.05" customHeight="1" x14ac:dyDescent="0.2">
      <c r="A729" s="38"/>
      <c r="B729" s="36" t="s">
        <v>28</v>
      </c>
      <c r="C729" s="38">
        <v>1</v>
      </c>
      <c r="D729" s="38">
        <v>2</v>
      </c>
      <c r="E729" s="38">
        <v>3.63</v>
      </c>
      <c r="F729" s="38">
        <v>3</v>
      </c>
      <c r="G729" s="38"/>
      <c r="H729" s="41">
        <f t="shared" si="18"/>
        <v>21.78</v>
      </c>
      <c r="I729" s="38"/>
      <c r="J729" s="60"/>
      <c r="K729" s="56"/>
    </row>
    <row r="730" spans="1:11" ht="20.05" customHeight="1" x14ac:dyDescent="0.2">
      <c r="A730" s="38"/>
      <c r="B730" s="36"/>
      <c r="C730" s="38">
        <v>1</v>
      </c>
      <c r="D730" s="38">
        <v>2</v>
      </c>
      <c r="E730" s="38">
        <v>3.7149999999999999</v>
      </c>
      <c r="F730" s="38">
        <v>3</v>
      </c>
      <c r="G730" s="38"/>
      <c r="H730" s="41">
        <f t="shared" si="18"/>
        <v>22.29</v>
      </c>
      <c r="I730" s="38"/>
      <c r="J730" s="60"/>
      <c r="K730" s="56"/>
    </row>
    <row r="731" spans="1:11" ht="20.05" customHeight="1" x14ac:dyDescent="0.2">
      <c r="A731" s="38"/>
      <c r="B731" s="36" t="s">
        <v>183</v>
      </c>
      <c r="C731" s="38">
        <v>-1</v>
      </c>
      <c r="D731" s="38">
        <v>1</v>
      </c>
      <c r="E731" s="38">
        <v>1</v>
      </c>
      <c r="F731" s="38">
        <v>2.6</v>
      </c>
      <c r="G731" s="38"/>
      <c r="H731" s="41">
        <f t="shared" si="18"/>
        <v>-2.6</v>
      </c>
      <c r="I731" s="38"/>
      <c r="J731" s="60"/>
      <c r="K731" s="56"/>
    </row>
    <row r="732" spans="1:11" ht="20.05" customHeight="1" x14ac:dyDescent="0.2">
      <c r="A732" s="38"/>
      <c r="B732" s="36" t="s">
        <v>188</v>
      </c>
      <c r="C732" s="38">
        <v>-1</v>
      </c>
      <c r="D732" s="38">
        <v>1</v>
      </c>
      <c r="E732" s="38">
        <v>1.5</v>
      </c>
      <c r="F732" s="38">
        <v>1.8</v>
      </c>
      <c r="G732" s="38"/>
      <c r="H732" s="41">
        <f t="shared" si="18"/>
        <v>-2.7</v>
      </c>
      <c r="I732" s="38"/>
      <c r="J732" s="60"/>
      <c r="K732" s="56"/>
    </row>
    <row r="733" spans="1:11" ht="20.05" customHeight="1" x14ac:dyDescent="0.2">
      <c r="A733" s="38"/>
      <c r="B733" s="36" t="s">
        <v>29</v>
      </c>
      <c r="C733" s="38">
        <v>1</v>
      </c>
      <c r="D733" s="38">
        <v>2</v>
      </c>
      <c r="E733" s="38">
        <v>5.8650000000000002</v>
      </c>
      <c r="F733" s="38">
        <v>3</v>
      </c>
      <c r="G733" s="38"/>
      <c r="H733" s="41">
        <f t="shared" si="18"/>
        <v>35.19</v>
      </c>
      <c r="I733" s="38"/>
      <c r="J733" s="60"/>
      <c r="K733" s="56"/>
    </row>
    <row r="734" spans="1:11" ht="20.05" customHeight="1" x14ac:dyDescent="0.2">
      <c r="A734" s="38"/>
      <c r="B734" s="36"/>
      <c r="C734" s="38">
        <v>1</v>
      </c>
      <c r="D734" s="38">
        <v>2</v>
      </c>
      <c r="E734" s="38">
        <v>6.23</v>
      </c>
      <c r="F734" s="38">
        <v>3</v>
      </c>
      <c r="G734" s="38"/>
      <c r="H734" s="41">
        <f t="shared" si="18"/>
        <v>37.380000000000003</v>
      </c>
      <c r="I734" s="38"/>
      <c r="J734" s="60"/>
      <c r="K734" s="56"/>
    </row>
    <row r="735" spans="1:11" ht="20.05" customHeight="1" x14ac:dyDescent="0.2">
      <c r="A735" s="38"/>
      <c r="B735" s="36" t="s">
        <v>183</v>
      </c>
      <c r="C735" s="38">
        <v>-1</v>
      </c>
      <c r="D735" s="38">
        <v>2</v>
      </c>
      <c r="E735" s="38">
        <v>1.8</v>
      </c>
      <c r="F735" s="38">
        <v>1.1000000000000001</v>
      </c>
      <c r="G735" s="38"/>
      <c r="H735" s="41">
        <f t="shared" si="18"/>
        <v>-3.9600000000000004</v>
      </c>
      <c r="I735" s="38"/>
      <c r="J735" s="60"/>
      <c r="K735" s="56"/>
    </row>
    <row r="736" spans="1:11" ht="20.05" customHeight="1" x14ac:dyDescent="0.2">
      <c r="A736" s="38"/>
      <c r="B736" s="36" t="s">
        <v>190</v>
      </c>
      <c r="C736" s="38">
        <v>-1</v>
      </c>
      <c r="D736" s="38">
        <v>2</v>
      </c>
      <c r="E736" s="38">
        <v>5.87</v>
      </c>
      <c r="F736" s="38">
        <v>1.5</v>
      </c>
      <c r="G736" s="38"/>
      <c r="H736" s="41">
        <f t="shared" si="18"/>
        <v>-17.61</v>
      </c>
      <c r="I736" s="38"/>
      <c r="J736" s="60"/>
      <c r="K736" s="56"/>
    </row>
    <row r="737" spans="1:11" ht="20.05" customHeight="1" x14ac:dyDescent="0.2">
      <c r="A737" s="38"/>
      <c r="B737" s="36" t="s">
        <v>190</v>
      </c>
      <c r="C737" s="38">
        <v>-1</v>
      </c>
      <c r="D737" s="38">
        <v>2</v>
      </c>
      <c r="E737" s="38">
        <v>6.23</v>
      </c>
      <c r="F737" s="38">
        <v>1.5</v>
      </c>
      <c r="G737" s="38"/>
      <c r="H737" s="41">
        <f t="shared" si="18"/>
        <v>-18.690000000000001</v>
      </c>
      <c r="I737" s="38"/>
      <c r="J737" s="60"/>
      <c r="K737" s="56"/>
    </row>
    <row r="738" spans="1:11" ht="20.05" customHeight="1" x14ac:dyDescent="0.2">
      <c r="A738" s="38"/>
      <c r="B738" s="36" t="s">
        <v>30</v>
      </c>
      <c r="C738" s="38">
        <v>1</v>
      </c>
      <c r="D738" s="38">
        <v>2</v>
      </c>
      <c r="E738" s="38">
        <v>7.8</v>
      </c>
      <c r="F738" s="38">
        <v>3</v>
      </c>
      <c r="G738" s="38"/>
      <c r="H738" s="41">
        <f t="shared" si="18"/>
        <v>46.8</v>
      </c>
      <c r="I738" s="38"/>
      <c r="J738" s="60"/>
      <c r="K738" s="56"/>
    </row>
    <row r="739" spans="1:11" ht="20.05" customHeight="1" x14ac:dyDescent="0.2">
      <c r="A739" s="38"/>
      <c r="B739" s="36"/>
      <c r="C739" s="38">
        <v>1</v>
      </c>
      <c r="D739" s="38">
        <v>2</v>
      </c>
      <c r="E739" s="38">
        <v>7.085</v>
      </c>
      <c r="F739" s="38">
        <v>3</v>
      </c>
      <c r="G739" s="38"/>
      <c r="H739" s="41">
        <f t="shared" si="18"/>
        <v>42.51</v>
      </c>
      <c r="I739" s="38"/>
      <c r="J739" s="60"/>
      <c r="K739" s="56"/>
    </row>
    <row r="740" spans="1:11" ht="20.05" customHeight="1" x14ac:dyDescent="0.2">
      <c r="A740" s="38"/>
      <c r="B740" s="36" t="s">
        <v>183</v>
      </c>
      <c r="C740" s="38">
        <v>-1</v>
      </c>
      <c r="D740" s="38">
        <v>1</v>
      </c>
      <c r="E740" s="38">
        <v>1.8</v>
      </c>
      <c r="F740" s="38">
        <v>1.1000000000000001</v>
      </c>
      <c r="G740" s="38"/>
      <c r="H740" s="41">
        <f t="shared" si="18"/>
        <v>-1.9800000000000002</v>
      </c>
      <c r="I740" s="38"/>
      <c r="J740" s="60"/>
      <c r="K740" s="56"/>
    </row>
    <row r="741" spans="1:11" ht="20.05" customHeight="1" x14ac:dyDescent="0.2">
      <c r="A741" s="38"/>
      <c r="B741" s="36" t="s">
        <v>188</v>
      </c>
      <c r="C741" s="38">
        <v>-1</v>
      </c>
      <c r="D741" s="38">
        <v>1</v>
      </c>
      <c r="E741" s="38">
        <v>1.8</v>
      </c>
      <c r="F741" s="38">
        <v>1.2</v>
      </c>
      <c r="G741" s="38"/>
      <c r="H741" s="41">
        <f t="shared" si="18"/>
        <v>-2.16</v>
      </c>
      <c r="I741" s="38"/>
      <c r="J741" s="60"/>
      <c r="K741" s="56"/>
    </row>
    <row r="742" spans="1:11" ht="20.05" customHeight="1" x14ac:dyDescent="0.2">
      <c r="A742" s="38"/>
      <c r="B742" s="36" t="s">
        <v>190</v>
      </c>
      <c r="C742" s="38">
        <v>-1</v>
      </c>
      <c r="D742" s="38">
        <v>2</v>
      </c>
      <c r="E742" s="38">
        <v>7.8</v>
      </c>
      <c r="F742" s="38">
        <v>1.5</v>
      </c>
      <c r="G742" s="38"/>
      <c r="H742" s="41">
        <f t="shared" si="18"/>
        <v>-23.4</v>
      </c>
      <c r="I742" s="38"/>
      <c r="J742" s="60"/>
      <c r="K742" s="56"/>
    </row>
    <row r="743" spans="1:11" ht="20.05" customHeight="1" x14ac:dyDescent="0.2">
      <c r="A743" s="38"/>
      <c r="B743" s="36" t="s">
        <v>190</v>
      </c>
      <c r="C743" s="38">
        <v>-1</v>
      </c>
      <c r="D743" s="38">
        <v>2</v>
      </c>
      <c r="E743" s="38">
        <v>7.085</v>
      </c>
      <c r="F743" s="38">
        <v>1.5</v>
      </c>
      <c r="G743" s="38"/>
      <c r="H743" s="41">
        <f t="shared" si="18"/>
        <v>-21.254999999999999</v>
      </c>
      <c r="I743" s="38"/>
      <c r="J743" s="60"/>
      <c r="K743" s="56"/>
    </row>
    <row r="744" spans="1:11" ht="20.05" customHeight="1" x14ac:dyDescent="0.2">
      <c r="A744" s="38"/>
      <c r="B744" s="36" t="s">
        <v>119</v>
      </c>
      <c r="C744" s="38">
        <v>1</v>
      </c>
      <c r="D744" s="38">
        <v>2</v>
      </c>
      <c r="E744" s="38">
        <v>1.5</v>
      </c>
      <c r="F744" s="38">
        <v>3</v>
      </c>
      <c r="G744" s="38"/>
      <c r="H744" s="41">
        <f t="shared" si="18"/>
        <v>9</v>
      </c>
      <c r="I744" s="38"/>
      <c r="J744" s="60"/>
      <c r="K744" s="56"/>
    </row>
    <row r="745" spans="1:11" ht="20.05" customHeight="1" x14ac:dyDescent="0.2">
      <c r="A745" s="38"/>
      <c r="B745" s="36"/>
      <c r="C745" s="38">
        <v>1</v>
      </c>
      <c r="D745" s="38">
        <v>2</v>
      </c>
      <c r="E745" s="38">
        <v>1.8</v>
      </c>
      <c r="F745" s="38">
        <v>3</v>
      </c>
      <c r="G745" s="38"/>
      <c r="H745" s="41">
        <f t="shared" si="18"/>
        <v>10.8</v>
      </c>
      <c r="I745" s="38"/>
      <c r="J745" s="60"/>
      <c r="K745" s="56"/>
    </row>
    <row r="746" spans="1:11" ht="20.05" customHeight="1" x14ac:dyDescent="0.2">
      <c r="A746" s="38"/>
      <c r="B746" s="36" t="s">
        <v>190</v>
      </c>
      <c r="C746" s="38">
        <v>-1</v>
      </c>
      <c r="D746" s="38">
        <v>2</v>
      </c>
      <c r="E746" s="38">
        <v>1.5</v>
      </c>
      <c r="F746" s="38">
        <v>2.1</v>
      </c>
      <c r="G746" s="38"/>
      <c r="H746" s="41">
        <f t="shared" si="18"/>
        <v>-6.3000000000000007</v>
      </c>
      <c r="I746" s="38"/>
      <c r="J746" s="60"/>
      <c r="K746" s="56"/>
    </row>
    <row r="747" spans="1:11" ht="20.05" customHeight="1" x14ac:dyDescent="0.2">
      <c r="A747" s="38"/>
      <c r="B747" s="36" t="s">
        <v>190</v>
      </c>
      <c r="C747" s="38">
        <v>-1</v>
      </c>
      <c r="D747" s="38">
        <v>2</v>
      </c>
      <c r="E747" s="38">
        <v>1.8</v>
      </c>
      <c r="F747" s="38">
        <v>2.1</v>
      </c>
      <c r="G747" s="38"/>
      <c r="H747" s="41">
        <f t="shared" si="18"/>
        <v>-7.5600000000000005</v>
      </c>
      <c r="I747" s="38"/>
      <c r="J747" s="60"/>
      <c r="K747" s="56"/>
    </row>
    <row r="748" spans="1:11" ht="20.05" customHeight="1" x14ac:dyDescent="0.2">
      <c r="A748" s="38"/>
      <c r="B748" s="36" t="s">
        <v>31</v>
      </c>
      <c r="C748" s="38">
        <v>1</v>
      </c>
      <c r="D748" s="38">
        <v>2</v>
      </c>
      <c r="E748" s="38">
        <v>4.95</v>
      </c>
      <c r="F748" s="38">
        <v>3</v>
      </c>
      <c r="G748" s="38"/>
      <c r="H748" s="41">
        <f t="shared" si="18"/>
        <v>29.700000000000003</v>
      </c>
      <c r="I748" s="38"/>
      <c r="J748" s="60"/>
      <c r="K748" s="56"/>
    </row>
    <row r="749" spans="1:11" ht="20.05" customHeight="1" x14ac:dyDescent="0.2">
      <c r="A749" s="38"/>
      <c r="B749" s="36"/>
      <c r="C749" s="38">
        <v>1</v>
      </c>
      <c r="D749" s="38">
        <v>2</v>
      </c>
      <c r="E749" s="38">
        <v>7.2</v>
      </c>
      <c r="F749" s="38">
        <v>3</v>
      </c>
      <c r="G749" s="38"/>
      <c r="H749" s="41">
        <f t="shared" si="18"/>
        <v>43.2</v>
      </c>
      <c r="I749" s="38"/>
      <c r="J749" s="60"/>
      <c r="K749" s="56"/>
    </row>
    <row r="750" spans="1:11" ht="20.05" customHeight="1" x14ac:dyDescent="0.2">
      <c r="A750" s="38"/>
      <c r="B750" s="36" t="s">
        <v>183</v>
      </c>
      <c r="C750" s="38">
        <v>-1</v>
      </c>
      <c r="D750" s="38">
        <v>1</v>
      </c>
      <c r="E750" s="38">
        <v>0.9</v>
      </c>
      <c r="F750" s="38">
        <v>2.6</v>
      </c>
      <c r="G750" s="38"/>
      <c r="H750" s="41">
        <f t="shared" si="18"/>
        <v>-2.3400000000000003</v>
      </c>
      <c r="I750" s="38"/>
      <c r="J750" s="60"/>
      <c r="K750" s="56"/>
    </row>
    <row r="751" spans="1:11" ht="20.05" customHeight="1" x14ac:dyDescent="0.2">
      <c r="A751" s="38"/>
      <c r="B751" s="36" t="s">
        <v>188</v>
      </c>
      <c r="C751" s="38">
        <v>-1</v>
      </c>
      <c r="D751" s="38">
        <v>3</v>
      </c>
      <c r="E751" s="38">
        <v>1.8</v>
      </c>
      <c r="F751" s="38">
        <v>1.8</v>
      </c>
      <c r="G751" s="38"/>
      <c r="H751" s="41">
        <f t="shared" si="18"/>
        <v>-9.7200000000000006</v>
      </c>
      <c r="I751" s="38"/>
      <c r="J751" s="60"/>
      <c r="K751" s="56"/>
    </row>
    <row r="752" spans="1:11" ht="20.05" customHeight="1" x14ac:dyDescent="0.2">
      <c r="A752" s="38"/>
      <c r="B752" s="36" t="s">
        <v>34</v>
      </c>
      <c r="C752" s="38">
        <v>1</v>
      </c>
      <c r="D752" s="38">
        <v>2</v>
      </c>
      <c r="E752" s="38">
        <v>3.37</v>
      </c>
      <c r="F752" s="38">
        <v>3</v>
      </c>
      <c r="G752" s="38"/>
      <c r="H752" s="41">
        <f t="shared" si="18"/>
        <v>20.22</v>
      </c>
      <c r="I752" s="38"/>
      <c r="J752" s="60"/>
      <c r="K752" s="56"/>
    </row>
    <row r="753" spans="1:11" ht="20.05" customHeight="1" x14ac:dyDescent="0.2">
      <c r="A753" s="38"/>
      <c r="B753" s="36"/>
      <c r="C753" s="38">
        <v>1</v>
      </c>
      <c r="D753" s="38">
        <v>2</v>
      </c>
      <c r="E753" s="38">
        <v>3.2149999999999999</v>
      </c>
      <c r="F753" s="38">
        <v>3</v>
      </c>
      <c r="G753" s="38"/>
      <c r="H753" s="41">
        <f t="shared" si="18"/>
        <v>19.29</v>
      </c>
      <c r="I753" s="38"/>
      <c r="J753" s="60"/>
      <c r="K753" s="56"/>
    </row>
    <row r="754" spans="1:11" ht="20.05" customHeight="1" x14ac:dyDescent="0.2">
      <c r="A754" s="38"/>
      <c r="B754" s="36" t="s">
        <v>183</v>
      </c>
      <c r="C754" s="38">
        <v>-1</v>
      </c>
      <c r="D754" s="38">
        <v>1</v>
      </c>
      <c r="E754" s="38">
        <v>0.9</v>
      </c>
      <c r="F754" s="38">
        <v>1.1000000000000001</v>
      </c>
      <c r="G754" s="38"/>
      <c r="H754" s="41">
        <f t="shared" si="18"/>
        <v>-0.9900000000000001</v>
      </c>
      <c r="I754" s="38"/>
      <c r="J754" s="60"/>
      <c r="K754" s="56"/>
    </row>
    <row r="755" spans="1:11" ht="20.05" customHeight="1" x14ac:dyDescent="0.2">
      <c r="A755" s="38"/>
      <c r="B755" s="36" t="s">
        <v>188</v>
      </c>
      <c r="C755" s="38">
        <v>-1</v>
      </c>
      <c r="D755" s="38">
        <v>1</v>
      </c>
      <c r="E755" s="38">
        <v>1.5</v>
      </c>
      <c r="F755" s="38">
        <v>1.2</v>
      </c>
      <c r="G755" s="38"/>
      <c r="H755" s="41">
        <f t="shared" ref="H755:H818" si="19">PRODUCT(C755:F755)</f>
        <v>-1.7999999999999998</v>
      </c>
      <c r="I755" s="38"/>
      <c r="J755" s="60"/>
      <c r="K755" s="56"/>
    </row>
    <row r="756" spans="1:11" ht="20.05" customHeight="1" x14ac:dyDescent="0.2">
      <c r="A756" s="38"/>
      <c r="B756" s="36" t="s">
        <v>190</v>
      </c>
      <c r="C756" s="38">
        <v>-1</v>
      </c>
      <c r="D756" s="38">
        <v>2</v>
      </c>
      <c r="E756" s="38">
        <v>3.37</v>
      </c>
      <c r="F756" s="38">
        <v>1.5</v>
      </c>
      <c r="G756" s="38"/>
      <c r="H756" s="41">
        <f t="shared" si="19"/>
        <v>-10.11</v>
      </c>
      <c r="I756" s="38"/>
      <c r="J756" s="60"/>
      <c r="K756" s="56"/>
    </row>
    <row r="757" spans="1:11" ht="20.05" customHeight="1" x14ac:dyDescent="0.2">
      <c r="A757" s="38"/>
      <c r="B757" s="36" t="s">
        <v>190</v>
      </c>
      <c r="C757" s="38">
        <v>-1</v>
      </c>
      <c r="D757" s="38">
        <v>2</v>
      </c>
      <c r="E757" s="38">
        <v>3.2149999999999999</v>
      </c>
      <c r="F757" s="38">
        <v>1.5</v>
      </c>
      <c r="G757" s="38"/>
      <c r="H757" s="41">
        <f t="shared" si="19"/>
        <v>-9.6449999999999996</v>
      </c>
      <c r="I757" s="38"/>
      <c r="J757" s="60"/>
      <c r="K757" s="56"/>
    </row>
    <row r="758" spans="1:11" ht="20.05" customHeight="1" x14ac:dyDescent="0.2">
      <c r="A758" s="38"/>
      <c r="B758" s="36" t="s">
        <v>32</v>
      </c>
      <c r="C758" s="38">
        <v>1</v>
      </c>
      <c r="D758" s="38">
        <v>2</v>
      </c>
      <c r="E758" s="38">
        <v>3.16</v>
      </c>
      <c r="F758" s="38">
        <v>3</v>
      </c>
      <c r="G758" s="38"/>
      <c r="H758" s="41">
        <f t="shared" si="19"/>
        <v>18.96</v>
      </c>
      <c r="I758" s="38"/>
      <c r="J758" s="60"/>
      <c r="K758" s="56"/>
    </row>
    <row r="759" spans="1:11" ht="20.05" customHeight="1" x14ac:dyDescent="0.2">
      <c r="A759" s="38"/>
      <c r="B759" s="36"/>
      <c r="C759" s="38">
        <v>1</v>
      </c>
      <c r="D759" s="38">
        <v>2</v>
      </c>
      <c r="E759" s="38">
        <v>3.2149999999999999</v>
      </c>
      <c r="F759" s="38">
        <v>3</v>
      </c>
      <c r="G759" s="38"/>
      <c r="H759" s="41">
        <f t="shared" si="19"/>
        <v>19.29</v>
      </c>
      <c r="I759" s="38"/>
      <c r="J759" s="60"/>
      <c r="K759" s="56"/>
    </row>
    <row r="760" spans="1:11" ht="20.05" customHeight="1" x14ac:dyDescent="0.2">
      <c r="A760" s="38"/>
      <c r="B760" s="36" t="s">
        <v>183</v>
      </c>
      <c r="C760" s="38">
        <v>-1</v>
      </c>
      <c r="D760" s="38">
        <v>1</v>
      </c>
      <c r="E760" s="38">
        <v>1.2</v>
      </c>
      <c r="F760" s="38">
        <v>2.6</v>
      </c>
      <c r="G760" s="38"/>
      <c r="H760" s="41">
        <f t="shared" si="19"/>
        <v>-3.12</v>
      </c>
      <c r="I760" s="38"/>
      <c r="J760" s="60"/>
      <c r="K760" s="56"/>
    </row>
    <row r="761" spans="1:11" ht="20.05" customHeight="1" x14ac:dyDescent="0.2">
      <c r="A761" s="38"/>
      <c r="B761" s="36" t="s">
        <v>33</v>
      </c>
      <c r="C761" s="38">
        <v>1</v>
      </c>
      <c r="D761" s="38">
        <v>2</v>
      </c>
      <c r="E761" s="38">
        <v>3.0449999999999999</v>
      </c>
      <c r="F761" s="38">
        <v>3</v>
      </c>
      <c r="G761" s="38"/>
      <c r="H761" s="41">
        <f t="shared" si="19"/>
        <v>18.27</v>
      </c>
      <c r="I761" s="38"/>
      <c r="J761" s="60"/>
      <c r="K761" s="56"/>
    </row>
    <row r="762" spans="1:11" ht="20.05" customHeight="1" x14ac:dyDescent="0.2">
      <c r="A762" s="38"/>
      <c r="B762" s="36"/>
      <c r="C762" s="38">
        <v>1</v>
      </c>
      <c r="D762" s="38">
        <v>2</v>
      </c>
      <c r="E762" s="38">
        <v>3.2149999999999999</v>
      </c>
      <c r="F762" s="38">
        <v>3</v>
      </c>
      <c r="G762" s="38"/>
      <c r="H762" s="41">
        <f t="shared" si="19"/>
        <v>19.29</v>
      </c>
      <c r="I762" s="38"/>
      <c r="J762" s="60"/>
      <c r="K762" s="56"/>
    </row>
    <row r="763" spans="1:11" ht="20.05" customHeight="1" x14ac:dyDescent="0.2">
      <c r="A763" s="38"/>
      <c r="B763" s="36" t="s">
        <v>183</v>
      </c>
      <c r="C763" s="38">
        <v>-1</v>
      </c>
      <c r="D763" s="38">
        <v>1</v>
      </c>
      <c r="E763" s="38">
        <v>0.9</v>
      </c>
      <c r="F763" s="38">
        <v>2.6</v>
      </c>
      <c r="G763" s="38"/>
      <c r="H763" s="41">
        <f t="shared" si="19"/>
        <v>-2.3400000000000003</v>
      </c>
      <c r="I763" s="38"/>
      <c r="J763" s="60"/>
      <c r="K763" s="56"/>
    </row>
    <row r="764" spans="1:11" ht="20.05" customHeight="1" x14ac:dyDescent="0.2">
      <c r="A764" s="38"/>
      <c r="B764" s="36" t="s">
        <v>35</v>
      </c>
      <c r="C764" s="38">
        <v>1</v>
      </c>
      <c r="D764" s="38">
        <v>2</v>
      </c>
      <c r="E764" s="38">
        <v>3</v>
      </c>
      <c r="F764" s="38">
        <v>3</v>
      </c>
      <c r="G764" s="38"/>
      <c r="H764" s="41">
        <f t="shared" si="19"/>
        <v>18</v>
      </c>
      <c r="I764" s="38"/>
      <c r="J764" s="60"/>
      <c r="K764" s="56"/>
    </row>
    <row r="765" spans="1:11" ht="20.05" customHeight="1" x14ac:dyDescent="0.2">
      <c r="A765" s="38"/>
      <c r="B765" s="36"/>
      <c r="C765" s="38">
        <v>1</v>
      </c>
      <c r="D765" s="38">
        <v>2</v>
      </c>
      <c r="E765" s="38">
        <v>3.2149999999999999</v>
      </c>
      <c r="F765" s="38">
        <v>3</v>
      </c>
      <c r="G765" s="38"/>
      <c r="H765" s="41">
        <f t="shared" si="19"/>
        <v>19.29</v>
      </c>
      <c r="I765" s="38"/>
      <c r="J765" s="60"/>
      <c r="K765" s="56"/>
    </row>
    <row r="766" spans="1:11" ht="20.05" customHeight="1" x14ac:dyDescent="0.2">
      <c r="A766" s="38"/>
      <c r="B766" s="36" t="s">
        <v>183</v>
      </c>
      <c r="C766" s="38">
        <v>-1</v>
      </c>
      <c r="D766" s="38">
        <v>1</v>
      </c>
      <c r="E766" s="38">
        <v>0.9</v>
      </c>
      <c r="F766" s="38">
        <v>1.1000000000000001</v>
      </c>
      <c r="G766" s="38"/>
      <c r="H766" s="41">
        <f t="shared" si="19"/>
        <v>-0.9900000000000001</v>
      </c>
      <c r="I766" s="38"/>
      <c r="J766" s="60"/>
      <c r="K766" s="56"/>
    </row>
    <row r="767" spans="1:11" ht="20.05" customHeight="1" x14ac:dyDescent="0.2">
      <c r="A767" s="38"/>
      <c r="B767" s="36" t="s">
        <v>190</v>
      </c>
      <c r="C767" s="38">
        <v>-1</v>
      </c>
      <c r="D767" s="38">
        <v>2</v>
      </c>
      <c r="E767" s="38">
        <v>3</v>
      </c>
      <c r="F767" s="38">
        <v>1.5</v>
      </c>
      <c r="G767" s="38"/>
      <c r="H767" s="41">
        <f t="shared" si="19"/>
        <v>-9</v>
      </c>
      <c r="I767" s="38"/>
      <c r="J767" s="60"/>
      <c r="K767" s="56"/>
    </row>
    <row r="768" spans="1:11" ht="20.05" customHeight="1" x14ac:dyDescent="0.2">
      <c r="A768" s="38"/>
      <c r="B768" s="36" t="s">
        <v>190</v>
      </c>
      <c r="C768" s="38">
        <v>-1</v>
      </c>
      <c r="D768" s="38">
        <v>2</v>
      </c>
      <c r="E768" s="38">
        <v>3.2149999999999999</v>
      </c>
      <c r="F768" s="38">
        <v>1.5</v>
      </c>
      <c r="G768" s="38"/>
      <c r="H768" s="41">
        <f t="shared" si="19"/>
        <v>-9.6449999999999996</v>
      </c>
      <c r="I768" s="38"/>
      <c r="J768" s="60"/>
      <c r="K768" s="56"/>
    </row>
    <row r="769" spans="1:11" ht="20.05" customHeight="1" x14ac:dyDescent="0.2">
      <c r="A769" s="38"/>
      <c r="B769" s="36" t="s">
        <v>36</v>
      </c>
      <c r="C769" s="38">
        <v>1</v>
      </c>
      <c r="D769" s="38">
        <v>2</v>
      </c>
      <c r="E769" s="38">
        <v>15.788</v>
      </c>
      <c r="F769" s="38">
        <v>3</v>
      </c>
      <c r="G769" s="38"/>
      <c r="H769" s="41">
        <f t="shared" si="19"/>
        <v>94.728000000000009</v>
      </c>
      <c r="I769" s="38"/>
      <c r="J769" s="60"/>
      <c r="K769" s="56"/>
    </row>
    <row r="770" spans="1:11" ht="20.05" customHeight="1" x14ac:dyDescent="0.2">
      <c r="A770" s="38"/>
      <c r="B770" s="36"/>
      <c r="C770" s="38">
        <v>1</v>
      </c>
      <c r="D770" s="38">
        <v>2</v>
      </c>
      <c r="E770" s="38">
        <v>1.3759999999999999</v>
      </c>
      <c r="F770" s="38">
        <v>3</v>
      </c>
      <c r="G770" s="38"/>
      <c r="H770" s="41">
        <f t="shared" si="19"/>
        <v>8.2560000000000002</v>
      </c>
      <c r="I770" s="38"/>
      <c r="J770" s="60"/>
      <c r="K770" s="56"/>
    </row>
    <row r="771" spans="1:11" ht="20.05" customHeight="1" x14ac:dyDescent="0.2">
      <c r="A771" s="38"/>
      <c r="B771" s="36" t="s">
        <v>188</v>
      </c>
      <c r="C771" s="38">
        <v>-1</v>
      </c>
      <c r="D771" s="38">
        <v>5</v>
      </c>
      <c r="E771" s="38">
        <v>1.8</v>
      </c>
      <c r="F771" s="38">
        <v>1.2</v>
      </c>
      <c r="G771" s="38"/>
      <c r="H771" s="41">
        <f t="shared" si="19"/>
        <v>-10.799999999999999</v>
      </c>
      <c r="I771" s="38"/>
      <c r="J771" s="60"/>
      <c r="K771" s="56"/>
    </row>
    <row r="772" spans="1:11" ht="20.05" customHeight="1" x14ac:dyDescent="0.2">
      <c r="A772" s="38"/>
      <c r="B772" s="36" t="s">
        <v>190</v>
      </c>
      <c r="C772" s="38">
        <v>-1</v>
      </c>
      <c r="D772" s="38">
        <v>2</v>
      </c>
      <c r="E772" s="38">
        <v>15.79</v>
      </c>
      <c r="F772" s="38">
        <v>1.5</v>
      </c>
      <c r="G772" s="38"/>
      <c r="H772" s="41">
        <f t="shared" si="19"/>
        <v>-47.37</v>
      </c>
      <c r="I772" s="38"/>
      <c r="J772" s="60"/>
      <c r="K772" s="56"/>
    </row>
    <row r="773" spans="1:11" ht="20.05" customHeight="1" x14ac:dyDescent="0.2">
      <c r="A773" s="48"/>
      <c r="B773" s="49" t="s">
        <v>190</v>
      </c>
      <c r="C773" s="48">
        <v>-1</v>
      </c>
      <c r="D773" s="48">
        <v>2</v>
      </c>
      <c r="E773" s="48">
        <v>1.3759999999999999</v>
      </c>
      <c r="F773" s="48">
        <v>1.5</v>
      </c>
      <c r="G773" s="48"/>
      <c r="H773" s="50">
        <f t="shared" si="19"/>
        <v>-4.1280000000000001</v>
      </c>
      <c r="I773" s="48"/>
      <c r="J773" s="61"/>
      <c r="K773" s="57"/>
    </row>
    <row r="774" spans="1:11" ht="20.05" customHeight="1" x14ac:dyDescent="0.2">
      <c r="A774" s="38"/>
      <c r="B774" s="36" t="s">
        <v>37</v>
      </c>
      <c r="C774" s="38">
        <v>1</v>
      </c>
      <c r="D774" s="38">
        <v>1</v>
      </c>
      <c r="E774" s="38">
        <v>2.02</v>
      </c>
      <c r="F774" s="38">
        <v>3</v>
      </c>
      <c r="G774" s="38"/>
      <c r="H774" s="41">
        <f t="shared" si="19"/>
        <v>6.0600000000000005</v>
      </c>
      <c r="I774" s="38"/>
      <c r="J774" s="60"/>
      <c r="K774" s="56"/>
    </row>
    <row r="775" spans="1:11" ht="20.05" customHeight="1" x14ac:dyDescent="0.2">
      <c r="A775" s="38"/>
      <c r="B775" s="36"/>
      <c r="C775" s="38">
        <v>1</v>
      </c>
      <c r="D775" s="38">
        <v>2</v>
      </c>
      <c r="E775" s="38">
        <v>8.2949999999999999</v>
      </c>
      <c r="F775" s="38">
        <v>3</v>
      </c>
      <c r="G775" s="38"/>
      <c r="H775" s="41">
        <f t="shared" si="19"/>
        <v>49.769999999999996</v>
      </c>
      <c r="I775" s="38"/>
      <c r="J775" s="60"/>
      <c r="K775" s="56"/>
    </row>
    <row r="776" spans="1:11" ht="20.05" customHeight="1" x14ac:dyDescent="0.2">
      <c r="A776" s="38"/>
      <c r="B776" s="36" t="s">
        <v>188</v>
      </c>
      <c r="C776" s="38">
        <v>-1</v>
      </c>
      <c r="D776" s="38">
        <v>1</v>
      </c>
      <c r="E776" s="38">
        <v>1.8</v>
      </c>
      <c r="F776" s="38">
        <v>1.2</v>
      </c>
      <c r="G776" s="38"/>
      <c r="H776" s="41">
        <f t="shared" si="19"/>
        <v>-2.16</v>
      </c>
      <c r="I776" s="38"/>
      <c r="J776" s="60"/>
      <c r="K776" s="56"/>
    </row>
    <row r="777" spans="1:11" ht="20.05" customHeight="1" x14ac:dyDescent="0.2">
      <c r="A777" s="38"/>
      <c r="B777" s="36" t="s">
        <v>190</v>
      </c>
      <c r="C777" s="38">
        <v>-1</v>
      </c>
      <c r="D777" s="38">
        <v>1</v>
      </c>
      <c r="E777" s="38">
        <v>2.02</v>
      </c>
      <c r="F777" s="38">
        <v>1.5</v>
      </c>
      <c r="G777" s="38"/>
      <c r="H777" s="41">
        <f t="shared" si="19"/>
        <v>-3.0300000000000002</v>
      </c>
      <c r="I777" s="38"/>
      <c r="J777" s="60"/>
      <c r="K777" s="56"/>
    </row>
    <row r="778" spans="1:11" ht="20.05" customHeight="1" x14ac:dyDescent="0.2">
      <c r="A778" s="38"/>
      <c r="B778" s="36" t="s">
        <v>190</v>
      </c>
      <c r="C778" s="38">
        <v>-1</v>
      </c>
      <c r="D778" s="38">
        <v>2</v>
      </c>
      <c r="E778" s="38">
        <v>8.2949999999999999</v>
      </c>
      <c r="F778" s="38">
        <v>1.5</v>
      </c>
      <c r="G778" s="38"/>
      <c r="H778" s="41">
        <f t="shared" si="19"/>
        <v>-24.884999999999998</v>
      </c>
      <c r="I778" s="38"/>
      <c r="J778" s="60"/>
      <c r="K778" s="56"/>
    </row>
    <row r="779" spans="1:11" ht="20.05" customHeight="1" x14ac:dyDescent="0.2">
      <c r="A779" s="38"/>
      <c r="B779" s="36" t="s">
        <v>38</v>
      </c>
      <c r="C779" s="38">
        <v>1</v>
      </c>
      <c r="D779" s="38">
        <v>2</v>
      </c>
      <c r="E779" s="38">
        <v>34.356000000000002</v>
      </c>
      <c r="F779" s="38">
        <v>3</v>
      </c>
      <c r="G779" s="38"/>
      <c r="H779" s="41">
        <f t="shared" si="19"/>
        <v>206.13600000000002</v>
      </c>
      <c r="I779" s="38"/>
      <c r="J779" s="60"/>
      <c r="K779" s="56"/>
    </row>
    <row r="780" spans="1:11" ht="20.05" customHeight="1" x14ac:dyDescent="0.2">
      <c r="A780" s="38"/>
      <c r="B780" s="36"/>
      <c r="C780" s="38">
        <v>1</v>
      </c>
      <c r="D780" s="38">
        <v>2</v>
      </c>
      <c r="E780" s="38">
        <v>2.4</v>
      </c>
      <c r="F780" s="38">
        <v>3</v>
      </c>
      <c r="G780" s="38"/>
      <c r="H780" s="41">
        <f t="shared" si="19"/>
        <v>14.399999999999999</v>
      </c>
      <c r="I780" s="38"/>
      <c r="J780" s="60"/>
      <c r="K780" s="56"/>
    </row>
    <row r="781" spans="1:11" ht="20.05" customHeight="1" x14ac:dyDescent="0.2">
      <c r="A781" s="38"/>
      <c r="B781" s="36" t="s">
        <v>183</v>
      </c>
      <c r="C781" s="38">
        <v>-1</v>
      </c>
      <c r="D781" s="38">
        <v>1</v>
      </c>
      <c r="E781" s="38">
        <v>2</v>
      </c>
      <c r="F781" s="38">
        <v>1.1000000000000001</v>
      </c>
      <c r="G781" s="38"/>
      <c r="H781" s="41">
        <f t="shared" si="19"/>
        <v>-2.2000000000000002</v>
      </c>
      <c r="I781" s="38"/>
      <c r="J781" s="60"/>
      <c r="K781" s="56"/>
    </row>
    <row r="782" spans="1:11" ht="20.05" customHeight="1" x14ac:dyDescent="0.2">
      <c r="A782" s="38"/>
      <c r="B782" s="36" t="s">
        <v>183</v>
      </c>
      <c r="C782" s="38">
        <v>-1</v>
      </c>
      <c r="D782" s="38">
        <v>2</v>
      </c>
      <c r="E782" s="38">
        <v>1.8</v>
      </c>
      <c r="F782" s="38">
        <v>1.1000000000000001</v>
      </c>
      <c r="G782" s="38"/>
      <c r="H782" s="41">
        <f t="shared" si="19"/>
        <v>-3.9600000000000004</v>
      </c>
      <c r="I782" s="38"/>
      <c r="J782" s="60"/>
      <c r="K782" s="56"/>
    </row>
    <row r="783" spans="1:11" ht="20.05" customHeight="1" x14ac:dyDescent="0.2">
      <c r="A783" s="38"/>
      <c r="B783" s="36" t="s">
        <v>183</v>
      </c>
      <c r="C783" s="38">
        <v>-1</v>
      </c>
      <c r="D783" s="38">
        <v>3</v>
      </c>
      <c r="E783" s="38">
        <v>1.2</v>
      </c>
      <c r="F783" s="38">
        <v>1.1000000000000001</v>
      </c>
      <c r="G783" s="38"/>
      <c r="H783" s="41">
        <f t="shared" si="19"/>
        <v>-3.96</v>
      </c>
      <c r="I783" s="38"/>
      <c r="J783" s="60"/>
      <c r="K783" s="56"/>
    </row>
    <row r="784" spans="1:11" ht="20.05" customHeight="1" x14ac:dyDescent="0.2">
      <c r="A784" s="38"/>
      <c r="B784" s="36" t="s">
        <v>183</v>
      </c>
      <c r="C784" s="38">
        <v>-1</v>
      </c>
      <c r="D784" s="38">
        <v>1</v>
      </c>
      <c r="E784" s="38">
        <v>1</v>
      </c>
      <c r="F784" s="38">
        <v>1.1000000000000001</v>
      </c>
      <c r="G784" s="38"/>
      <c r="H784" s="41">
        <f t="shared" si="19"/>
        <v>-1.1000000000000001</v>
      </c>
      <c r="I784" s="38"/>
      <c r="J784" s="60"/>
      <c r="K784" s="56"/>
    </row>
    <row r="785" spans="1:11" ht="20.05" customHeight="1" x14ac:dyDescent="0.2">
      <c r="A785" s="38"/>
      <c r="B785" s="36" t="s">
        <v>183</v>
      </c>
      <c r="C785" s="38">
        <v>-1</v>
      </c>
      <c r="D785" s="38">
        <v>2</v>
      </c>
      <c r="E785" s="38">
        <v>0.9</v>
      </c>
      <c r="F785" s="38">
        <v>1.1000000000000001</v>
      </c>
      <c r="G785" s="38"/>
      <c r="H785" s="41">
        <f t="shared" si="19"/>
        <v>-1.9800000000000002</v>
      </c>
      <c r="I785" s="38"/>
      <c r="J785" s="60"/>
      <c r="K785" s="56"/>
    </row>
    <row r="786" spans="1:11" ht="20.05" customHeight="1" x14ac:dyDescent="0.2">
      <c r="A786" s="38"/>
      <c r="B786" s="36" t="s">
        <v>183</v>
      </c>
      <c r="C786" s="38">
        <v>-1</v>
      </c>
      <c r="D786" s="38">
        <v>1</v>
      </c>
      <c r="E786" s="38">
        <v>3</v>
      </c>
      <c r="F786" s="38">
        <v>1.1000000000000001</v>
      </c>
      <c r="G786" s="38"/>
      <c r="H786" s="41">
        <f t="shared" si="19"/>
        <v>-3.3000000000000003</v>
      </c>
      <c r="I786" s="38"/>
      <c r="J786" s="60"/>
      <c r="K786" s="56"/>
    </row>
    <row r="787" spans="1:11" ht="20.05" customHeight="1" x14ac:dyDescent="0.2">
      <c r="A787" s="38"/>
      <c r="B787" s="36" t="s">
        <v>183</v>
      </c>
      <c r="C787" s="38">
        <v>-1</v>
      </c>
      <c r="D787" s="38">
        <v>1</v>
      </c>
      <c r="E787" s="38">
        <v>2.4</v>
      </c>
      <c r="F787" s="38">
        <v>1.1000000000000001</v>
      </c>
      <c r="G787" s="38"/>
      <c r="H787" s="41">
        <f t="shared" si="19"/>
        <v>-2.64</v>
      </c>
      <c r="I787" s="38"/>
      <c r="J787" s="60"/>
      <c r="K787" s="56"/>
    </row>
    <row r="788" spans="1:11" ht="20.05" customHeight="1" x14ac:dyDescent="0.2">
      <c r="A788" s="38"/>
      <c r="B788" s="36" t="s">
        <v>183</v>
      </c>
      <c r="C788" s="38">
        <v>-1</v>
      </c>
      <c r="D788" s="38">
        <v>1</v>
      </c>
      <c r="E788" s="38">
        <v>2</v>
      </c>
      <c r="F788" s="38">
        <v>1.1000000000000001</v>
      </c>
      <c r="G788" s="38"/>
      <c r="H788" s="41">
        <f t="shared" si="19"/>
        <v>-2.2000000000000002</v>
      </c>
      <c r="I788" s="38"/>
      <c r="J788" s="60"/>
      <c r="K788" s="56"/>
    </row>
    <row r="789" spans="1:11" ht="20.05" customHeight="1" x14ac:dyDescent="0.2">
      <c r="A789" s="38"/>
      <c r="B789" s="36" t="s">
        <v>190</v>
      </c>
      <c r="C789" s="38">
        <v>-1</v>
      </c>
      <c r="D789" s="38">
        <v>2</v>
      </c>
      <c r="E789" s="38">
        <v>34.36</v>
      </c>
      <c r="F789" s="38">
        <v>1.5</v>
      </c>
      <c r="G789" s="38"/>
      <c r="H789" s="41">
        <f t="shared" si="19"/>
        <v>-103.08</v>
      </c>
      <c r="I789" s="38"/>
      <c r="J789" s="60"/>
      <c r="K789" s="56"/>
    </row>
    <row r="790" spans="1:11" ht="20.05" customHeight="1" x14ac:dyDescent="0.2">
      <c r="A790" s="38"/>
      <c r="B790" s="36" t="s">
        <v>190</v>
      </c>
      <c r="C790" s="38">
        <v>-1</v>
      </c>
      <c r="D790" s="38">
        <v>2</v>
      </c>
      <c r="E790" s="38">
        <v>2.4</v>
      </c>
      <c r="F790" s="38">
        <v>1.5</v>
      </c>
      <c r="G790" s="38"/>
      <c r="H790" s="41">
        <f t="shared" si="19"/>
        <v>-7.1999999999999993</v>
      </c>
      <c r="I790" s="38"/>
      <c r="J790" s="60"/>
      <c r="K790" s="56"/>
    </row>
    <row r="791" spans="1:11" ht="20.05" customHeight="1" x14ac:dyDescent="0.2">
      <c r="A791" s="38"/>
      <c r="B791" s="36" t="s">
        <v>188</v>
      </c>
      <c r="C791" s="38">
        <v>-1</v>
      </c>
      <c r="D791" s="38">
        <v>1</v>
      </c>
      <c r="E791" s="38">
        <v>1.5</v>
      </c>
      <c r="F791" s="38">
        <v>1.2</v>
      </c>
      <c r="G791" s="38"/>
      <c r="H791" s="41">
        <f t="shared" si="19"/>
        <v>-1.7999999999999998</v>
      </c>
      <c r="I791" s="38"/>
      <c r="J791" s="60"/>
      <c r="K791" s="56"/>
    </row>
    <row r="792" spans="1:11" ht="20.05" customHeight="1" x14ac:dyDescent="0.2">
      <c r="A792" s="38"/>
      <c r="B792" s="36" t="s">
        <v>39</v>
      </c>
      <c r="C792" s="38">
        <v>1</v>
      </c>
      <c r="D792" s="38">
        <v>2</v>
      </c>
      <c r="E792" s="38">
        <v>3</v>
      </c>
      <c r="F792" s="38">
        <v>3</v>
      </c>
      <c r="G792" s="38"/>
      <c r="H792" s="41">
        <f t="shared" si="19"/>
        <v>18</v>
      </c>
      <c r="I792" s="38"/>
      <c r="J792" s="60"/>
      <c r="K792" s="56"/>
    </row>
    <row r="793" spans="1:11" ht="20.05" customHeight="1" x14ac:dyDescent="0.2">
      <c r="A793" s="38"/>
      <c r="B793" s="36"/>
      <c r="C793" s="38">
        <v>1</v>
      </c>
      <c r="D793" s="38">
        <v>2</v>
      </c>
      <c r="E793" s="38">
        <v>15.05</v>
      </c>
      <c r="F793" s="38">
        <v>3</v>
      </c>
      <c r="G793" s="38"/>
      <c r="H793" s="41">
        <f t="shared" si="19"/>
        <v>90.300000000000011</v>
      </c>
      <c r="I793" s="38"/>
      <c r="J793" s="60"/>
      <c r="K793" s="56"/>
    </row>
    <row r="794" spans="1:11" ht="20.05" customHeight="1" x14ac:dyDescent="0.2">
      <c r="A794" s="38"/>
      <c r="B794" s="36" t="s">
        <v>183</v>
      </c>
      <c r="C794" s="38">
        <v>-1</v>
      </c>
      <c r="D794" s="38">
        <v>1</v>
      </c>
      <c r="E794" s="38">
        <v>2</v>
      </c>
      <c r="F794" s="38">
        <v>1.1000000000000001</v>
      </c>
      <c r="G794" s="38"/>
      <c r="H794" s="41">
        <f t="shared" si="19"/>
        <v>-2.2000000000000002</v>
      </c>
      <c r="I794" s="38"/>
      <c r="J794" s="60"/>
      <c r="K794" s="56"/>
    </row>
    <row r="795" spans="1:11" ht="20.05" customHeight="1" x14ac:dyDescent="0.2">
      <c r="A795" s="38"/>
      <c r="B795" s="36" t="s">
        <v>183</v>
      </c>
      <c r="C795" s="38">
        <v>-1</v>
      </c>
      <c r="D795" s="38">
        <v>1</v>
      </c>
      <c r="E795" s="38">
        <v>0.9</v>
      </c>
      <c r="F795" s="38">
        <v>1.1000000000000001</v>
      </c>
      <c r="G795" s="38"/>
      <c r="H795" s="41">
        <f t="shared" si="19"/>
        <v>-0.9900000000000001</v>
      </c>
      <c r="I795" s="38"/>
      <c r="J795" s="60"/>
      <c r="K795" s="56"/>
    </row>
    <row r="796" spans="1:11" ht="20.05" customHeight="1" x14ac:dyDescent="0.2">
      <c r="A796" s="38"/>
      <c r="B796" s="36" t="s">
        <v>183</v>
      </c>
      <c r="C796" s="38">
        <v>-1</v>
      </c>
      <c r="D796" s="38">
        <v>1</v>
      </c>
      <c r="E796" s="38">
        <v>1.2</v>
      </c>
      <c r="F796" s="38">
        <v>1.1000000000000001</v>
      </c>
      <c r="G796" s="38"/>
      <c r="H796" s="41">
        <f t="shared" si="19"/>
        <v>-1.32</v>
      </c>
      <c r="I796" s="38"/>
      <c r="J796" s="60"/>
      <c r="K796" s="56"/>
    </row>
    <row r="797" spans="1:11" ht="20.05" customHeight="1" x14ac:dyDescent="0.2">
      <c r="A797" s="38"/>
      <c r="B797" s="36" t="s">
        <v>190</v>
      </c>
      <c r="C797" s="38">
        <v>-1</v>
      </c>
      <c r="D797" s="38">
        <v>2</v>
      </c>
      <c r="E797" s="38">
        <v>15.05</v>
      </c>
      <c r="F797" s="38">
        <v>1.5</v>
      </c>
      <c r="G797" s="38"/>
      <c r="H797" s="41">
        <f t="shared" si="19"/>
        <v>-45.150000000000006</v>
      </c>
      <c r="I797" s="38"/>
      <c r="J797" s="60"/>
      <c r="K797" s="56"/>
    </row>
    <row r="798" spans="1:11" ht="20.05" customHeight="1" x14ac:dyDescent="0.2">
      <c r="A798" s="38"/>
      <c r="B798" s="36" t="s">
        <v>40</v>
      </c>
      <c r="C798" s="38">
        <v>1</v>
      </c>
      <c r="D798" s="38">
        <v>2</v>
      </c>
      <c r="E798" s="38">
        <v>2.4</v>
      </c>
      <c r="F798" s="38">
        <v>3</v>
      </c>
      <c r="G798" s="38"/>
      <c r="H798" s="41">
        <f t="shared" si="19"/>
        <v>14.399999999999999</v>
      </c>
      <c r="I798" s="38"/>
      <c r="J798" s="60"/>
      <c r="K798" s="56"/>
    </row>
    <row r="799" spans="1:11" ht="20.05" customHeight="1" x14ac:dyDescent="0.2">
      <c r="A799" s="38"/>
      <c r="B799" s="36"/>
      <c r="C799" s="38">
        <v>1</v>
      </c>
      <c r="D799" s="38">
        <v>2</v>
      </c>
      <c r="E799" s="38">
        <v>15.05</v>
      </c>
      <c r="F799" s="38">
        <v>3</v>
      </c>
      <c r="G799" s="38"/>
      <c r="H799" s="41">
        <f t="shared" si="19"/>
        <v>90.300000000000011</v>
      </c>
      <c r="I799" s="38"/>
      <c r="J799" s="60"/>
      <c r="K799" s="56"/>
    </row>
    <row r="800" spans="1:11" ht="20.05" customHeight="1" x14ac:dyDescent="0.2">
      <c r="A800" s="38"/>
      <c r="B800" s="36" t="s">
        <v>183</v>
      </c>
      <c r="C800" s="38">
        <v>-1</v>
      </c>
      <c r="D800" s="38">
        <v>2</v>
      </c>
      <c r="E800" s="38">
        <v>1</v>
      </c>
      <c r="F800" s="38">
        <v>1.1000000000000001</v>
      </c>
      <c r="G800" s="38"/>
      <c r="H800" s="41">
        <f t="shared" si="19"/>
        <v>-2.2000000000000002</v>
      </c>
      <c r="I800" s="38"/>
      <c r="J800" s="60"/>
      <c r="K800" s="56"/>
    </row>
    <row r="801" spans="1:11" ht="20.05" customHeight="1" x14ac:dyDescent="0.2">
      <c r="A801" s="38"/>
      <c r="B801" s="36" t="s">
        <v>190</v>
      </c>
      <c r="C801" s="38">
        <v>-1</v>
      </c>
      <c r="D801" s="38">
        <v>2</v>
      </c>
      <c r="E801" s="38">
        <v>15.05</v>
      </c>
      <c r="F801" s="38">
        <v>1.5</v>
      </c>
      <c r="G801" s="38"/>
      <c r="H801" s="41">
        <f t="shared" si="19"/>
        <v>-45.150000000000006</v>
      </c>
      <c r="I801" s="38"/>
      <c r="J801" s="60"/>
      <c r="K801" s="56"/>
    </row>
    <row r="802" spans="1:11" ht="20.05" customHeight="1" x14ac:dyDescent="0.2">
      <c r="A802" s="38"/>
      <c r="B802" s="36" t="s">
        <v>188</v>
      </c>
      <c r="C802" s="38">
        <v>-1</v>
      </c>
      <c r="D802" s="38">
        <v>2</v>
      </c>
      <c r="E802" s="38">
        <v>1.8</v>
      </c>
      <c r="F802" s="38">
        <v>1.2</v>
      </c>
      <c r="G802" s="38"/>
      <c r="H802" s="41">
        <f t="shared" si="19"/>
        <v>-4.32</v>
      </c>
      <c r="I802" s="38"/>
      <c r="J802" s="60"/>
      <c r="K802" s="56"/>
    </row>
    <row r="803" spans="1:11" ht="20.05" customHeight="1" x14ac:dyDescent="0.2">
      <c r="A803" s="38"/>
      <c r="B803" s="36" t="s">
        <v>41</v>
      </c>
      <c r="C803" s="38">
        <v>1</v>
      </c>
      <c r="D803" s="38">
        <v>2</v>
      </c>
      <c r="E803" s="38">
        <v>34.356000000000002</v>
      </c>
      <c r="F803" s="38">
        <v>3</v>
      </c>
      <c r="G803" s="38"/>
      <c r="H803" s="41">
        <f t="shared" si="19"/>
        <v>206.13600000000002</v>
      </c>
      <c r="I803" s="38"/>
      <c r="J803" s="60"/>
      <c r="K803" s="56"/>
    </row>
    <row r="804" spans="1:11" ht="20.05" customHeight="1" x14ac:dyDescent="0.2">
      <c r="A804" s="38"/>
      <c r="B804" s="36"/>
      <c r="C804" s="38">
        <v>1</v>
      </c>
      <c r="D804" s="38">
        <v>2</v>
      </c>
      <c r="E804" s="38">
        <v>2.4</v>
      </c>
      <c r="F804" s="38">
        <v>3</v>
      </c>
      <c r="G804" s="38"/>
      <c r="H804" s="41">
        <f t="shared" si="19"/>
        <v>14.399999999999999</v>
      </c>
      <c r="I804" s="38"/>
      <c r="J804" s="60"/>
      <c r="K804" s="56"/>
    </row>
    <row r="805" spans="1:11" ht="20.05" customHeight="1" x14ac:dyDescent="0.2">
      <c r="A805" s="38"/>
      <c r="B805" s="36" t="s">
        <v>183</v>
      </c>
      <c r="C805" s="38">
        <v>-1</v>
      </c>
      <c r="D805" s="38">
        <v>2</v>
      </c>
      <c r="E805" s="38">
        <v>0.9</v>
      </c>
      <c r="F805" s="38">
        <v>1.1000000000000001</v>
      </c>
      <c r="G805" s="38"/>
      <c r="H805" s="41">
        <f t="shared" si="19"/>
        <v>-1.9800000000000002</v>
      </c>
      <c r="I805" s="38"/>
      <c r="J805" s="60"/>
      <c r="K805" s="56"/>
    </row>
    <row r="806" spans="1:11" ht="20.05" customHeight="1" x14ac:dyDescent="0.2">
      <c r="A806" s="38"/>
      <c r="B806" s="36" t="s">
        <v>183</v>
      </c>
      <c r="C806" s="38">
        <v>-1</v>
      </c>
      <c r="D806" s="38">
        <v>6</v>
      </c>
      <c r="E806" s="38">
        <v>1</v>
      </c>
      <c r="F806" s="38">
        <v>1.1000000000000001</v>
      </c>
      <c r="G806" s="38"/>
      <c r="H806" s="41">
        <f t="shared" si="19"/>
        <v>-6.6000000000000005</v>
      </c>
      <c r="I806" s="38"/>
      <c r="J806" s="60"/>
      <c r="K806" s="56"/>
    </row>
    <row r="807" spans="1:11" ht="20.05" customHeight="1" x14ac:dyDescent="0.2">
      <c r="A807" s="38"/>
      <c r="B807" s="36" t="s">
        <v>183</v>
      </c>
      <c r="C807" s="38">
        <v>-1</v>
      </c>
      <c r="D807" s="38">
        <v>4</v>
      </c>
      <c r="E807" s="38">
        <v>2</v>
      </c>
      <c r="F807" s="38">
        <v>1.1000000000000001</v>
      </c>
      <c r="G807" s="38"/>
      <c r="H807" s="41">
        <f t="shared" si="19"/>
        <v>-8.8000000000000007</v>
      </c>
      <c r="I807" s="38"/>
      <c r="J807" s="60"/>
      <c r="K807" s="56"/>
    </row>
    <row r="808" spans="1:11" ht="20.05" customHeight="1" x14ac:dyDescent="0.2">
      <c r="A808" s="38"/>
      <c r="B808" s="36" t="s">
        <v>183</v>
      </c>
      <c r="C808" s="38">
        <v>-1</v>
      </c>
      <c r="D808" s="38">
        <v>1</v>
      </c>
      <c r="E808" s="38">
        <v>3</v>
      </c>
      <c r="F808" s="38">
        <v>1.1000000000000001</v>
      </c>
      <c r="G808" s="38"/>
      <c r="H808" s="41">
        <f t="shared" si="19"/>
        <v>-3.3000000000000003</v>
      </c>
      <c r="I808" s="38"/>
      <c r="J808" s="60"/>
      <c r="K808" s="56"/>
    </row>
    <row r="809" spans="1:11" ht="20.05" customHeight="1" x14ac:dyDescent="0.2">
      <c r="A809" s="38"/>
      <c r="B809" s="36" t="s">
        <v>185</v>
      </c>
      <c r="C809" s="38">
        <v>-1</v>
      </c>
      <c r="D809" s="38">
        <v>1</v>
      </c>
      <c r="E809" s="38">
        <v>2.4</v>
      </c>
      <c r="F809" s="38">
        <v>1.1000000000000001</v>
      </c>
      <c r="G809" s="38"/>
      <c r="H809" s="41">
        <f t="shared" si="19"/>
        <v>-2.64</v>
      </c>
      <c r="I809" s="38"/>
      <c r="J809" s="60"/>
      <c r="K809" s="56"/>
    </row>
    <row r="810" spans="1:11" ht="20.05" customHeight="1" x14ac:dyDescent="0.2">
      <c r="A810" s="38"/>
      <c r="B810" s="36" t="s">
        <v>183</v>
      </c>
      <c r="C810" s="38">
        <v>-1</v>
      </c>
      <c r="D810" s="38">
        <v>1</v>
      </c>
      <c r="E810" s="38">
        <v>1.6</v>
      </c>
      <c r="F810" s="38">
        <v>1.1000000000000001</v>
      </c>
      <c r="G810" s="38"/>
      <c r="H810" s="41">
        <f t="shared" si="19"/>
        <v>-1.7600000000000002</v>
      </c>
      <c r="I810" s="38"/>
      <c r="J810" s="60"/>
      <c r="K810" s="56"/>
    </row>
    <row r="811" spans="1:11" ht="20.05" customHeight="1" x14ac:dyDescent="0.2">
      <c r="A811" s="38"/>
      <c r="B811" s="36" t="s">
        <v>190</v>
      </c>
      <c r="C811" s="38">
        <v>-1</v>
      </c>
      <c r="D811" s="38">
        <v>2</v>
      </c>
      <c r="E811" s="38">
        <v>34.36</v>
      </c>
      <c r="F811" s="38">
        <v>1.5</v>
      </c>
      <c r="G811" s="38"/>
      <c r="H811" s="41">
        <f t="shared" si="19"/>
        <v>-103.08</v>
      </c>
      <c r="I811" s="38"/>
      <c r="J811" s="60"/>
      <c r="K811" s="56"/>
    </row>
    <row r="812" spans="1:11" ht="20.05" customHeight="1" x14ac:dyDescent="0.2">
      <c r="A812" s="38"/>
      <c r="B812" s="36" t="s">
        <v>190</v>
      </c>
      <c r="C812" s="38">
        <v>-1</v>
      </c>
      <c r="D812" s="38">
        <v>2</v>
      </c>
      <c r="E812" s="38">
        <v>2.4</v>
      </c>
      <c r="F812" s="38">
        <v>1.5</v>
      </c>
      <c r="G812" s="38"/>
      <c r="H812" s="41">
        <f t="shared" si="19"/>
        <v>-7.1999999999999993</v>
      </c>
      <c r="I812" s="38"/>
      <c r="J812" s="60"/>
      <c r="K812" s="56"/>
    </row>
    <row r="813" spans="1:11" ht="20.05" customHeight="1" x14ac:dyDescent="0.2">
      <c r="A813" s="38"/>
      <c r="B813" s="36" t="s">
        <v>188</v>
      </c>
      <c r="C813" s="38">
        <v>-1</v>
      </c>
      <c r="D813" s="38">
        <v>1</v>
      </c>
      <c r="E813" s="38">
        <v>1.8</v>
      </c>
      <c r="F813" s="38">
        <v>1.2</v>
      </c>
      <c r="G813" s="38"/>
      <c r="H813" s="41">
        <f t="shared" si="19"/>
        <v>-2.16</v>
      </c>
      <c r="I813" s="38"/>
      <c r="J813" s="60"/>
      <c r="K813" s="56"/>
    </row>
    <row r="814" spans="1:11" ht="20.05" customHeight="1" x14ac:dyDescent="0.2">
      <c r="A814" s="38"/>
      <c r="B814" s="36" t="s">
        <v>42</v>
      </c>
      <c r="C814" s="38">
        <v>1</v>
      </c>
      <c r="D814" s="38">
        <v>2</v>
      </c>
      <c r="E814" s="38">
        <v>7.5449999999999999</v>
      </c>
      <c r="F814" s="38">
        <v>3</v>
      </c>
      <c r="G814" s="38"/>
      <c r="H814" s="41">
        <f t="shared" si="19"/>
        <v>45.269999999999996</v>
      </c>
      <c r="I814" s="38"/>
      <c r="J814" s="60"/>
      <c r="K814" s="56"/>
    </row>
    <row r="815" spans="1:11" ht="20.05" customHeight="1" x14ac:dyDescent="0.2">
      <c r="A815" s="38"/>
      <c r="B815" s="36" t="s">
        <v>190</v>
      </c>
      <c r="C815" s="38">
        <v>-1</v>
      </c>
      <c r="D815" s="38">
        <v>2</v>
      </c>
      <c r="E815" s="38">
        <v>7.5449999999999999</v>
      </c>
      <c r="F815" s="38">
        <v>1.5</v>
      </c>
      <c r="G815" s="38"/>
      <c r="H815" s="41">
        <f t="shared" si="19"/>
        <v>-22.634999999999998</v>
      </c>
      <c r="I815" s="38"/>
      <c r="J815" s="60"/>
      <c r="K815" s="56"/>
    </row>
    <row r="816" spans="1:11" ht="20.05" customHeight="1" x14ac:dyDescent="0.2">
      <c r="A816" s="38"/>
      <c r="B816" s="36" t="s">
        <v>43</v>
      </c>
      <c r="C816" s="38">
        <v>1</v>
      </c>
      <c r="D816" s="38">
        <v>2</v>
      </c>
      <c r="E816" s="38">
        <v>35.65</v>
      </c>
      <c r="F816" s="38">
        <v>3</v>
      </c>
      <c r="G816" s="38"/>
      <c r="H816" s="41">
        <f t="shared" si="19"/>
        <v>213.89999999999998</v>
      </c>
      <c r="I816" s="38"/>
      <c r="J816" s="60"/>
      <c r="K816" s="56"/>
    </row>
    <row r="817" spans="1:15" ht="20.05" customHeight="1" x14ac:dyDescent="0.2">
      <c r="A817" s="38"/>
      <c r="B817" s="36"/>
      <c r="C817" s="38">
        <v>1</v>
      </c>
      <c r="D817" s="38">
        <v>1</v>
      </c>
      <c r="E817" s="38">
        <v>2.02</v>
      </c>
      <c r="F817" s="38">
        <v>3</v>
      </c>
      <c r="G817" s="38"/>
      <c r="H817" s="41">
        <f t="shared" si="19"/>
        <v>6.0600000000000005</v>
      </c>
      <c r="I817" s="38"/>
      <c r="J817" s="60"/>
      <c r="K817" s="56"/>
    </row>
    <row r="818" spans="1:15" ht="20.05" customHeight="1" x14ac:dyDescent="0.2">
      <c r="A818" s="38"/>
      <c r="B818" s="36" t="s">
        <v>190</v>
      </c>
      <c r="C818" s="38">
        <v>-1</v>
      </c>
      <c r="D818" s="38">
        <v>2</v>
      </c>
      <c r="E818" s="38">
        <v>35.65</v>
      </c>
      <c r="F818" s="38">
        <v>1.5</v>
      </c>
      <c r="G818" s="38"/>
      <c r="H818" s="41">
        <f t="shared" si="19"/>
        <v>-106.94999999999999</v>
      </c>
      <c r="I818" s="38"/>
      <c r="J818" s="60"/>
      <c r="K818" s="56"/>
    </row>
    <row r="819" spans="1:15" ht="20.05" customHeight="1" x14ac:dyDescent="0.2">
      <c r="A819" s="38"/>
      <c r="B819" s="36" t="s">
        <v>190</v>
      </c>
      <c r="C819" s="38">
        <v>-1</v>
      </c>
      <c r="D819" s="38">
        <v>2</v>
      </c>
      <c r="E819" s="38">
        <v>2.02</v>
      </c>
      <c r="F819" s="38">
        <v>1.5</v>
      </c>
      <c r="G819" s="38"/>
      <c r="H819" s="41">
        <f t="shared" ref="H819:H820" si="20">PRODUCT(C819:F819)</f>
        <v>-6.0600000000000005</v>
      </c>
      <c r="I819" s="38"/>
      <c r="J819" s="60"/>
      <c r="K819" s="56"/>
    </row>
    <row r="820" spans="1:15" ht="20.05" customHeight="1" x14ac:dyDescent="0.2">
      <c r="A820" s="38"/>
      <c r="B820" s="36" t="s">
        <v>183</v>
      </c>
      <c r="C820" s="38">
        <v>-1</v>
      </c>
      <c r="D820" s="38">
        <v>1</v>
      </c>
      <c r="E820" s="38">
        <v>0.9</v>
      </c>
      <c r="F820" s="38">
        <v>1.1000000000000001</v>
      </c>
      <c r="G820" s="38"/>
      <c r="H820" s="41">
        <f t="shared" si="20"/>
        <v>-0.9900000000000001</v>
      </c>
      <c r="I820" s="38"/>
      <c r="J820" s="60"/>
      <c r="K820" s="56"/>
    </row>
    <row r="821" spans="1:15" ht="20.05" customHeight="1" x14ac:dyDescent="0.2">
      <c r="A821" s="38"/>
      <c r="B821" s="36"/>
      <c r="C821" s="38"/>
      <c r="D821" s="38"/>
      <c r="E821" s="38"/>
      <c r="F821" s="38"/>
      <c r="G821" s="38"/>
      <c r="H821" s="42">
        <f>SUM(H603:H820)</f>
        <v>1631.1609999999991</v>
      </c>
      <c r="I821" s="38" t="s">
        <v>154</v>
      </c>
      <c r="J821" s="60">
        <f>'C-Datas'!I326</f>
        <v>226</v>
      </c>
      <c r="K821" s="56">
        <f>ROUND(H821*J821,0)</f>
        <v>368642</v>
      </c>
    </row>
    <row r="822" spans="1:15" ht="59.1" customHeight="1" x14ac:dyDescent="0.2">
      <c r="A822" s="38">
        <v>16</v>
      </c>
      <c r="B822" s="122" t="s">
        <v>397</v>
      </c>
      <c r="C822" s="123"/>
      <c r="D822" s="123"/>
      <c r="E822" s="123"/>
      <c r="F822" s="123"/>
      <c r="G822" s="124"/>
      <c r="H822" s="38"/>
      <c r="I822" s="38"/>
      <c r="J822" s="60"/>
      <c r="K822" s="56"/>
    </row>
    <row r="823" spans="1:15" ht="20.05" customHeight="1" x14ac:dyDescent="0.2">
      <c r="A823" s="38"/>
      <c r="B823" s="36" t="s">
        <v>7</v>
      </c>
      <c r="C823" s="38">
        <v>1</v>
      </c>
      <c r="D823" s="38">
        <v>1</v>
      </c>
      <c r="E823" s="38">
        <v>1.8</v>
      </c>
      <c r="F823" s="38">
        <v>2.6</v>
      </c>
      <c r="G823" s="38"/>
      <c r="H823" s="41">
        <f t="shared" ref="H823:H834" si="21">PRODUCT(C823:F823)</f>
        <v>4.6800000000000006</v>
      </c>
      <c r="I823" s="38"/>
      <c r="J823" s="60"/>
      <c r="K823" s="56"/>
      <c r="N823" s="35">
        <v>7</v>
      </c>
      <c r="O823" s="35">
        <f>N823*0.3</f>
        <v>2.1</v>
      </c>
    </row>
    <row r="824" spans="1:15" ht="20.05" customHeight="1" x14ac:dyDescent="0.2">
      <c r="A824" s="38"/>
      <c r="B824" s="36" t="s">
        <v>8</v>
      </c>
      <c r="C824" s="38">
        <v>1</v>
      </c>
      <c r="D824" s="38">
        <v>1</v>
      </c>
      <c r="E824" s="38">
        <v>1</v>
      </c>
      <c r="F824" s="38">
        <v>2.6</v>
      </c>
      <c r="G824" s="38"/>
      <c r="H824" s="41">
        <f t="shared" si="21"/>
        <v>2.6</v>
      </c>
      <c r="I824" s="38"/>
      <c r="J824" s="60"/>
      <c r="K824" s="56"/>
      <c r="N824" s="35">
        <v>6.2</v>
      </c>
      <c r="O824" s="35">
        <f t="shared" ref="O824:O833" si="22">N824*0.3</f>
        <v>1.8599999999999999</v>
      </c>
    </row>
    <row r="825" spans="1:15" ht="20.05" customHeight="1" x14ac:dyDescent="0.2">
      <c r="A825" s="38"/>
      <c r="B825" s="36" t="s">
        <v>9</v>
      </c>
      <c r="C825" s="38">
        <v>1</v>
      </c>
      <c r="D825" s="38">
        <v>1</v>
      </c>
      <c r="E825" s="38">
        <v>1</v>
      </c>
      <c r="F825" s="38">
        <v>2.6</v>
      </c>
      <c r="G825" s="38"/>
      <c r="H825" s="41">
        <f t="shared" si="21"/>
        <v>2.6</v>
      </c>
      <c r="I825" s="38"/>
      <c r="J825" s="60"/>
      <c r="K825" s="56"/>
      <c r="N825" s="35">
        <v>6.2</v>
      </c>
      <c r="O825" s="35">
        <f t="shared" si="22"/>
        <v>1.8599999999999999</v>
      </c>
    </row>
    <row r="826" spans="1:15" ht="20.05" customHeight="1" x14ac:dyDescent="0.2">
      <c r="A826" s="38"/>
      <c r="B826" s="36" t="s">
        <v>10</v>
      </c>
      <c r="C826" s="38">
        <v>1</v>
      </c>
      <c r="D826" s="38">
        <v>1</v>
      </c>
      <c r="E826" s="38">
        <v>1.8</v>
      </c>
      <c r="F826" s="38">
        <v>2.6</v>
      </c>
      <c r="G826" s="38"/>
      <c r="H826" s="41">
        <f t="shared" si="21"/>
        <v>4.6800000000000006</v>
      </c>
      <c r="I826" s="38"/>
      <c r="J826" s="60"/>
      <c r="K826" s="56"/>
      <c r="N826" s="35">
        <v>7</v>
      </c>
      <c r="O826" s="35">
        <f t="shared" si="22"/>
        <v>2.1</v>
      </c>
    </row>
    <row r="827" spans="1:15" ht="20.05" customHeight="1" x14ac:dyDescent="0.2">
      <c r="A827" s="38"/>
      <c r="B827" s="36" t="s">
        <v>51</v>
      </c>
      <c r="C827" s="38">
        <v>1</v>
      </c>
      <c r="D827" s="38">
        <v>2</v>
      </c>
      <c r="E827" s="38">
        <v>0.9</v>
      </c>
      <c r="F827" s="38">
        <v>2.6</v>
      </c>
      <c r="G827" s="38"/>
      <c r="H827" s="41">
        <f t="shared" si="21"/>
        <v>4.6800000000000006</v>
      </c>
      <c r="I827" s="38"/>
      <c r="J827" s="60"/>
      <c r="K827" s="56"/>
      <c r="N827" s="35">
        <v>6.1000000000000005</v>
      </c>
      <c r="O827" s="35">
        <f t="shared" si="22"/>
        <v>1.83</v>
      </c>
    </row>
    <row r="828" spans="1:15" ht="20.05" customHeight="1" x14ac:dyDescent="0.2">
      <c r="A828" s="38"/>
      <c r="B828" s="36" t="s">
        <v>16</v>
      </c>
      <c r="C828" s="38">
        <v>1</v>
      </c>
      <c r="D828" s="38">
        <v>1</v>
      </c>
      <c r="E828" s="38">
        <v>0.9</v>
      </c>
      <c r="F828" s="38">
        <v>2.6</v>
      </c>
      <c r="G828" s="38"/>
      <c r="H828" s="41">
        <f t="shared" si="21"/>
        <v>2.3400000000000003</v>
      </c>
      <c r="I828" s="38"/>
      <c r="J828" s="60"/>
      <c r="K828" s="56"/>
      <c r="N828" s="35">
        <v>6.1000000000000005</v>
      </c>
      <c r="O828" s="35">
        <f t="shared" si="22"/>
        <v>1.83</v>
      </c>
    </row>
    <row r="829" spans="1:15" ht="20.05" customHeight="1" x14ac:dyDescent="0.2">
      <c r="A829" s="38"/>
      <c r="B829" s="36" t="s">
        <v>17</v>
      </c>
      <c r="C829" s="38">
        <v>1</v>
      </c>
      <c r="D829" s="38">
        <v>1</v>
      </c>
      <c r="E829" s="38">
        <v>0.9</v>
      </c>
      <c r="F829" s="38">
        <v>2.6</v>
      </c>
      <c r="G829" s="38"/>
      <c r="H829" s="41">
        <f t="shared" si="21"/>
        <v>2.3400000000000003</v>
      </c>
      <c r="I829" s="38"/>
      <c r="J829" s="60"/>
      <c r="K829" s="56"/>
      <c r="N829" s="35">
        <v>6.1000000000000005</v>
      </c>
      <c r="O829" s="35">
        <f t="shared" si="22"/>
        <v>1.83</v>
      </c>
    </row>
    <row r="830" spans="1:15" ht="20.05" customHeight="1" x14ac:dyDescent="0.2">
      <c r="A830" s="38"/>
      <c r="B830" s="36" t="s">
        <v>18</v>
      </c>
      <c r="C830" s="38">
        <v>1</v>
      </c>
      <c r="D830" s="38">
        <v>1</v>
      </c>
      <c r="E830" s="38">
        <v>0.9</v>
      </c>
      <c r="F830" s="38">
        <v>2.6</v>
      </c>
      <c r="G830" s="38"/>
      <c r="H830" s="41">
        <f t="shared" si="21"/>
        <v>2.3400000000000003</v>
      </c>
      <c r="I830" s="38"/>
      <c r="J830" s="60"/>
      <c r="K830" s="56"/>
      <c r="N830" s="35">
        <v>6.1000000000000005</v>
      </c>
      <c r="O830" s="35">
        <f t="shared" si="22"/>
        <v>1.83</v>
      </c>
    </row>
    <row r="831" spans="1:15" ht="20.05" customHeight="1" x14ac:dyDescent="0.2">
      <c r="A831" s="38"/>
      <c r="B831" s="36" t="s">
        <v>106</v>
      </c>
      <c r="C831" s="38">
        <v>1</v>
      </c>
      <c r="D831" s="38">
        <v>1</v>
      </c>
      <c r="E831" s="38">
        <v>0.9</v>
      </c>
      <c r="F831" s="38">
        <v>2.6</v>
      </c>
      <c r="G831" s="38"/>
      <c r="H831" s="41">
        <f t="shared" si="21"/>
        <v>2.3400000000000003</v>
      </c>
      <c r="I831" s="38"/>
      <c r="J831" s="60"/>
      <c r="K831" s="56"/>
      <c r="N831" s="35">
        <v>6.1000000000000005</v>
      </c>
      <c r="O831" s="35">
        <f t="shared" si="22"/>
        <v>1.83</v>
      </c>
    </row>
    <row r="832" spans="1:15" ht="20.05" customHeight="1" x14ac:dyDescent="0.2">
      <c r="A832" s="38"/>
      <c r="B832" s="36" t="s">
        <v>30</v>
      </c>
      <c r="C832" s="38">
        <v>1</v>
      </c>
      <c r="D832" s="38">
        <v>1</v>
      </c>
      <c r="E832" s="38">
        <v>1.8</v>
      </c>
      <c r="F832" s="38">
        <v>2.6</v>
      </c>
      <c r="G832" s="38"/>
      <c r="H832" s="41">
        <f t="shared" si="21"/>
        <v>4.6800000000000006</v>
      </c>
      <c r="I832" s="38"/>
      <c r="J832" s="60"/>
      <c r="K832" s="56"/>
      <c r="N832" s="35">
        <v>7</v>
      </c>
      <c r="O832" s="35">
        <f t="shared" si="22"/>
        <v>2.1</v>
      </c>
    </row>
    <row r="833" spans="1:15" ht="20.05" customHeight="1" x14ac:dyDescent="0.2">
      <c r="A833" s="38"/>
      <c r="B833" s="36" t="s">
        <v>43</v>
      </c>
      <c r="C833" s="38">
        <v>1</v>
      </c>
      <c r="D833" s="38">
        <v>1</v>
      </c>
      <c r="E833" s="38">
        <v>0.9</v>
      </c>
      <c r="F833" s="38">
        <v>2.6</v>
      </c>
      <c r="G833" s="38"/>
      <c r="H833" s="41">
        <f t="shared" si="21"/>
        <v>2.3400000000000003</v>
      </c>
      <c r="I833" s="38"/>
      <c r="J833" s="60"/>
      <c r="K833" s="56"/>
      <c r="N833" s="35">
        <v>6.1000000000000005</v>
      </c>
      <c r="O833" s="35">
        <f t="shared" si="22"/>
        <v>1.83</v>
      </c>
    </row>
    <row r="834" spans="1:15" ht="20.05" customHeight="1" x14ac:dyDescent="0.2">
      <c r="A834" s="38"/>
      <c r="B834" s="36" t="s">
        <v>191</v>
      </c>
      <c r="C834" s="38">
        <v>1</v>
      </c>
      <c r="D834" s="38">
        <v>1</v>
      </c>
      <c r="E834" s="38">
        <v>70</v>
      </c>
      <c r="F834" s="38">
        <v>0.4</v>
      </c>
      <c r="G834" s="38"/>
      <c r="H834" s="41">
        <f t="shared" si="21"/>
        <v>28</v>
      </c>
      <c r="I834" s="38"/>
      <c r="J834" s="60"/>
      <c r="K834" s="56"/>
    </row>
    <row r="835" spans="1:15" ht="20.05" customHeight="1" x14ac:dyDescent="0.2">
      <c r="A835" s="38"/>
      <c r="B835" s="36"/>
      <c r="C835" s="38"/>
      <c r="D835" s="38"/>
      <c r="E835" s="38"/>
      <c r="F835" s="38"/>
      <c r="G835" s="38"/>
      <c r="H835" s="42">
        <f>SUM(H823:H834)</f>
        <v>63.620000000000005</v>
      </c>
      <c r="I835" s="38" t="s">
        <v>154</v>
      </c>
      <c r="J835" s="60">
        <f>'C-Datas'!I345</f>
        <v>249</v>
      </c>
      <c r="K835" s="56">
        <f>ROUND(H835*J835,0)</f>
        <v>15841</v>
      </c>
    </row>
    <row r="836" spans="1:15" ht="60.45" customHeight="1" x14ac:dyDescent="0.2">
      <c r="A836" s="38">
        <v>17</v>
      </c>
      <c r="B836" s="122" t="s">
        <v>410</v>
      </c>
      <c r="C836" s="123"/>
      <c r="D836" s="123"/>
      <c r="E836" s="123"/>
      <c r="F836" s="123"/>
      <c r="G836" s="124"/>
      <c r="H836" s="38"/>
      <c r="I836" s="38"/>
      <c r="J836" s="60"/>
      <c r="K836" s="56"/>
    </row>
    <row r="837" spans="1:15" ht="20.05" customHeight="1" x14ac:dyDescent="0.2">
      <c r="A837" s="38"/>
      <c r="B837" s="36" t="s">
        <v>192</v>
      </c>
      <c r="C837" s="38">
        <v>1</v>
      </c>
      <c r="D837" s="38">
        <v>1</v>
      </c>
      <c r="E837" s="38">
        <v>2.74</v>
      </c>
      <c r="F837" s="38">
        <v>0.6</v>
      </c>
      <c r="G837" s="38"/>
      <c r="H837" s="41">
        <f t="shared" ref="H837:H839" si="23">PRODUCT(C837:F837)</f>
        <v>1.6440000000000001</v>
      </c>
      <c r="I837" s="38"/>
      <c r="J837" s="60"/>
      <c r="K837" s="56"/>
      <c r="O837" s="35">
        <f>2.74*0.6+2*2.74*1+6*0.6*1</f>
        <v>10.724</v>
      </c>
    </row>
    <row r="838" spans="1:15" ht="20.05" customHeight="1" x14ac:dyDescent="0.2">
      <c r="A838" s="38"/>
      <c r="B838" s="36"/>
      <c r="C838" s="38">
        <v>1</v>
      </c>
      <c r="D838" s="38">
        <v>2</v>
      </c>
      <c r="E838" s="38">
        <v>2.74</v>
      </c>
      <c r="F838" s="38">
        <v>1</v>
      </c>
      <c r="G838" s="38"/>
      <c r="H838" s="41">
        <f t="shared" si="23"/>
        <v>5.48</v>
      </c>
      <c r="I838" s="38"/>
      <c r="J838" s="60"/>
      <c r="K838" s="56"/>
    </row>
    <row r="839" spans="1:15" ht="20.05" customHeight="1" x14ac:dyDescent="0.2">
      <c r="A839" s="38"/>
      <c r="B839" s="36"/>
      <c r="C839" s="38">
        <v>1</v>
      </c>
      <c r="D839" s="38">
        <v>6</v>
      </c>
      <c r="E839" s="38">
        <v>0.6</v>
      </c>
      <c r="F839" s="38">
        <v>1</v>
      </c>
      <c r="G839" s="38"/>
      <c r="H839" s="41">
        <f t="shared" si="23"/>
        <v>3.5999999999999996</v>
      </c>
      <c r="I839" s="38"/>
      <c r="J839" s="60"/>
      <c r="K839" s="56"/>
    </row>
    <row r="840" spans="1:15" ht="20.05" customHeight="1" x14ac:dyDescent="0.2">
      <c r="A840" s="38"/>
      <c r="B840" s="36"/>
      <c r="C840" s="38"/>
      <c r="D840" s="38"/>
      <c r="E840" s="38"/>
      <c r="F840" s="38"/>
      <c r="G840" s="38"/>
      <c r="H840" s="42">
        <f>SUM(H837:H839)</f>
        <v>10.724</v>
      </c>
      <c r="I840" s="38" t="s">
        <v>154</v>
      </c>
      <c r="J840" s="60">
        <f>'C-Datas'!I375</f>
        <v>5973</v>
      </c>
      <c r="K840" s="56">
        <f>ROUND(H840*J840,0)</f>
        <v>64054</v>
      </c>
    </row>
    <row r="841" spans="1:15" ht="46.2" customHeight="1" x14ac:dyDescent="0.2">
      <c r="A841" s="38">
        <v>18</v>
      </c>
      <c r="B841" s="122" t="s">
        <v>415</v>
      </c>
      <c r="C841" s="123"/>
      <c r="D841" s="123"/>
      <c r="E841" s="123"/>
      <c r="F841" s="123"/>
      <c r="G841" s="124"/>
      <c r="H841" s="38"/>
      <c r="I841" s="38"/>
      <c r="J841" s="60"/>
      <c r="K841" s="56"/>
    </row>
    <row r="842" spans="1:15" ht="20.05" customHeight="1" x14ac:dyDescent="0.2">
      <c r="A842" s="38"/>
      <c r="B842" s="36" t="s">
        <v>9</v>
      </c>
      <c r="C842" s="38">
        <v>1</v>
      </c>
      <c r="D842" s="38">
        <v>1</v>
      </c>
      <c r="E842" s="38">
        <v>1.2</v>
      </c>
      <c r="F842" s="38">
        <v>1.8</v>
      </c>
      <c r="G842" s="38"/>
      <c r="H842" s="41">
        <f t="shared" ref="H842:H850" si="24">PRODUCT(C842:F842)</f>
        <v>2.16</v>
      </c>
      <c r="I842" s="38"/>
      <c r="J842" s="60"/>
      <c r="K842" s="56"/>
    </row>
    <row r="843" spans="1:15" ht="20.05" customHeight="1" x14ac:dyDescent="0.2">
      <c r="A843" s="38"/>
      <c r="B843" s="36" t="s">
        <v>8</v>
      </c>
      <c r="C843" s="38">
        <v>1</v>
      </c>
      <c r="D843" s="38">
        <v>1</v>
      </c>
      <c r="E843" s="38">
        <v>1.2</v>
      </c>
      <c r="F843" s="38">
        <v>1.8</v>
      </c>
      <c r="G843" s="38"/>
      <c r="H843" s="41">
        <f t="shared" si="24"/>
        <v>2.16</v>
      </c>
      <c r="I843" s="38"/>
      <c r="J843" s="60"/>
      <c r="K843" s="56"/>
    </row>
    <row r="844" spans="1:15" ht="20.05" customHeight="1" x14ac:dyDescent="0.2">
      <c r="A844" s="38"/>
      <c r="B844" s="36" t="s">
        <v>7</v>
      </c>
      <c r="C844" s="38">
        <v>1</v>
      </c>
      <c r="D844" s="38">
        <v>4</v>
      </c>
      <c r="E844" s="38">
        <v>1.5</v>
      </c>
      <c r="F844" s="38">
        <v>1.8</v>
      </c>
      <c r="G844" s="38"/>
      <c r="H844" s="41">
        <f t="shared" si="24"/>
        <v>10.8</v>
      </c>
      <c r="I844" s="38"/>
      <c r="J844" s="60"/>
      <c r="K844" s="56"/>
    </row>
    <row r="845" spans="1:15" ht="20.05" customHeight="1" x14ac:dyDescent="0.2">
      <c r="A845" s="38"/>
      <c r="B845" s="36"/>
      <c r="C845" s="38">
        <v>1</v>
      </c>
      <c r="D845" s="38">
        <v>1</v>
      </c>
      <c r="E845" s="38">
        <v>1.8</v>
      </c>
      <c r="F845" s="38">
        <v>1.8</v>
      </c>
      <c r="G845" s="38"/>
      <c r="H845" s="41">
        <f t="shared" si="24"/>
        <v>3.24</v>
      </c>
      <c r="I845" s="38"/>
      <c r="J845" s="60"/>
      <c r="K845" s="56"/>
    </row>
    <row r="846" spans="1:15" ht="20.05" customHeight="1" x14ac:dyDescent="0.2">
      <c r="A846" s="38"/>
      <c r="B846" s="36" t="s">
        <v>23</v>
      </c>
      <c r="C846" s="38">
        <v>1</v>
      </c>
      <c r="D846" s="38">
        <v>1</v>
      </c>
      <c r="E846" s="38">
        <v>1.8</v>
      </c>
      <c r="F846" s="38">
        <v>1.8</v>
      </c>
      <c r="G846" s="38"/>
      <c r="H846" s="41">
        <f t="shared" si="24"/>
        <v>3.24</v>
      </c>
      <c r="I846" s="38"/>
      <c r="J846" s="60"/>
      <c r="K846" s="56"/>
    </row>
    <row r="847" spans="1:15" ht="20.05" customHeight="1" x14ac:dyDescent="0.2">
      <c r="A847" s="38"/>
      <c r="B847" s="36" t="s">
        <v>24</v>
      </c>
      <c r="C847" s="38">
        <v>1</v>
      </c>
      <c r="D847" s="38">
        <v>1</v>
      </c>
      <c r="E847" s="38">
        <v>1.5</v>
      </c>
      <c r="F847" s="38">
        <v>1.8</v>
      </c>
      <c r="G847" s="38"/>
      <c r="H847" s="41">
        <f t="shared" si="24"/>
        <v>2.7</v>
      </c>
      <c r="I847" s="38"/>
      <c r="J847" s="60"/>
      <c r="K847" s="56"/>
    </row>
    <row r="848" spans="1:15" ht="20.05" customHeight="1" x14ac:dyDescent="0.2">
      <c r="A848" s="38"/>
      <c r="B848" s="36" t="s">
        <v>27</v>
      </c>
      <c r="C848" s="38">
        <v>1</v>
      </c>
      <c r="D848" s="38">
        <v>1</v>
      </c>
      <c r="E848" s="38">
        <v>1.8</v>
      </c>
      <c r="F848" s="38">
        <v>1.8</v>
      </c>
      <c r="G848" s="38"/>
      <c r="H848" s="41">
        <f t="shared" si="24"/>
        <v>3.24</v>
      </c>
      <c r="I848" s="38"/>
      <c r="J848" s="60"/>
      <c r="K848" s="56"/>
    </row>
    <row r="849" spans="1:11" ht="20.05" customHeight="1" x14ac:dyDescent="0.2">
      <c r="A849" s="38"/>
      <c r="B849" s="36" t="s">
        <v>28</v>
      </c>
      <c r="C849" s="38">
        <v>1</v>
      </c>
      <c r="D849" s="38">
        <v>1</v>
      </c>
      <c r="E849" s="38">
        <v>1.5</v>
      </c>
      <c r="F849" s="38">
        <v>1.8</v>
      </c>
      <c r="G849" s="38"/>
      <c r="H849" s="41">
        <f t="shared" si="24"/>
        <v>2.7</v>
      </c>
      <c r="I849" s="38"/>
      <c r="J849" s="60"/>
      <c r="K849" s="56"/>
    </row>
    <row r="850" spans="1:11" ht="20.05" customHeight="1" x14ac:dyDescent="0.2">
      <c r="A850" s="38"/>
      <c r="B850" s="36" t="s">
        <v>30</v>
      </c>
      <c r="C850" s="38">
        <v>1</v>
      </c>
      <c r="D850" s="38">
        <v>1</v>
      </c>
      <c r="E850" s="38">
        <v>1.8</v>
      </c>
      <c r="F850" s="38">
        <v>1.8</v>
      </c>
      <c r="G850" s="38"/>
      <c r="H850" s="41">
        <f t="shared" si="24"/>
        <v>3.24</v>
      </c>
      <c r="I850" s="38"/>
      <c r="J850" s="60"/>
      <c r="K850" s="56"/>
    </row>
    <row r="851" spans="1:11" ht="20.05" customHeight="1" x14ac:dyDescent="0.2">
      <c r="A851" s="38"/>
      <c r="B851" s="36"/>
      <c r="C851" s="38"/>
      <c r="D851" s="38"/>
      <c r="E851" s="38"/>
      <c r="F851" s="38"/>
      <c r="G851" s="38"/>
      <c r="H851" s="42">
        <f>SUM(H842:H850)</f>
        <v>33.479999999999997</v>
      </c>
      <c r="I851" s="38" t="s">
        <v>154</v>
      </c>
      <c r="J851" s="60">
        <f>'C-Datas'!I382</f>
        <v>1396</v>
      </c>
      <c r="K851" s="56">
        <f>ROUND(H851*J851,0)</f>
        <v>46738</v>
      </c>
    </row>
    <row r="852" spans="1:11" ht="20.05" customHeight="1" x14ac:dyDescent="0.2">
      <c r="A852" s="38">
        <v>19</v>
      </c>
      <c r="B852" s="122" t="s">
        <v>419</v>
      </c>
      <c r="C852" s="123"/>
      <c r="D852" s="123"/>
      <c r="E852" s="123"/>
      <c r="F852" s="123"/>
      <c r="G852" s="124"/>
      <c r="H852" s="38"/>
      <c r="I852" s="38"/>
      <c r="J852" s="60"/>
      <c r="K852" s="56"/>
    </row>
    <row r="853" spans="1:11" ht="20.05" customHeight="1" x14ac:dyDescent="0.2">
      <c r="A853" s="38"/>
      <c r="B853" s="36" t="s">
        <v>5</v>
      </c>
      <c r="C853" s="38">
        <v>1</v>
      </c>
      <c r="D853" s="38">
        <v>1</v>
      </c>
      <c r="E853" s="38"/>
      <c r="F853" s="38"/>
      <c r="G853" s="38"/>
      <c r="H853" s="41">
        <f t="shared" ref="H853:H904" si="25">PRODUCT(C853:F853)</f>
        <v>1</v>
      </c>
      <c r="I853" s="38"/>
      <c r="J853" s="60"/>
      <c r="K853" s="56"/>
    </row>
    <row r="854" spans="1:11" ht="20.05" customHeight="1" x14ac:dyDescent="0.2">
      <c r="A854" s="38"/>
      <c r="B854" s="36" t="s">
        <v>44</v>
      </c>
      <c r="C854" s="38">
        <v>1</v>
      </c>
      <c r="D854" s="38">
        <v>1</v>
      </c>
      <c r="E854" s="38"/>
      <c r="F854" s="38"/>
      <c r="G854" s="38"/>
      <c r="H854" s="41">
        <f t="shared" si="25"/>
        <v>1</v>
      </c>
      <c r="I854" s="38"/>
      <c r="J854" s="60"/>
      <c r="K854" s="56"/>
    </row>
    <row r="855" spans="1:11" ht="20.05" customHeight="1" x14ac:dyDescent="0.2">
      <c r="A855" s="38"/>
      <c r="B855" s="36" t="s">
        <v>25</v>
      </c>
      <c r="C855" s="38">
        <v>1</v>
      </c>
      <c r="D855" s="38">
        <v>1</v>
      </c>
      <c r="E855" s="38"/>
      <c r="F855" s="38"/>
      <c r="G855" s="38"/>
      <c r="H855" s="41">
        <f t="shared" si="25"/>
        <v>1</v>
      </c>
      <c r="I855" s="38"/>
      <c r="J855" s="60"/>
      <c r="K855" s="56"/>
    </row>
    <row r="856" spans="1:11" ht="20.05" customHeight="1" x14ac:dyDescent="0.2">
      <c r="A856" s="38"/>
      <c r="B856" s="36" t="s">
        <v>112</v>
      </c>
      <c r="C856" s="38">
        <v>1</v>
      </c>
      <c r="D856" s="38">
        <v>1</v>
      </c>
      <c r="E856" s="38"/>
      <c r="F856" s="38"/>
      <c r="G856" s="38"/>
      <c r="H856" s="41">
        <f t="shared" si="25"/>
        <v>1</v>
      </c>
      <c r="I856" s="38"/>
      <c r="J856" s="60"/>
      <c r="K856" s="56"/>
    </row>
    <row r="857" spans="1:11" ht="20.05" customHeight="1" x14ac:dyDescent="0.2">
      <c r="A857" s="38"/>
      <c r="B857" s="36" t="s">
        <v>46</v>
      </c>
      <c r="C857" s="38">
        <v>1</v>
      </c>
      <c r="D857" s="38">
        <v>1</v>
      </c>
      <c r="E857" s="38"/>
      <c r="F857" s="38"/>
      <c r="G857" s="38"/>
      <c r="H857" s="41">
        <f t="shared" si="25"/>
        <v>1</v>
      </c>
      <c r="I857" s="38"/>
      <c r="J857" s="60"/>
      <c r="K857" s="56"/>
    </row>
    <row r="858" spans="1:11" ht="20.05" customHeight="1" x14ac:dyDescent="0.2">
      <c r="A858" s="38"/>
      <c r="B858" s="36" t="s">
        <v>6</v>
      </c>
      <c r="C858" s="38">
        <v>1</v>
      </c>
      <c r="D858" s="38">
        <v>1</v>
      </c>
      <c r="E858" s="38"/>
      <c r="F858" s="38"/>
      <c r="G858" s="38"/>
      <c r="H858" s="41">
        <f t="shared" si="25"/>
        <v>1</v>
      </c>
      <c r="I858" s="38"/>
      <c r="J858" s="60"/>
      <c r="K858" s="56"/>
    </row>
    <row r="859" spans="1:11" ht="20.05" customHeight="1" x14ac:dyDescent="0.2">
      <c r="A859" s="38"/>
      <c r="B859" s="36" t="s">
        <v>7</v>
      </c>
      <c r="C859" s="38">
        <v>1</v>
      </c>
      <c r="D859" s="38">
        <v>1</v>
      </c>
      <c r="E859" s="38"/>
      <c r="F859" s="38"/>
      <c r="G859" s="38"/>
      <c r="H859" s="41">
        <f t="shared" si="25"/>
        <v>1</v>
      </c>
      <c r="I859" s="38"/>
      <c r="J859" s="60"/>
      <c r="K859" s="56"/>
    </row>
    <row r="860" spans="1:11" ht="20.05" customHeight="1" x14ac:dyDescent="0.2">
      <c r="A860" s="38"/>
      <c r="B860" s="36" t="s">
        <v>118</v>
      </c>
      <c r="C860" s="38">
        <v>1</v>
      </c>
      <c r="D860" s="38">
        <v>1</v>
      </c>
      <c r="E860" s="38"/>
      <c r="F860" s="38"/>
      <c r="G860" s="38"/>
      <c r="H860" s="41">
        <f t="shared" si="25"/>
        <v>1</v>
      </c>
      <c r="I860" s="38"/>
      <c r="J860" s="60"/>
      <c r="K860" s="56"/>
    </row>
    <row r="861" spans="1:11" ht="20.05" customHeight="1" x14ac:dyDescent="0.2">
      <c r="A861" s="38"/>
      <c r="B861" s="36" t="s">
        <v>8</v>
      </c>
      <c r="C861" s="38">
        <v>1</v>
      </c>
      <c r="D861" s="38">
        <v>1</v>
      </c>
      <c r="E861" s="38"/>
      <c r="F861" s="38"/>
      <c r="G861" s="38"/>
      <c r="H861" s="41">
        <f t="shared" si="25"/>
        <v>1</v>
      </c>
      <c r="I861" s="38"/>
      <c r="J861" s="60"/>
      <c r="K861" s="56"/>
    </row>
    <row r="862" spans="1:11" ht="20.05" customHeight="1" x14ac:dyDescent="0.2">
      <c r="A862" s="38"/>
      <c r="B862" s="36" t="s">
        <v>12</v>
      </c>
      <c r="C862" s="38">
        <v>1</v>
      </c>
      <c r="D862" s="38">
        <v>1</v>
      </c>
      <c r="E862" s="38"/>
      <c r="F862" s="38"/>
      <c r="G862" s="38"/>
      <c r="H862" s="41">
        <f t="shared" si="25"/>
        <v>1</v>
      </c>
      <c r="I862" s="38"/>
      <c r="J862" s="60"/>
      <c r="K862" s="56"/>
    </row>
    <row r="863" spans="1:11" ht="20.05" customHeight="1" x14ac:dyDescent="0.2">
      <c r="A863" s="38"/>
      <c r="B863" s="36" t="s">
        <v>9</v>
      </c>
      <c r="C863" s="38">
        <v>1</v>
      </c>
      <c r="D863" s="38">
        <v>1</v>
      </c>
      <c r="E863" s="38"/>
      <c r="F863" s="38"/>
      <c r="G863" s="38"/>
      <c r="H863" s="41">
        <f t="shared" si="25"/>
        <v>1</v>
      </c>
      <c r="I863" s="38"/>
      <c r="J863" s="60"/>
      <c r="K863" s="56"/>
    </row>
    <row r="864" spans="1:11" ht="20.05" customHeight="1" x14ac:dyDescent="0.2">
      <c r="A864" s="38"/>
      <c r="B864" s="36" t="s">
        <v>13</v>
      </c>
      <c r="C864" s="38">
        <v>1</v>
      </c>
      <c r="D864" s="38">
        <v>1</v>
      </c>
      <c r="E864" s="38"/>
      <c r="F864" s="38"/>
      <c r="G864" s="38"/>
      <c r="H864" s="41">
        <f t="shared" si="25"/>
        <v>1</v>
      </c>
      <c r="I864" s="38"/>
      <c r="J864" s="60"/>
      <c r="K864" s="56"/>
    </row>
    <row r="865" spans="1:11" ht="20.05" customHeight="1" x14ac:dyDescent="0.2">
      <c r="A865" s="38"/>
      <c r="B865" s="36" t="s">
        <v>10</v>
      </c>
      <c r="C865" s="38">
        <v>1</v>
      </c>
      <c r="D865" s="38">
        <v>1</v>
      </c>
      <c r="E865" s="38"/>
      <c r="F865" s="38"/>
      <c r="G865" s="38"/>
      <c r="H865" s="41">
        <f t="shared" si="25"/>
        <v>1</v>
      </c>
      <c r="I865" s="38"/>
      <c r="J865" s="60"/>
      <c r="K865" s="56"/>
    </row>
    <row r="866" spans="1:11" ht="20.05" customHeight="1" x14ac:dyDescent="0.2">
      <c r="A866" s="38"/>
      <c r="B866" s="36" t="s">
        <v>11</v>
      </c>
      <c r="C866" s="38">
        <v>1</v>
      </c>
      <c r="D866" s="38">
        <v>1</v>
      </c>
      <c r="E866" s="38"/>
      <c r="F866" s="38"/>
      <c r="G866" s="38"/>
      <c r="H866" s="41">
        <f t="shared" si="25"/>
        <v>1</v>
      </c>
      <c r="I866" s="38"/>
      <c r="J866" s="60"/>
      <c r="K866" s="56"/>
    </row>
    <row r="867" spans="1:11" ht="20.05" customHeight="1" x14ac:dyDescent="0.2">
      <c r="A867" s="38"/>
      <c r="B867" s="36" t="s">
        <v>51</v>
      </c>
      <c r="C867" s="38">
        <v>1</v>
      </c>
      <c r="D867" s="38">
        <v>1</v>
      </c>
      <c r="E867" s="38"/>
      <c r="F867" s="38"/>
      <c r="G867" s="38"/>
      <c r="H867" s="41">
        <f t="shared" si="25"/>
        <v>1</v>
      </c>
      <c r="I867" s="38"/>
      <c r="J867" s="60"/>
      <c r="K867" s="56"/>
    </row>
    <row r="868" spans="1:11" ht="20.05" customHeight="1" x14ac:dyDescent="0.2">
      <c r="A868" s="38"/>
      <c r="B868" s="36" t="s">
        <v>14</v>
      </c>
      <c r="C868" s="38">
        <v>1</v>
      </c>
      <c r="D868" s="38">
        <v>1</v>
      </c>
      <c r="E868" s="38"/>
      <c r="F868" s="38"/>
      <c r="G868" s="38"/>
      <c r="H868" s="41">
        <f t="shared" si="25"/>
        <v>1</v>
      </c>
      <c r="I868" s="38"/>
      <c r="J868" s="60"/>
      <c r="K868" s="56"/>
    </row>
    <row r="869" spans="1:11" ht="20.05" customHeight="1" x14ac:dyDescent="0.2">
      <c r="A869" s="38"/>
      <c r="B869" s="36" t="s">
        <v>15</v>
      </c>
      <c r="C869" s="38">
        <v>1</v>
      </c>
      <c r="D869" s="38">
        <v>1</v>
      </c>
      <c r="E869" s="38"/>
      <c r="F869" s="38"/>
      <c r="G869" s="38"/>
      <c r="H869" s="41">
        <f t="shared" si="25"/>
        <v>1</v>
      </c>
      <c r="I869" s="38"/>
      <c r="J869" s="60"/>
      <c r="K869" s="56"/>
    </row>
    <row r="870" spans="1:11" ht="20.05" customHeight="1" x14ac:dyDescent="0.2">
      <c r="A870" s="38"/>
      <c r="B870" s="36" t="s">
        <v>16</v>
      </c>
      <c r="C870" s="38">
        <v>1</v>
      </c>
      <c r="D870" s="38">
        <v>1</v>
      </c>
      <c r="E870" s="38"/>
      <c r="F870" s="38"/>
      <c r="G870" s="38"/>
      <c r="H870" s="41">
        <f t="shared" si="25"/>
        <v>1</v>
      </c>
      <c r="I870" s="38"/>
      <c r="J870" s="60"/>
      <c r="K870" s="56"/>
    </row>
    <row r="871" spans="1:11" ht="20.05" customHeight="1" x14ac:dyDescent="0.2">
      <c r="A871" s="38"/>
      <c r="B871" s="36" t="s">
        <v>17</v>
      </c>
      <c r="C871" s="38">
        <v>1</v>
      </c>
      <c r="D871" s="38">
        <v>1</v>
      </c>
      <c r="E871" s="38"/>
      <c r="F871" s="38"/>
      <c r="G871" s="38"/>
      <c r="H871" s="41">
        <f t="shared" si="25"/>
        <v>1</v>
      </c>
      <c r="I871" s="38"/>
      <c r="J871" s="60"/>
      <c r="K871" s="56"/>
    </row>
    <row r="872" spans="1:11" ht="20.05" customHeight="1" x14ac:dyDescent="0.2">
      <c r="A872" s="38"/>
      <c r="B872" s="36" t="s">
        <v>18</v>
      </c>
      <c r="C872" s="38">
        <v>1</v>
      </c>
      <c r="D872" s="38">
        <v>1</v>
      </c>
      <c r="E872" s="38"/>
      <c r="F872" s="38"/>
      <c r="G872" s="38"/>
      <c r="H872" s="41">
        <f t="shared" si="25"/>
        <v>1</v>
      </c>
      <c r="I872" s="38"/>
      <c r="J872" s="60"/>
      <c r="K872" s="56"/>
    </row>
    <row r="873" spans="1:11" ht="20.05" customHeight="1" x14ac:dyDescent="0.2">
      <c r="A873" s="38"/>
      <c r="B873" s="36" t="s">
        <v>106</v>
      </c>
      <c r="C873" s="38">
        <v>1</v>
      </c>
      <c r="D873" s="38">
        <v>1</v>
      </c>
      <c r="E873" s="38"/>
      <c r="F873" s="38"/>
      <c r="G873" s="38"/>
      <c r="H873" s="41">
        <f t="shared" si="25"/>
        <v>1</v>
      </c>
      <c r="I873" s="38"/>
      <c r="J873" s="60"/>
      <c r="K873" s="56"/>
    </row>
    <row r="874" spans="1:11" ht="20.05" customHeight="1" x14ac:dyDescent="0.2">
      <c r="A874" s="38"/>
      <c r="B874" s="36" t="s">
        <v>19</v>
      </c>
      <c r="C874" s="38">
        <v>1</v>
      </c>
      <c r="D874" s="38">
        <v>1</v>
      </c>
      <c r="E874" s="38"/>
      <c r="F874" s="38"/>
      <c r="G874" s="38"/>
      <c r="H874" s="41">
        <f t="shared" si="25"/>
        <v>1</v>
      </c>
      <c r="I874" s="38"/>
      <c r="J874" s="60"/>
      <c r="K874" s="56"/>
    </row>
    <row r="875" spans="1:11" ht="20.05" customHeight="1" x14ac:dyDescent="0.2">
      <c r="A875" s="38"/>
      <c r="B875" s="36" t="s">
        <v>117</v>
      </c>
      <c r="C875" s="38">
        <v>1</v>
      </c>
      <c r="D875" s="38">
        <v>1</v>
      </c>
      <c r="E875" s="38"/>
      <c r="F875" s="38"/>
      <c r="G875" s="38"/>
      <c r="H875" s="41">
        <f t="shared" si="25"/>
        <v>1</v>
      </c>
      <c r="I875" s="38"/>
      <c r="J875" s="60"/>
      <c r="K875" s="56"/>
    </row>
    <row r="876" spans="1:11" ht="20.05" customHeight="1" x14ac:dyDescent="0.2">
      <c r="A876" s="38"/>
      <c r="B876" s="36" t="s">
        <v>111</v>
      </c>
      <c r="C876" s="38">
        <v>1</v>
      </c>
      <c r="D876" s="38">
        <v>1</v>
      </c>
      <c r="E876" s="38"/>
      <c r="F876" s="38"/>
      <c r="G876" s="38"/>
      <c r="H876" s="41">
        <f t="shared" si="25"/>
        <v>1</v>
      </c>
      <c r="I876" s="38"/>
      <c r="J876" s="60"/>
      <c r="K876" s="56"/>
    </row>
    <row r="877" spans="1:11" ht="20.05" customHeight="1" x14ac:dyDescent="0.2">
      <c r="A877" s="38"/>
      <c r="B877" s="36" t="s">
        <v>22</v>
      </c>
      <c r="C877" s="38">
        <v>1</v>
      </c>
      <c r="D877" s="38">
        <v>1</v>
      </c>
      <c r="E877" s="38"/>
      <c r="F877" s="38"/>
      <c r="G877" s="38"/>
      <c r="H877" s="41">
        <f t="shared" si="25"/>
        <v>1</v>
      </c>
      <c r="I877" s="38"/>
      <c r="J877" s="60"/>
      <c r="K877" s="56"/>
    </row>
    <row r="878" spans="1:11" ht="20.05" customHeight="1" x14ac:dyDescent="0.2">
      <c r="A878" s="38"/>
      <c r="B878" s="36" t="s">
        <v>26</v>
      </c>
      <c r="C878" s="38">
        <v>1</v>
      </c>
      <c r="D878" s="38">
        <v>1</v>
      </c>
      <c r="E878" s="38"/>
      <c r="F878" s="38"/>
      <c r="G878" s="38"/>
      <c r="H878" s="41">
        <f t="shared" si="25"/>
        <v>1</v>
      </c>
      <c r="I878" s="38"/>
      <c r="J878" s="60"/>
      <c r="K878" s="56"/>
    </row>
    <row r="879" spans="1:11" ht="20.05" customHeight="1" x14ac:dyDescent="0.2">
      <c r="A879" s="38"/>
      <c r="B879" s="36" t="s">
        <v>23</v>
      </c>
      <c r="C879" s="38">
        <v>1</v>
      </c>
      <c r="D879" s="38">
        <v>1</v>
      </c>
      <c r="E879" s="38"/>
      <c r="F879" s="38"/>
      <c r="G879" s="38"/>
      <c r="H879" s="41">
        <f t="shared" si="25"/>
        <v>1</v>
      </c>
      <c r="I879" s="38"/>
      <c r="J879" s="60"/>
      <c r="K879" s="56"/>
    </row>
    <row r="880" spans="1:11" ht="20.05" customHeight="1" x14ac:dyDescent="0.2">
      <c r="A880" s="38"/>
      <c r="B880" s="36" t="s">
        <v>24</v>
      </c>
      <c r="C880" s="38">
        <v>1</v>
      </c>
      <c r="D880" s="38">
        <v>1</v>
      </c>
      <c r="E880" s="38"/>
      <c r="F880" s="38"/>
      <c r="G880" s="38"/>
      <c r="H880" s="41">
        <f t="shared" si="25"/>
        <v>1</v>
      </c>
      <c r="I880" s="38"/>
      <c r="J880" s="60"/>
      <c r="K880" s="56"/>
    </row>
    <row r="881" spans="1:11" ht="20.05" customHeight="1" x14ac:dyDescent="0.2">
      <c r="A881" s="38"/>
      <c r="B881" s="36" t="s">
        <v>45</v>
      </c>
      <c r="C881" s="38">
        <v>1</v>
      </c>
      <c r="D881" s="38">
        <v>1</v>
      </c>
      <c r="E881" s="38"/>
      <c r="F881" s="38"/>
      <c r="G881" s="38"/>
      <c r="H881" s="41">
        <f t="shared" si="25"/>
        <v>1</v>
      </c>
      <c r="I881" s="38"/>
      <c r="J881" s="60"/>
      <c r="K881" s="56"/>
    </row>
    <row r="882" spans="1:11" ht="20.05" customHeight="1" x14ac:dyDescent="0.2">
      <c r="A882" s="38"/>
      <c r="B882" s="36" t="s">
        <v>27</v>
      </c>
      <c r="C882" s="38">
        <v>1</v>
      </c>
      <c r="D882" s="38">
        <v>1</v>
      </c>
      <c r="E882" s="38"/>
      <c r="F882" s="38"/>
      <c r="G882" s="38"/>
      <c r="H882" s="41">
        <f t="shared" si="25"/>
        <v>1</v>
      </c>
      <c r="I882" s="38"/>
      <c r="J882" s="60"/>
      <c r="K882" s="56"/>
    </row>
    <row r="883" spans="1:11" ht="20.05" customHeight="1" x14ac:dyDescent="0.2">
      <c r="A883" s="38"/>
      <c r="B883" s="36" t="s">
        <v>28</v>
      </c>
      <c r="C883" s="38">
        <v>1</v>
      </c>
      <c r="D883" s="38">
        <v>1</v>
      </c>
      <c r="E883" s="38"/>
      <c r="F883" s="38"/>
      <c r="G883" s="38"/>
      <c r="H883" s="41">
        <f t="shared" si="25"/>
        <v>1</v>
      </c>
      <c r="I883" s="38"/>
      <c r="J883" s="60"/>
      <c r="K883" s="56"/>
    </row>
    <row r="884" spans="1:11" ht="20.05" customHeight="1" x14ac:dyDescent="0.2">
      <c r="A884" s="38"/>
      <c r="B884" s="36" t="s">
        <v>29</v>
      </c>
      <c r="C884" s="38">
        <v>1</v>
      </c>
      <c r="D884" s="38">
        <v>1</v>
      </c>
      <c r="E884" s="38"/>
      <c r="F884" s="38"/>
      <c r="G884" s="38"/>
      <c r="H884" s="41">
        <f t="shared" si="25"/>
        <v>1</v>
      </c>
      <c r="I884" s="38"/>
      <c r="J884" s="60"/>
      <c r="K884" s="56"/>
    </row>
    <row r="885" spans="1:11" ht="20.05" customHeight="1" x14ac:dyDescent="0.2">
      <c r="A885" s="38"/>
      <c r="B885" s="36" t="s">
        <v>30</v>
      </c>
      <c r="C885" s="38">
        <v>1</v>
      </c>
      <c r="D885" s="38">
        <v>1</v>
      </c>
      <c r="E885" s="38"/>
      <c r="F885" s="38"/>
      <c r="G885" s="38"/>
      <c r="H885" s="41">
        <f t="shared" si="25"/>
        <v>1</v>
      </c>
      <c r="I885" s="38"/>
      <c r="J885" s="60"/>
      <c r="K885" s="56"/>
    </row>
    <row r="886" spans="1:11" ht="20.05" customHeight="1" x14ac:dyDescent="0.2">
      <c r="A886" s="38"/>
      <c r="B886" s="36" t="s">
        <v>119</v>
      </c>
      <c r="C886" s="38">
        <v>1</v>
      </c>
      <c r="D886" s="38">
        <v>1</v>
      </c>
      <c r="E886" s="38"/>
      <c r="F886" s="38"/>
      <c r="G886" s="38"/>
      <c r="H886" s="41">
        <f t="shared" si="25"/>
        <v>1</v>
      </c>
      <c r="I886" s="38"/>
      <c r="J886" s="60"/>
      <c r="K886" s="56"/>
    </row>
    <row r="887" spans="1:11" ht="20.05" customHeight="1" x14ac:dyDescent="0.2">
      <c r="A887" s="38"/>
      <c r="B887" s="36" t="s">
        <v>47</v>
      </c>
      <c r="C887" s="38">
        <v>1</v>
      </c>
      <c r="D887" s="38">
        <v>1</v>
      </c>
      <c r="E887" s="38"/>
      <c r="F887" s="38"/>
      <c r="G887" s="38"/>
      <c r="H887" s="41">
        <f t="shared" si="25"/>
        <v>1</v>
      </c>
      <c r="I887" s="38"/>
      <c r="J887" s="60"/>
      <c r="K887" s="56"/>
    </row>
    <row r="888" spans="1:11" ht="20.05" customHeight="1" x14ac:dyDescent="0.2">
      <c r="A888" s="38"/>
      <c r="B888" s="36" t="s">
        <v>48</v>
      </c>
      <c r="C888" s="38">
        <v>1</v>
      </c>
      <c r="D888" s="38">
        <v>1</v>
      </c>
      <c r="E888" s="38"/>
      <c r="F888" s="38"/>
      <c r="G888" s="38"/>
      <c r="H888" s="41">
        <f t="shared" si="25"/>
        <v>1</v>
      </c>
      <c r="I888" s="38"/>
      <c r="J888" s="60"/>
      <c r="K888" s="56"/>
    </row>
    <row r="889" spans="1:11" ht="20.05" customHeight="1" x14ac:dyDescent="0.2">
      <c r="A889" s="38"/>
      <c r="B889" s="36" t="s">
        <v>49</v>
      </c>
      <c r="C889" s="38">
        <v>1</v>
      </c>
      <c r="D889" s="38">
        <v>1</v>
      </c>
      <c r="E889" s="38"/>
      <c r="F889" s="38"/>
      <c r="G889" s="38"/>
      <c r="H889" s="41">
        <f t="shared" si="25"/>
        <v>1</v>
      </c>
      <c r="I889" s="38"/>
      <c r="J889" s="60"/>
      <c r="K889" s="56"/>
    </row>
    <row r="890" spans="1:11" ht="20.05" customHeight="1" x14ac:dyDescent="0.2">
      <c r="A890" s="38"/>
      <c r="B890" s="36" t="s">
        <v>50</v>
      </c>
      <c r="C890" s="38">
        <v>1</v>
      </c>
      <c r="D890" s="38">
        <v>1</v>
      </c>
      <c r="E890" s="38"/>
      <c r="F890" s="38"/>
      <c r="G890" s="38"/>
      <c r="H890" s="41">
        <f t="shared" si="25"/>
        <v>1</v>
      </c>
      <c r="I890" s="38"/>
      <c r="J890" s="60"/>
      <c r="K890" s="56"/>
    </row>
    <row r="891" spans="1:11" ht="20.05" customHeight="1" x14ac:dyDescent="0.2">
      <c r="A891" s="38"/>
      <c r="B891" s="36" t="s">
        <v>31</v>
      </c>
      <c r="C891" s="38">
        <v>1</v>
      </c>
      <c r="D891" s="38">
        <v>1</v>
      </c>
      <c r="E891" s="38"/>
      <c r="F891" s="38"/>
      <c r="G891" s="38"/>
      <c r="H891" s="41">
        <f t="shared" si="25"/>
        <v>1</v>
      </c>
      <c r="I891" s="38"/>
      <c r="J891" s="60"/>
      <c r="K891" s="56"/>
    </row>
    <row r="892" spans="1:11" ht="20.05" customHeight="1" x14ac:dyDescent="0.2">
      <c r="A892" s="38"/>
      <c r="B892" s="36" t="s">
        <v>34</v>
      </c>
      <c r="C892" s="38">
        <v>1</v>
      </c>
      <c r="D892" s="38">
        <v>1</v>
      </c>
      <c r="E892" s="38"/>
      <c r="F892" s="38"/>
      <c r="G892" s="38"/>
      <c r="H892" s="41">
        <f t="shared" si="25"/>
        <v>1</v>
      </c>
      <c r="I892" s="38"/>
      <c r="J892" s="60"/>
      <c r="K892" s="56"/>
    </row>
    <row r="893" spans="1:11" ht="20.05" customHeight="1" x14ac:dyDescent="0.2">
      <c r="A893" s="38"/>
      <c r="B893" s="36" t="s">
        <v>32</v>
      </c>
      <c r="C893" s="38">
        <v>1</v>
      </c>
      <c r="D893" s="38">
        <v>1</v>
      </c>
      <c r="E893" s="38"/>
      <c r="F893" s="38"/>
      <c r="G893" s="38"/>
      <c r="H893" s="41">
        <f t="shared" si="25"/>
        <v>1</v>
      </c>
      <c r="I893" s="38"/>
      <c r="J893" s="60"/>
      <c r="K893" s="56"/>
    </row>
    <row r="894" spans="1:11" ht="20.05" customHeight="1" x14ac:dyDescent="0.2">
      <c r="A894" s="38"/>
      <c r="B894" s="36" t="s">
        <v>33</v>
      </c>
      <c r="C894" s="38">
        <v>1</v>
      </c>
      <c r="D894" s="38">
        <v>1</v>
      </c>
      <c r="E894" s="38"/>
      <c r="F894" s="38"/>
      <c r="G894" s="38"/>
      <c r="H894" s="41">
        <f t="shared" si="25"/>
        <v>1</v>
      </c>
      <c r="I894" s="38"/>
      <c r="J894" s="60"/>
      <c r="K894" s="56"/>
    </row>
    <row r="895" spans="1:11" ht="20.05" customHeight="1" x14ac:dyDescent="0.2">
      <c r="A895" s="38"/>
      <c r="B895" s="36" t="s">
        <v>35</v>
      </c>
      <c r="C895" s="38">
        <v>1</v>
      </c>
      <c r="D895" s="38">
        <v>1</v>
      </c>
      <c r="E895" s="38"/>
      <c r="F895" s="38"/>
      <c r="G895" s="38"/>
      <c r="H895" s="41">
        <f t="shared" si="25"/>
        <v>1</v>
      </c>
      <c r="I895" s="38"/>
      <c r="J895" s="60"/>
      <c r="K895" s="56"/>
    </row>
    <row r="896" spans="1:11" ht="20.05" customHeight="1" x14ac:dyDescent="0.2">
      <c r="A896" s="38"/>
      <c r="B896" s="36" t="s">
        <v>36</v>
      </c>
      <c r="C896" s="38">
        <v>1</v>
      </c>
      <c r="D896" s="38">
        <v>1</v>
      </c>
      <c r="E896" s="38"/>
      <c r="F896" s="38"/>
      <c r="G896" s="38"/>
      <c r="H896" s="41">
        <f t="shared" si="25"/>
        <v>1</v>
      </c>
      <c r="I896" s="38"/>
      <c r="J896" s="60"/>
      <c r="K896" s="56"/>
    </row>
    <row r="897" spans="1:11" ht="20.05" customHeight="1" x14ac:dyDescent="0.2">
      <c r="A897" s="38"/>
      <c r="B897" s="36" t="s">
        <v>37</v>
      </c>
      <c r="C897" s="38">
        <v>1</v>
      </c>
      <c r="D897" s="38">
        <v>1</v>
      </c>
      <c r="E897" s="38"/>
      <c r="F897" s="38"/>
      <c r="G897" s="38"/>
      <c r="H897" s="41">
        <f t="shared" si="25"/>
        <v>1</v>
      </c>
      <c r="I897" s="38"/>
      <c r="J897" s="60"/>
      <c r="K897" s="56"/>
    </row>
    <row r="898" spans="1:11" ht="20.05" customHeight="1" x14ac:dyDescent="0.2">
      <c r="A898" s="38"/>
      <c r="B898" s="36" t="s">
        <v>38</v>
      </c>
      <c r="C898" s="38">
        <v>1</v>
      </c>
      <c r="D898" s="38">
        <v>1</v>
      </c>
      <c r="E898" s="38"/>
      <c r="F898" s="38"/>
      <c r="G898" s="38"/>
      <c r="H898" s="41">
        <f t="shared" si="25"/>
        <v>1</v>
      </c>
      <c r="I898" s="38"/>
      <c r="J898" s="60"/>
      <c r="K898" s="56"/>
    </row>
    <row r="899" spans="1:11" ht="20.05" customHeight="1" x14ac:dyDescent="0.2">
      <c r="A899" s="38"/>
      <c r="B899" s="36" t="s">
        <v>39</v>
      </c>
      <c r="C899" s="38">
        <v>1</v>
      </c>
      <c r="D899" s="38">
        <v>1</v>
      </c>
      <c r="E899" s="38"/>
      <c r="F899" s="38"/>
      <c r="G899" s="38"/>
      <c r="H899" s="41">
        <f t="shared" si="25"/>
        <v>1</v>
      </c>
      <c r="I899" s="38"/>
      <c r="J899" s="60"/>
      <c r="K899" s="56"/>
    </row>
    <row r="900" spans="1:11" ht="20.05" customHeight="1" x14ac:dyDescent="0.2">
      <c r="A900" s="38"/>
      <c r="B900" s="36" t="s">
        <v>40</v>
      </c>
      <c r="C900" s="38">
        <v>1</v>
      </c>
      <c r="D900" s="38">
        <v>1</v>
      </c>
      <c r="E900" s="38"/>
      <c r="F900" s="38"/>
      <c r="G900" s="38"/>
      <c r="H900" s="41">
        <f t="shared" si="25"/>
        <v>1</v>
      </c>
      <c r="I900" s="38"/>
      <c r="J900" s="60"/>
      <c r="K900" s="56"/>
    </row>
    <row r="901" spans="1:11" ht="20.05" customHeight="1" x14ac:dyDescent="0.2">
      <c r="A901" s="38"/>
      <c r="B901" s="36" t="s">
        <v>41</v>
      </c>
      <c r="C901" s="38">
        <v>1</v>
      </c>
      <c r="D901" s="38">
        <v>1</v>
      </c>
      <c r="E901" s="38"/>
      <c r="F901" s="38"/>
      <c r="G901" s="38"/>
      <c r="H901" s="41">
        <f t="shared" si="25"/>
        <v>1</v>
      </c>
      <c r="I901" s="38"/>
      <c r="J901" s="60"/>
      <c r="K901" s="56"/>
    </row>
    <row r="902" spans="1:11" ht="20.05" customHeight="1" x14ac:dyDescent="0.2">
      <c r="A902" s="38"/>
      <c r="B902" s="36" t="s">
        <v>42</v>
      </c>
      <c r="C902" s="38">
        <v>1</v>
      </c>
      <c r="D902" s="38">
        <v>1</v>
      </c>
      <c r="E902" s="38"/>
      <c r="F902" s="38"/>
      <c r="G902" s="38"/>
      <c r="H902" s="41">
        <f t="shared" si="25"/>
        <v>1</v>
      </c>
      <c r="I902" s="38"/>
      <c r="J902" s="60"/>
      <c r="K902" s="56"/>
    </row>
    <row r="903" spans="1:11" ht="20.05" customHeight="1" x14ac:dyDescent="0.2">
      <c r="A903" s="38"/>
      <c r="B903" s="36" t="s">
        <v>43</v>
      </c>
      <c r="C903" s="38">
        <v>1</v>
      </c>
      <c r="D903" s="38">
        <v>1</v>
      </c>
      <c r="E903" s="38"/>
      <c r="F903" s="38"/>
      <c r="G903" s="38"/>
      <c r="H903" s="41">
        <f t="shared" si="25"/>
        <v>1</v>
      </c>
      <c r="I903" s="38"/>
      <c r="J903" s="60"/>
      <c r="K903" s="56"/>
    </row>
    <row r="904" spans="1:11" ht="20.05" customHeight="1" x14ac:dyDescent="0.2">
      <c r="A904" s="38"/>
      <c r="B904" s="36" t="s">
        <v>193</v>
      </c>
      <c r="C904" s="38">
        <v>1</v>
      </c>
      <c r="D904" s="38">
        <v>10</v>
      </c>
      <c r="E904" s="38"/>
      <c r="F904" s="38"/>
      <c r="G904" s="38"/>
      <c r="H904" s="41">
        <f t="shared" si="25"/>
        <v>10</v>
      </c>
      <c r="I904" s="38"/>
      <c r="J904" s="60"/>
      <c r="K904" s="56"/>
    </row>
    <row r="905" spans="1:11" ht="20.05" customHeight="1" x14ac:dyDescent="0.2">
      <c r="A905" s="38"/>
      <c r="B905" s="36"/>
      <c r="C905" s="38"/>
      <c r="D905" s="38"/>
      <c r="E905" s="38"/>
      <c r="F905" s="38"/>
      <c r="G905" s="38"/>
      <c r="H905" s="42">
        <f>SUM(H853:H904)</f>
        <v>61</v>
      </c>
      <c r="I905" s="38" t="s">
        <v>155</v>
      </c>
      <c r="J905" s="60">
        <v>600</v>
      </c>
      <c r="K905" s="56">
        <f>ROUND(H905*J905,0)</f>
        <v>36600</v>
      </c>
    </row>
    <row r="906" spans="1:11" ht="48.9" customHeight="1" x14ac:dyDescent="0.2">
      <c r="A906" s="38">
        <v>20</v>
      </c>
      <c r="B906" s="122" t="s">
        <v>194</v>
      </c>
      <c r="C906" s="123"/>
      <c r="D906" s="123"/>
      <c r="E906" s="123"/>
      <c r="F906" s="123"/>
      <c r="G906" s="124"/>
      <c r="H906" s="38"/>
      <c r="I906" s="38"/>
      <c r="J906" s="60"/>
      <c r="K906" s="56"/>
    </row>
    <row r="907" spans="1:11" ht="20.05" customHeight="1" x14ac:dyDescent="0.2">
      <c r="A907" s="38"/>
      <c r="B907" s="36" t="s">
        <v>7</v>
      </c>
      <c r="C907" s="38">
        <v>1</v>
      </c>
      <c r="D907" s="38">
        <v>2</v>
      </c>
      <c r="E907" s="38"/>
      <c r="F907" s="38"/>
      <c r="G907" s="38"/>
      <c r="H907" s="41">
        <f t="shared" ref="H907:H913" si="26">PRODUCT(C907:F907)</f>
        <v>2</v>
      </c>
      <c r="I907" s="38"/>
      <c r="J907" s="60"/>
      <c r="K907" s="56"/>
    </row>
    <row r="908" spans="1:11" ht="20.05" customHeight="1" x14ac:dyDescent="0.2">
      <c r="A908" s="38"/>
      <c r="B908" s="36" t="s">
        <v>8</v>
      </c>
      <c r="C908" s="38">
        <v>1</v>
      </c>
      <c r="D908" s="38">
        <v>1</v>
      </c>
      <c r="E908" s="38"/>
      <c r="F908" s="38"/>
      <c r="G908" s="38"/>
      <c r="H908" s="41">
        <f t="shared" si="26"/>
        <v>1</v>
      </c>
      <c r="I908" s="38"/>
      <c r="J908" s="60"/>
      <c r="K908" s="56"/>
    </row>
    <row r="909" spans="1:11" ht="20.05" customHeight="1" x14ac:dyDescent="0.2">
      <c r="A909" s="38"/>
      <c r="B909" s="36" t="s">
        <v>9</v>
      </c>
      <c r="C909" s="38">
        <v>1</v>
      </c>
      <c r="D909" s="38">
        <v>1</v>
      </c>
      <c r="E909" s="38"/>
      <c r="F909" s="38"/>
      <c r="G909" s="38"/>
      <c r="H909" s="41">
        <f t="shared" si="26"/>
        <v>1</v>
      </c>
      <c r="I909" s="38"/>
      <c r="J909" s="60"/>
      <c r="K909" s="56"/>
    </row>
    <row r="910" spans="1:11" ht="20.05" customHeight="1" x14ac:dyDescent="0.2">
      <c r="A910" s="38"/>
      <c r="B910" s="36" t="s">
        <v>10</v>
      </c>
      <c r="C910" s="38">
        <v>1</v>
      </c>
      <c r="D910" s="38">
        <v>2</v>
      </c>
      <c r="E910" s="38"/>
      <c r="F910" s="38"/>
      <c r="G910" s="38"/>
      <c r="H910" s="41">
        <f t="shared" si="26"/>
        <v>2</v>
      </c>
      <c r="I910" s="38"/>
      <c r="J910" s="60"/>
      <c r="K910" s="56"/>
    </row>
    <row r="911" spans="1:11" ht="20.05" customHeight="1" x14ac:dyDescent="0.2">
      <c r="A911" s="38"/>
      <c r="B911" s="36" t="s">
        <v>51</v>
      </c>
      <c r="C911" s="38">
        <v>1</v>
      </c>
      <c r="D911" s="38">
        <v>2</v>
      </c>
      <c r="E911" s="38"/>
      <c r="F911" s="38"/>
      <c r="G911" s="38"/>
      <c r="H911" s="41">
        <f t="shared" si="26"/>
        <v>2</v>
      </c>
      <c r="I911" s="38"/>
      <c r="J911" s="60"/>
      <c r="K911" s="56"/>
    </row>
    <row r="912" spans="1:11" ht="20.05" customHeight="1" x14ac:dyDescent="0.2">
      <c r="A912" s="38"/>
      <c r="B912" s="36" t="s">
        <v>30</v>
      </c>
      <c r="C912" s="38">
        <v>1</v>
      </c>
      <c r="D912" s="38">
        <v>2</v>
      </c>
      <c r="E912" s="38"/>
      <c r="F912" s="38"/>
      <c r="G912" s="38"/>
      <c r="H912" s="41">
        <f t="shared" si="26"/>
        <v>2</v>
      </c>
      <c r="I912" s="38"/>
      <c r="J912" s="60"/>
      <c r="K912" s="56"/>
    </row>
    <row r="913" spans="1:11" ht="20.05" customHeight="1" x14ac:dyDescent="0.2">
      <c r="A913" s="38"/>
      <c r="B913" s="36" t="s">
        <v>43</v>
      </c>
      <c r="C913" s="38">
        <v>1</v>
      </c>
      <c r="D913" s="38">
        <v>1</v>
      </c>
      <c r="E913" s="38"/>
      <c r="F913" s="38"/>
      <c r="G913" s="38"/>
      <c r="H913" s="41">
        <f t="shared" si="26"/>
        <v>1</v>
      </c>
      <c r="I913" s="38"/>
      <c r="J913" s="60"/>
      <c r="K913" s="56"/>
    </row>
    <row r="914" spans="1:11" ht="20.05" customHeight="1" x14ac:dyDescent="0.2">
      <c r="A914" s="38"/>
      <c r="B914" s="36"/>
      <c r="C914" s="38"/>
      <c r="D914" s="38"/>
      <c r="E914" s="38"/>
      <c r="F914" s="38"/>
      <c r="G914" s="38"/>
      <c r="H914" s="42">
        <f>SUM(H907:H913)</f>
        <v>11</v>
      </c>
      <c r="I914" s="38" t="s">
        <v>155</v>
      </c>
      <c r="J914" s="60">
        <v>2819</v>
      </c>
      <c r="K914" s="56">
        <f>ROUND(H914*J914,0)</f>
        <v>31009</v>
      </c>
    </row>
    <row r="915" spans="1:11" ht="60.45" customHeight="1" x14ac:dyDescent="0.2">
      <c r="A915" s="38">
        <v>21</v>
      </c>
      <c r="B915" s="122" t="s">
        <v>437</v>
      </c>
      <c r="C915" s="123"/>
      <c r="D915" s="123"/>
      <c r="E915" s="123"/>
      <c r="F915" s="123"/>
      <c r="G915" s="124"/>
      <c r="H915" s="38"/>
      <c r="I915" s="38"/>
      <c r="J915" s="60"/>
      <c r="K915" s="56"/>
    </row>
    <row r="916" spans="1:11" ht="20.05" customHeight="1" x14ac:dyDescent="0.2">
      <c r="A916" s="38"/>
      <c r="B916" s="36" t="s">
        <v>5</v>
      </c>
      <c r="C916" s="38">
        <v>1</v>
      </c>
      <c r="D916" s="38">
        <v>2</v>
      </c>
      <c r="E916" s="38">
        <v>1.8</v>
      </c>
      <c r="F916" s="38">
        <v>1.8</v>
      </c>
      <c r="G916" s="38"/>
      <c r="H916" s="41">
        <f t="shared" ref="H916:H945" si="27">PRODUCT(C916:F916)</f>
        <v>6.48</v>
      </c>
      <c r="I916" s="38"/>
      <c r="J916" s="60"/>
      <c r="K916" s="56"/>
    </row>
    <row r="917" spans="1:11" ht="20.05" customHeight="1" x14ac:dyDescent="0.2">
      <c r="A917" s="38"/>
      <c r="B917" s="36"/>
      <c r="C917" s="38">
        <v>1</v>
      </c>
      <c r="D917" s="38">
        <v>2</v>
      </c>
      <c r="E917" s="38">
        <v>1.5</v>
      </c>
      <c r="F917" s="38">
        <v>1.8</v>
      </c>
      <c r="G917" s="38"/>
      <c r="H917" s="41">
        <f t="shared" si="27"/>
        <v>5.4</v>
      </c>
      <c r="I917" s="38"/>
      <c r="J917" s="60"/>
      <c r="K917" s="56"/>
    </row>
    <row r="918" spans="1:11" ht="20.05" customHeight="1" x14ac:dyDescent="0.2">
      <c r="A918" s="38"/>
      <c r="B918" s="36" t="s">
        <v>6</v>
      </c>
      <c r="C918" s="38">
        <v>1</v>
      </c>
      <c r="D918" s="38">
        <v>1</v>
      </c>
      <c r="E918" s="38">
        <v>1.8</v>
      </c>
      <c r="F918" s="38">
        <v>1.8</v>
      </c>
      <c r="G918" s="38"/>
      <c r="H918" s="41">
        <f t="shared" si="27"/>
        <v>3.24</v>
      </c>
      <c r="I918" s="38"/>
      <c r="J918" s="60"/>
      <c r="K918" s="56"/>
    </row>
    <row r="919" spans="1:11" ht="20.05" customHeight="1" x14ac:dyDescent="0.2">
      <c r="A919" s="38"/>
      <c r="B919" s="36" t="s">
        <v>7</v>
      </c>
      <c r="C919" s="38">
        <v>1</v>
      </c>
      <c r="D919" s="38">
        <v>1</v>
      </c>
      <c r="E919" s="38">
        <v>1.8</v>
      </c>
      <c r="F919" s="38">
        <v>1.8</v>
      </c>
      <c r="G919" s="38"/>
      <c r="H919" s="41">
        <f t="shared" si="27"/>
        <v>3.24</v>
      </c>
      <c r="I919" s="38"/>
      <c r="J919" s="60"/>
      <c r="K919" s="56"/>
    </row>
    <row r="920" spans="1:11" ht="20.05" customHeight="1" x14ac:dyDescent="0.2">
      <c r="A920" s="38"/>
      <c r="B920" s="36"/>
      <c r="C920" s="38">
        <v>1</v>
      </c>
      <c r="D920" s="38">
        <v>4</v>
      </c>
      <c r="E920" s="38">
        <v>1.5</v>
      </c>
      <c r="F920" s="38">
        <v>1.8</v>
      </c>
      <c r="G920" s="38"/>
      <c r="H920" s="41">
        <f t="shared" si="27"/>
        <v>10.8</v>
      </c>
      <c r="I920" s="38"/>
      <c r="J920" s="60"/>
      <c r="K920" s="56"/>
    </row>
    <row r="921" spans="1:11" ht="20.05" customHeight="1" x14ac:dyDescent="0.2">
      <c r="A921" s="38"/>
      <c r="B921" s="36" t="s">
        <v>8</v>
      </c>
      <c r="C921" s="38">
        <v>1</v>
      </c>
      <c r="D921" s="38">
        <v>1</v>
      </c>
      <c r="E921" s="38">
        <v>1.2</v>
      </c>
      <c r="F921" s="38">
        <v>1.8</v>
      </c>
      <c r="G921" s="38"/>
      <c r="H921" s="41">
        <f t="shared" si="27"/>
        <v>2.16</v>
      </c>
      <c r="I921" s="38"/>
      <c r="J921" s="60"/>
      <c r="K921" s="56"/>
    </row>
    <row r="922" spans="1:11" ht="20.05" customHeight="1" x14ac:dyDescent="0.2">
      <c r="A922" s="38"/>
      <c r="B922" s="36" t="s">
        <v>9</v>
      </c>
      <c r="C922" s="38">
        <v>1</v>
      </c>
      <c r="D922" s="38">
        <v>1</v>
      </c>
      <c r="E922" s="38">
        <v>1.2</v>
      </c>
      <c r="F922" s="38">
        <v>1.8</v>
      </c>
      <c r="G922" s="38"/>
      <c r="H922" s="41">
        <f t="shared" si="27"/>
        <v>2.16</v>
      </c>
      <c r="I922" s="38"/>
      <c r="J922" s="60"/>
      <c r="K922" s="56"/>
    </row>
    <row r="923" spans="1:11" ht="20.05" customHeight="1" x14ac:dyDescent="0.2">
      <c r="A923" s="38"/>
      <c r="B923" s="36" t="s">
        <v>11</v>
      </c>
      <c r="C923" s="38">
        <v>1</v>
      </c>
      <c r="D923" s="38">
        <v>1</v>
      </c>
      <c r="E923" s="38">
        <v>1.8</v>
      </c>
      <c r="F923" s="38">
        <v>1.8</v>
      </c>
      <c r="G923" s="38"/>
      <c r="H923" s="41">
        <f t="shared" si="27"/>
        <v>3.24</v>
      </c>
      <c r="I923" s="38"/>
      <c r="J923" s="60"/>
      <c r="K923" s="56"/>
    </row>
    <row r="924" spans="1:11" ht="20.05" customHeight="1" x14ac:dyDescent="0.2">
      <c r="A924" s="38"/>
      <c r="B924" s="36" t="s">
        <v>16</v>
      </c>
      <c r="C924" s="38">
        <v>1</v>
      </c>
      <c r="D924" s="38">
        <v>1</v>
      </c>
      <c r="E924" s="38">
        <v>1.2</v>
      </c>
      <c r="F924" s="38">
        <v>1.8</v>
      </c>
      <c r="G924" s="38"/>
      <c r="H924" s="41">
        <f t="shared" si="27"/>
        <v>2.16</v>
      </c>
      <c r="I924" s="38"/>
      <c r="J924" s="60"/>
      <c r="K924" s="56"/>
    </row>
    <row r="925" spans="1:11" ht="20.05" customHeight="1" x14ac:dyDescent="0.2">
      <c r="A925" s="38"/>
      <c r="B925" s="36" t="s">
        <v>17</v>
      </c>
      <c r="C925" s="38">
        <v>1</v>
      </c>
      <c r="D925" s="38">
        <v>1</v>
      </c>
      <c r="E925" s="38">
        <v>0.9</v>
      </c>
      <c r="F925" s="38">
        <v>1.8</v>
      </c>
      <c r="G925" s="38"/>
      <c r="H925" s="41">
        <f t="shared" si="27"/>
        <v>1.62</v>
      </c>
      <c r="I925" s="38"/>
      <c r="J925" s="60"/>
      <c r="K925" s="56"/>
    </row>
    <row r="926" spans="1:11" ht="20.05" customHeight="1" x14ac:dyDescent="0.2">
      <c r="A926" s="38"/>
      <c r="B926" s="36" t="s">
        <v>18</v>
      </c>
      <c r="C926" s="38">
        <v>1</v>
      </c>
      <c r="D926" s="38">
        <v>1</v>
      </c>
      <c r="E926" s="38">
        <v>1.2</v>
      </c>
      <c r="F926" s="38">
        <v>1.8</v>
      </c>
      <c r="G926" s="38"/>
      <c r="H926" s="41">
        <f t="shared" si="27"/>
        <v>2.16</v>
      </c>
      <c r="I926" s="38"/>
      <c r="J926" s="60"/>
      <c r="K926" s="56"/>
    </row>
    <row r="927" spans="1:11" ht="20.05" customHeight="1" x14ac:dyDescent="0.2">
      <c r="A927" s="38"/>
      <c r="B927" s="36" t="s">
        <v>106</v>
      </c>
      <c r="C927" s="38">
        <v>1</v>
      </c>
      <c r="D927" s="38">
        <v>1</v>
      </c>
      <c r="E927" s="38">
        <v>1.2</v>
      </c>
      <c r="F927" s="38">
        <v>1.8</v>
      </c>
      <c r="G927" s="38"/>
      <c r="H927" s="41">
        <f t="shared" si="27"/>
        <v>2.16</v>
      </c>
      <c r="I927" s="38"/>
      <c r="J927" s="60"/>
      <c r="K927" s="56"/>
    </row>
    <row r="928" spans="1:11" ht="20.05" customHeight="1" x14ac:dyDescent="0.2">
      <c r="A928" s="38"/>
      <c r="B928" s="36" t="s">
        <v>19</v>
      </c>
      <c r="C928" s="38">
        <v>1</v>
      </c>
      <c r="D928" s="38">
        <v>2</v>
      </c>
      <c r="E928" s="38">
        <v>1.8</v>
      </c>
      <c r="F928" s="38">
        <v>1.8</v>
      </c>
      <c r="G928" s="38"/>
      <c r="H928" s="41">
        <f t="shared" si="27"/>
        <v>6.48</v>
      </c>
      <c r="I928" s="38"/>
      <c r="J928" s="60"/>
      <c r="K928" s="56"/>
    </row>
    <row r="929" spans="1:11" ht="20.05" customHeight="1" x14ac:dyDescent="0.2">
      <c r="A929" s="38"/>
      <c r="B929" s="36" t="s">
        <v>117</v>
      </c>
      <c r="C929" s="38">
        <v>1</v>
      </c>
      <c r="D929" s="38">
        <v>1</v>
      </c>
      <c r="E929" s="38">
        <v>1.2</v>
      </c>
      <c r="F929" s="38">
        <v>1.8</v>
      </c>
      <c r="G929" s="38"/>
      <c r="H929" s="41">
        <f t="shared" si="27"/>
        <v>2.16</v>
      </c>
      <c r="I929" s="38"/>
      <c r="J929" s="60"/>
      <c r="K929" s="56"/>
    </row>
    <row r="930" spans="1:11" ht="20.05" customHeight="1" x14ac:dyDescent="0.2">
      <c r="A930" s="38"/>
      <c r="B930" s="36" t="s">
        <v>111</v>
      </c>
      <c r="C930" s="38">
        <v>1</v>
      </c>
      <c r="D930" s="38">
        <v>1</v>
      </c>
      <c r="E930" s="38">
        <v>1.2</v>
      </c>
      <c r="F930" s="38">
        <v>1.8</v>
      </c>
      <c r="G930" s="38"/>
      <c r="H930" s="41">
        <f t="shared" si="27"/>
        <v>2.16</v>
      </c>
      <c r="I930" s="38"/>
      <c r="J930" s="60"/>
      <c r="K930" s="56"/>
    </row>
    <row r="931" spans="1:11" ht="20.05" customHeight="1" x14ac:dyDescent="0.2">
      <c r="A931" s="38"/>
      <c r="B931" s="36" t="s">
        <v>22</v>
      </c>
      <c r="C931" s="38">
        <v>1</v>
      </c>
      <c r="D931" s="38">
        <v>1</v>
      </c>
      <c r="E931" s="38">
        <v>1.2</v>
      </c>
      <c r="F931" s="38">
        <v>1.8</v>
      </c>
      <c r="G931" s="38"/>
      <c r="H931" s="41">
        <f t="shared" si="27"/>
        <v>2.16</v>
      </c>
      <c r="I931" s="38"/>
      <c r="J931" s="60"/>
      <c r="K931" s="56"/>
    </row>
    <row r="932" spans="1:11" ht="20.05" customHeight="1" x14ac:dyDescent="0.2">
      <c r="A932" s="38"/>
      <c r="B932" s="36" t="s">
        <v>23</v>
      </c>
      <c r="C932" s="38">
        <v>1</v>
      </c>
      <c r="D932" s="38">
        <v>1</v>
      </c>
      <c r="E932" s="38">
        <v>1.8</v>
      </c>
      <c r="F932" s="38">
        <v>1.8</v>
      </c>
      <c r="G932" s="38"/>
      <c r="H932" s="41">
        <f t="shared" si="27"/>
        <v>3.24</v>
      </c>
      <c r="I932" s="38"/>
      <c r="J932" s="60"/>
      <c r="K932" s="56"/>
    </row>
    <row r="933" spans="1:11" ht="20.05" customHeight="1" x14ac:dyDescent="0.2">
      <c r="A933" s="38"/>
      <c r="B933" s="36" t="s">
        <v>24</v>
      </c>
      <c r="C933" s="38">
        <v>1</v>
      </c>
      <c r="D933" s="38">
        <v>1</v>
      </c>
      <c r="E933" s="38">
        <v>1.5</v>
      </c>
      <c r="F933" s="38">
        <v>1.8</v>
      </c>
      <c r="G933" s="38"/>
      <c r="H933" s="41">
        <f t="shared" si="27"/>
        <v>2.7</v>
      </c>
      <c r="I933" s="38"/>
      <c r="J933" s="60"/>
      <c r="K933" s="56"/>
    </row>
    <row r="934" spans="1:11" ht="20.05" customHeight="1" x14ac:dyDescent="0.2">
      <c r="A934" s="38"/>
      <c r="B934" s="36" t="s">
        <v>45</v>
      </c>
      <c r="C934" s="38">
        <v>1</v>
      </c>
      <c r="D934" s="38">
        <v>1</v>
      </c>
      <c r="E934" s="38">
        <v>1.8</v>
      </c>
      <c r="F934" s="38">
        <v>1.8</v>
      </c>
      <c r="G934" s="38"/>
      <c r="H934" s="41">
        <f t="shared" si="27"/>
        <v>3.24</v>
      </c>
      <c r="I934" s="38"/>
      <c r="J934" s="60"/>
      <c r="K934" s="56"/>
    </row>
    <row r="935" spans="1:11" ht="20.05" customHeight="1" x14ac:dyDescent="0.2">
      <c r="A935" s="38"/>
      <c r="B935" s="36" t="s">
        <v>27</v>
      </c>
      <c r="C935" s="38">
        <v>1</v>
      </c>
      <c r="D935" s="38">
        <v>1</v>
      </c>
      <c r="E935" s="38">
        <v>1.8</v>
      </c>
      <c r="F935" s="38">
        <v>1.8</v>
      </c>
      <c r="G935" s="38"/>
      <c r="H935" s="41">
        <f t="shared" si="27"/>
        <v>3.24</v>
      </c>
      <c r="I935" s="38"/>
      <c r="J935" s="60"/>
      <c r="K935" s="56"/>
    </row>
    <row r="936" spans="1:11" ht="20.05" customHeight="1" x14ac:dyDescent="0.2">
      <c r="A936" s="38"/>
      <c r="B936" s="36" t="s">
        <v>28</v>
      </c>
      <c r="C936" s="38">
        <v>1</v>
      </c>
      <c r="D936" s="38">
        <v>1</v>
      </c>
      <c r="E936" s="38">
        <v>1.5</v>
      </c>
      <c r="F936" s="38">
        <v>1.8</v>
      </c>
      <c r="G936" s="38"/>
      <c r="H936" s="41">
        <f t="shared" si="27"/>
        <v>2.7</v>
      </c>
      <c r="I936" s="38"/>
      <c r="J936" s="60"/>
      <c r="K936" s="56"/>
    </row>
    <row r="937" spans="1:11" ht="20.05" customHeight="1" x14ac:dyDescent="0.2">
      <c r="A937" s="38"/>
      <c r="B937" s="36" t="s">
        <v>30</v>
      </c>
      <c r="C937" s="38">
        <v>1</v>
      </c>
      <c r="D937" s="38">
        <v>1</v>
      </c>
      <c r="E937" s="38">
        <v>1.8</v>
      </c>
      <c r="F937" s="38">
        <v>1.8</v>
      </c>
      <c r="G937" s="38"/>
      <c r="H937" s="41">
        <f t="shared" si="27"/>
        <v>3.24</v>
      </c>
      <c r="I937" s="38"/>
      <c r="J937" s="60"/>
      <c r="K937" s="56"/>
    </row>
    <row r="938" spans="1:11" ht="20.05" customHeight="1" x14ac:dyDescent="0.2">
      <c r="A938" s="38"/>
      <c r="B938" s="36" t="s">
        <v>31</v>
      </c>
      <c r="C938" s="38">
        <v>1</v>
      </c>
      <c r="D938" s="38">
        <v>3</v>
      </c>
      <c r="E938" s="38">
        <v>1.8</v>
      </c>
      <c r="F938" s="38">
        <v>1.8</v>
      </c>
      <c r="G938" s="38"/>
      <c r="H938" s="41">
        <f t="shared" si="27"/>
        <v>9.7200000000000006</v>
      </c>
      <c r="I938" s="38"/>
      <c r="J938" s="60"/>
      <c r="K938" s="56"/>
    </row>
    <row r="939" spans="1:11" ht="20.05" customHeight="1" x14ac:dyDescent="0.2">
      <c r="A939" s="38"/>
      <c r="B939" s="36" t="s">
        <v>34</v>
      </c>
      <c r="C939" s="38">
        <v>1</v>
      </c>
      <c r="D939" s="38">
        <v>1</v>
      </c>
      <c r="E939" s="38">
        <v>1.5</v>
      </c>
      <c r="F939" s="38">
        <v>1.8</v>
      </c>
      <c r="G939" s="38"/>
      <c r="H939" s="41">
        <f t="shared" si="27"/>
        <v>2.7</v>
      </c>
      <c r="I939" s="38"/>
      <c r="J939" s="60"/>
      <c r="K939" s="56"/>
    </row>
    <row r="940" spans="1:11" ht="20.05" customHeight="1" x14ac:dyDescent="0.2">
      <c r="A940" s="38"/>
      <c r="B940" s="36" t="s">
        <v>35</v>
      </c>
      <c r="C940" s="38">
        <v>1</v>
      </c>
      <c r="D940" s="38">
        <v>1</v>
      </c>
      <c r="E940" s="38">
        <v>1.5</v>
      </c>
      <c r="F940" s="38">
        <v>1.8</v>
      </c>
      <c r="G940" s="38"/>
      <c r="H940" s="41">
        <f t="shared" si="27"/>
        <v>2.7</v>
      </c>
      <c r="I940" s="38"/>
      <c r="J940" s="60"/>
      <c r="K940" s="56"/>
    </row>
    <row r="941" spans="1:11" ht="20.05" customHeight="1" x14ac:dyDescent="0.2">
      <c r="A941" s="38"/>
      <c r="B941" s="36" t="s">
        <v>36</v>
      </c>
      <c r="C941" s="38">
        <v>1</v>
      </c>
      <c r="D941" s="38">
        <v>5</v>
      </c>
      <c r="E941" s="38">
        <v>1.8</v>
      </c>
      <c r="F941" s="38">
        <v>1.8</v>
      </c>
      <c r="G941" s="38"/>
      <c r="H941" s="41">
        <f t="shared" si="27"/>
        <v>16.2</v>
      </c>
      <c r="I941" s="38"/>
      <c r="J941" s="60"/>
      <c r="K941" s="56"/>
    </row>
    <row r="942" spans="1:11" ht="20.05" customHeight="1" x14ac:dyDescent="0.2">
      <c r="A942" s="38"/>
      <c r="B942" s="36" t="s">
        <v>37</v>
      </c>
      <c r="C942" s="38">
        <v>1</v>
      </c>
      <c r="D942" s="38">
        <v>1</v>
      </c>
      <c r="E942" s="38">
        <v>1.8</v>
      </c>
      <c r="F942" s="38">
        <v>1.8</v>
      </c>
      <c r="G942" s="38"/>
      <c r="H942" s="41">
        <f t="shared" si="27"/>
        <v>3.24</v>
      </c>
      <c r="I942" s="38"/>
      <c r="J942" s="60"/>
      <c r="K942" s="56"/>
    </row>
    <row r="943" spans="1:11" ht="20.05" customHeight="1" x14ac:dyDescent="0.2">
      <c r="A943" s="38"/>
      <c r="B943" s="36" t="s">
        <v>38</v>
      </c>
      <c r="C943" s="38">
        <v>1</v>
      </c>
      <c r="D943" s="38">
        <v>1</v>
      </c>
      <c r="E943" s="38">
        <v>1.5</v>
      </c>
      <c r="F943" s="38">
        <v>1.8</v>
      </c>
      <c r="G943" s="38"/>
      <c r="H943" s="41">
        <f t="shared" si="27"/>
        <v>2.7</v>
      </c>
      <c r="I943" s="38"/>
      <c r="J943" s="60"/>
      <c r="K943" s="56"/>
    </row>
    <row r="944" spans="1:11" ht="20.05" customHeight="1" x14ac:dyDescent="0.2">
      <c r="A944" s="38"/>
      <c r="B944" s="36" t="s">
        <v>40</v>
      </c>
      <c r="C944" s="38">
        <v>1</v>
      </c>
      <c r="D944" s="38">
        <v>2</v>
      </c>
      <c r="E944" s="38">
        <v>1.8</v>
      </c>
      <c r="F944" s="38">
        <v>1.8</v>
      </c>
      <c r="G944" s="38"/>
      <c r="H944" s="41">
        <f t="shared" si="27"/>
        <v>6.48</v>
      </c>
      <c r="I944" s="38"/>
      <c r="J944" s="60"/>
      <c r="K944" s="56"/>
    </row>
    <row r="945" spans="1:11" ht="20.05" customHeight="1" x14ac:dyDescent="0.2">
      <c r="A945" s="38"/>
      <c r="B945" s="36" t="s">
        <v>41</v>
      </c>
      <c r="C945" s="38">
        <v>1</v>
      </c>
      <c r="D945" s="38">
        <v>1</v>
      </c>
      <c r="E945" s="38">
        <v>1.8</v>
      </c>
      <c r="F945" s="38">
        <v>1.8</v>
      </c>
      <c r="G945" s="38"/>
      <c r="H945" s="41">
        <f t="shared" si="27"/>
        <v>3.24</v>
      </c>
      <c r="I945" s="38"/>
      <c r="J945" s="60"/>
      <c r="K945" s="56"/>
    </row>
    <row r="946" spans="1:11" ht="20.05" customHeight="1" x14ac:dyDescent="0.2">
      <c r="A946" s="38"/>
      <c r="B946" s="36"/>
      <c r="C946" s="38"/>
      <c r="D946" s="38"/>
      <c r="E946" s="38"/>
      <c r="F946" s="38"/>
      <c r="G946" s="38"/>
      <c r="H946" s="42">
        <f>SUM(H916:H945)</f>
        <v>123.12</v>
      </c>
      <c r="I946" s="38" t="s">
        <v>154</v>
      </c>
      <c r="J946" s="60">
        <f>'C-Datas'!I404</f>
        <v>1489</v>
      </c>
      <c r="K946" s="56">
        <f>ROUND(H946*J946,0)</f>
        <v>183326</v>
      </c>
    </row>
    <row r="947" spans="1:11" ht="40.1" customHeight="1" x14ac:dyDescent="0.2">
      <c r="A947" s="38">
        <v>22</v>
      </c>
      <c r="B947" s="122" t="s">
        <v>195</v>
      </c>
      <c r="C947" s="123"/>
      <c r="D947" s="123"/>
      <c r="E947" s="123"/>
      <c r="F947" s="123"/>
      <c r="G947" s="124"/>
      <c r="H947" s="38"/>
      <c r="I947" s="38"/>
      <c r="J947" s="60"/>
      <c r="K947" s="56"/>
    </row>
    <row r="948" spans="1:11" ht="20.05" customHeight="1" x14ac:dyDescent="0.2">
      <c r="A948" s="38"/>
      <c r="B948" s="52" t="s">
        <v>197</v>
      </c>
      <c r="C948" s="45"/>
      <c r="D948" s="45"/>
      <c r="E948" s="45"/>
      <c r="F948" s="45"/>
      <c r="G948" s="44"/>
      <c r="H948" s="38"/>
      <c r="I948" s="38"/>
      <c r="J948" s="60"/>
      <c r="K948" s="56"/>
    </row>
    <row r="949" spans="1:11" ht="20.05" customHeight="1" x14ac:dyDescent="0.2">
      <c r="A949" s="38"/>
      <c r="B949" s="36" t="s">
        <v>5</v>
      </c>
      <c r="C949" s="38">
        <v>1</v>
      </c>
      <c r="D949" s="38">
        <v>2</v>
      </c>
      <c r="E949" s="38">
        <v>1.8</v>
      </c>
      <c r="F949" s="38">
        <v>1.8</v>
      </c>
      <c r="G949" s="38"/>
      <c r="H949" s="41">
        <f t="shared" ref="H949:H999" si="28">PRODUCT(C949:F949)</f>
        <v>6.48</v>
      </c>
      <c r="I949" s="38"/>
      <c r="J949" s="60"/>
      <c r="K949" s="56"/>
    </row>
    <row r="950" spans="1:11" ht="20.05" customHeight="1" x14ac:dyDescent="0.2">
      <c r="A950" s="38"/>
      <c r="B950" s="36"/>
      <c r="C950" s="38">
        <v>1</v>
      </c>
      <c r="D950" s="38">
        <v>2</v>
      </c>
      <c r="E950" s="38">
        <v>1.5</v>
      </c>
      <c r="F950" s="38">
        <v>1.8</v>
      </c>
      <c r="G950" s="38"/>
      <c r="H950" s="41">
        <f t="shared" si="28"/>
        <v>5.4</v>
      </c>
      <c r="I950" s="38"/>
      <c r="J950" s="60"/>
      <c r="K950" s="56"/>
    </row>
    <row r="951" spans="1:11" ht="20.05" customHeight="1" x14ac:dyDescent="0.2">
      <c r="A951" s="38"/>
      <c r="B951" s="36" t="s">
        <v>6</v>
      </c>
      <c r="C951" s="38">
        <v>1</v>
      </c>
      <c r="D951" s="38">
        <v>1</v>
      </c>
      <c r="E951" s="38">
        <v>1.8</v>
      </c>
      <c r="F951" s="38">
        <v>1.8</v>
      </c>
      <c r="G951" s="38"/>
      <c r="H951" s="41">
        <f t="shared" si="28"/>
        <v>3.24</v>
      </c>
      <c r="I951" s="38"/>
      <c r="J951" s="60"/>
      <c r="K951" s="56"/>
    </row>
    <row r="952" spans="1:11" ht="20.05" customHeight="1" x14ac:dyDescent="0.2">
      <c r="A952" s="38"/>
      <c r="B952" s="36" t="s">
        <v>7</v>
      </c>
      <c r="C952" s="38">
        <v>1</v>
      </c>
      <c r="D952" s="38">
        <v>1</v>
      </c>
      <c r="E952" s="38">
        <v>1.8</v>
      </c>
      <c r="F952" s="38">
        <v>1.8</v>
      </c>
      <c r="G952" s="38"/>
      <c r="H952" s="41">
        <f t="shared" si="28"/>
        <v>3.24</v>
      </c>
      <c r="I952" s="38"/>
      <c r="J952" s="60"/>
      <c r="K952" s="56"/>
    </row>
    <row r="953" spans="1:11" ht="20.05" customHeight="1" x14ac:dyDescent="0.2">
      <c r="A953" s="38"/>
      <c r="B953" s="36"/>
      <c r="C953" s="38">
        <v>1</v>
      </c>
      <c r="D953" s="38">
        <v>4</v>
      </c>
      <c r="E953" s="38">
        <v>1.5</v>
      </c>
      <c r="F953" s="38">
        <v>1.8</v>
      </c>
      <c r="G953" s="38"/>
      <c r="H953" s="41">
        <f t="shared" si="28"/>
        <v>10.8</v>
      </c>
      <c r="I953" s="38"/>
      <c r="J953" s="60"/>
      <c r="K953" s="56"/>
    </row>
    <row r="954" spans="1:11" ht="20.05" customHeight="1" x14ac:dyDescent="0.2">
      <c r="A954" s="38"/>
      <c r="B954" s="36" t="s">
        <v>8</v>
      </c>
      <c r="C954" s="38">
        <v>1</v>
      </c>
      <c r="D954" s="38">
        <v>1</v>
      </c>
      <c r="E954" s="38">
        <v>1.2</v>
      </c>
      <c r="F954" s="38">
        <v>1.8</v>
      </c>
      <c r="G954" s="38"/>
      <c r="H954" s="41">
        <f t="shared" si="28"/>
        <v>2.16</v>
      </c>
      <c r="I954" s="38"/>
      <c r="J954" s="60"/>
      <c r="K954" s="56"/>
    </row>
    <row r="955" spans="1:11" ht="20.05" customHeight="1" x14ac:dyDescent="0.2">
      <c r="A955" s="38"/>
      <c r="B955" s="36" t="s">
        <v>9</v>
      </c>
      <c r="C955" s="38">
        <v>1</v>
      </c>
      <c r="D955" s="38">
        <v>1</v>
      </c>
      <c r="E955" s="38">
        <v>1.2</v>
      </c>
      <c r="F955" s="38">
        <v>1.8</v>
      </c>
      <c r="G955" s="38"/>
      <c r="H955" s="41">
        <f t="shared" si="28"/>
        <v>2.16</v>
      </c>
      <c r="I955" s="38"/>
      <c r="J955" s="60"/>
      <c r="K955" s="56"/>
    </row>
    <row r="956" spans="1:11" ht="20.05" customHeight="1" x14ac:dyDescent="0.2">
      <c r="A956" s="38"/>
      <c r="B956" s="36" t="s">
        <v>11</v>
      </c>
      <c r="C956" s="38">
        <v>1</v>
      </c>
      <c r="D956" s="38">
        <v>1</v>
      </c>
      <c r="E956" s="38">
        <v>1.8</v>
      </c>
      <c r="F956" s="38">
        <v>1.8</v>
      </c>
      <c r="G956" s="38"/>
      <c r="H956" s="41">
        <f t="shared" si="28"/>
        <v>3.24</v>
      </c>
      <c r="I956" s="38"/>
      <c r="J956" s="60"/>
      <c r="K956" s="56"/>
    </row>
    <row r="957" spans="1:11" ht="20.05" customHeight="1" x14ac:dyDescent="0.2">
      <c r="A957" s="38"/>
      <c r="B957" s="36" t="s">
        <v>16</v>
      </c>
      <c r="C957" s="38">
        <v>1</v>
      </c>
      <c r="D957" s="38">
        <v>1</v>
      </c>
      <c r="E957" s="38">
        <v>1.2</v>
      </c>
      <c r="F957" s="38">
        <v>1.8</v>
      </c>
      <c r="G957" s="38"/>
      <c r="H957" s="41">
        <f t="shared" si="28"/>
        <v>2.16</v>
      </c>
      <c r="I957" s="38"/>
      <c r="J957" s="60"/>
      <c r="K957" s="56"/>
    </row>
    <row r="958" spans="1:11" ht="20.05" customHeight="1" x14ac:dyDescent="0.2">
      <c r="A958" s="38"/>
      <c r="B958" s="36" t="s">
        <v>17</v>
      </c>
      <c r="C958" s="38">
        <v>1</v>
      </c>
      <c r="D958" s="38">
        <v>1</v>
      </c>
      <c r="E958" s="38">
        <v>0.9</v>
      </c>
      <c r="F958" s="38">
        <v>1.8</v>
      </c>
      <c r="G958" s="38"/>
      <c r="H958" s="41">
        <f t="shared" si="28"/>
        <v>1.62</v>
      </c>
      <c r="I958" s="38"/>
      <c r="J958" s="60"/>
      <c r="K958" s="56"/>
    </row>
    <row r="959" spans="1:11" ht="20.05" customHeight="1" x14ac:dyDescent="0.2">
      <c r="A959" s="38"/>
      <c r="B959" s="36" t="s">
        <v>18</v>
      </c>
      <c r="C959" s="38">
        <v>1</v>
      </c>
      <c r="D959" s="38">
        <v>1</v>
      </c>
      <c r="E959" s="38">
        <v>1.2</v>
      </c>
      <c r="F959" s="38">
        <v>1.8</v>
      </c>
      <c r="G959" s="38"/>
      <c r="H959" s="41">
        <f t="shared" si="28"/>
        <v>2.16</v>
      </c>
      <c r="I959" s="38"/>
      <c r="J959" s="60"/>
      <c r="K959" s="56"/>
    </row>
    <row r="960" spans="1:11" ht="20.05" customHeight="1" x14ac:dyDescent="0.2">
      <c r="A960" s="38"/>
      <c r="B960" s="36" t="s">
        <v>106</v>
      </c>
      <c r="C960" s="38">
        <v>1</v>
      </c>
      <c r="D960" s="38">
        <v>1</v>
      </c>
      <c r="E960" s="38">
        <v>1.2</v>
      </c>
      <c r="F960" s="38">
        <v>1.8</v>
      </c>
      <c r="G960" s="38"/>
      <c r="H960" s="41">
        <f t="shared" si="28"/>
        <v>2.16</v>
      </c>
      <c r="I960" s="38"/>
      <c r="J960" s="60"/>
      <c r="K960" s="56"/>
    </row>
    <row r="961" spans="1:11" ht="20.05" customHeight="1" x14ac:dyDescent="0.2">
      <c r="A961" s="38"/>
      <c r="B961" s="36" t="s">
        <v>19</v>
      </c>
      <c r="C961" s="38">
        <v>1</v>
      </c>
      <c r="D961" s="38">
        <v>2</v>
      </c>
      <c r="E961" s="38">
        <v>1.8</v>
      </c>
      <c r="F961" s="38">
        <v>1.8</v>
      </c>
      <c r="G961" s="38"/>
      <c r="H961" s="41">
        <f t="shared" si="28"/>
        <v>6.48</v>
      </c>
      <c r="I961" s="38"/>
      <c r="J961" s="60"/>
      <c r="K961" s="56"/>
    </row>
    <row r="962" spans="1:11" ht="20.05" customHeight="1" x14ac:dyDescent="0.2">
      <c r="A962" s="38"/>
      <c r="B962" s="36" t="s">
        <v>117</v>
      </c>
      <c r="C962" s="38">
        <v>1</v>
      </c>
      <c r="D962" s="38">
        <v>1</v>
      </c>
      <c r="E962" s="38">
        <v>1.2</v>
      </c>
      <c r="F962" s="38">
        <v>1.8</v>
      </c>
      <c r="G962" s="38"/>
      <c r="H962" s="41">
        <f t="shared" si="28"/>
        <v>2.16</v>
      </c>
      <c r="I962" s="38"/>
      <c r="J962" s="60"/>
      <c r="K962" s="56"/>
    </row>
    <row r="963" spans="1:11" ht="20.05" customHeight="1" x14ac:dyDescent="0.2">
      <c r="A963" s="38"/>
      <c r="B963" s="36" t="s">
        <v>111</v>
      </c>
      <c r="C963" s="38">
        <v>1</v>
      </c>
      <c r="D963" s="38">
        <v>1</v>
      </c>
      <c r="E963" s="38">
        <v>1.2</v>
      </c>
      <c r="F963" s="38">
        <v>1.8</v>
      </c>
      <c r="G963" s="38"/>
      <c r="H963" s="41">
        <f t="shared" si="28"/>
        <v>2.16</v>
      </c>
      <c r="I963" s="38"/>
      <c r="J963" s="60"/>
      <c r="K963" s="56"/>
    </row>
    <row r="964" spans="1:11" ht="20.05" customHeight="1" x14ac:dyDescent="0.2">
      <c r="A964" s="38"/>
      <c r="B964" s="36" t="s">
        <v>22</v>
      </c>
      <c r="C964" s="38">
        <v>1</v>
      </c>
      <c r="D964" s="38">
        <v>1</v>
      </c>
      <c r="E964" s="38">
        <v>1.2</v>
      </c>
      <c r="F964" s="38">
        <v>1.8</v>
      </c>
      <c r="G964" s="38"/>
      <c r="H964" s="41">
        <f t="shared" si="28"/>
        <v>2.16</v>
      </c>
      <c r="I964" s="38"/>
      <c r="J964" s="60"/>
      <c r="K964" s="56"/>
    </row>
    <row r="965" spans="1:11" ht="20.05" customHeight="1" x14ac:dyDescent="0.2">
      <c r="A965" s="38"/>
      <c r="B965" s="36" t="s">
        <v>23</v>
      </c>
      <c r="C965" s="38">
        <v>1</v>
      </c>
      <c r="D965" s="38">
        <v>1</v>
      </c>
      <c r="E965" s="38">
        <v>1.8</v>
      </c>
      <c r="F965" s="38">
        <v>1.8</v>
      </c>
      <c r="G965" s="38"/>
      <c r="H965" s="41">
        <f t="shared" si="28"/>
        <v>3.24</v>
      </c>
      <c r="I965" s="38"/>
      <c r="J965" s="60"/>
      <c r="K965" s="56"/>
    </row>
    <row r="966" spans="1:11" ht="20.05" customHeight="1" x14ac:dyDescent="0.2">
      <c r="A966" s="38"/>
      <c r="B966" s="36" t="s">
        <v>24</v>
      </c>
      <c r="C966" s="38">
        <v>1</v>
      </c>
      <c r="D966" s="38">
        <v>1</v>
      </c>
      <c r="E966" s="38">
        <v>1.5</v>
      </c>
      <c r="F966" s="38">
        <v>1.8</v>
      </c>
      <c r="G966" s="38"/>
      <c r="H966" s="41">
        <f t="shared" si="28"/>
        <v>2.7</v>
      </c>
      <c r="I966" s="38"/>
      <c r="J966" s="60"/>
      <c r="K966" s="56"/>
    </row>
    <row r="967" spans="1:11" ht="20.05" customHeight="1" x14ac:dyDescent="0.2">
      <c r="A967" s="38"/>
      <c r="B967" s="36" t="s">
        <v>45</v>
      </c>
      <c r="C967" s="38">
        <v>1</v>
      </c>
      <c r="D967" s="38">
        <v>1</v>
      </c>
      <c r="E967" s="38">
        <v>1.8</v>
      </c>
      <c r="F967" s="38">
        <v>1.8</v>
      </c>
      <c r="G967" s="38"/>
      <c r="H967" s="41">
        <f t="shared" si="28"/>
        <v>3.24</v>
      </c>
      <c r="I967" s="38"/>
      <c r="J967" s="60"/>
      <c r="K967" s="56"/>
    </row>
    <row r="968" spans="1:11" ht="20.05" customHeight="1" x14ac:dyDescent="0.2">
      <c r="A968" s="38"/>
      <c r="B968" s="36" t="s">
        <v>27</v>
      </c>
      <c r="C968" s="38">
        <v>1</v>
      </c>
      <c r="D968" s="38">
        <v>1</v>
      </c>
      <c r="E968" s="38">
        <v>1.8</v>
      </c>
      <c r="F968" s="38">
        <v>1.8</v>
      </c>
      <c r="G968" s="38"/>
      <c r="H968" s="41">
        <f t="shared" si="28"/>
        <v>3.24</v>
      </c>
      <c r="I968" s="38"/>
      <c r="J968" s="60"/>
      <c r="K968" s="56"/>
    </row>
    <row r="969" spans="1:11" ht="20.05" customHeight="1" x14ac:dyDescent="0.2">
      <c r="A969" s="38"/>
      <c r="B969" s="36" t="s">
        <v>28</v>
      </c>
      <c r="C969" s="38">
        <v>1</v>
      </c>
      <c r="D969" s="38">
        <v>1</v>
      </c>
      <c r="E969" s="38">
        <v>1.5</v>
      </c>
      <c r="F969" s="38">
        <v>1.8</v>
      </c>
      <c r="G969" s="38"/>
      <c r="H969" s="41">
        <f t="shared" si="28"/>
        <v>2.7</v>
      </c>
      <c r="I969" s="38"/>
      <c r="J969" s="60"/>
      <c r="K969" s="56"/>
    </row>
    <row r="970" spans="1:11" ht="20.05" customHeight="1" x14ac:dyDescent="0.2">
      <c r="A970" s="38"/>
      <c r="B970" s="36" t="s">
        <v>30</v>
      </c>
      <c r="C970" s="38">
        <v>1</v>
      </c>
      <c r="D970" s="38">
        <v>1</v>
      </c>
      <c r="E970" s="38">
        <v>1.8</v>
      </c>
      <c r="F970" s="38">
        <v>1.8</v>
      </c>
      <c r="G970" s="38"/>
      <c r="H970" s="41">
        <f t="shared" si="28"/>
        <v>3.24</v>
      </c>
      <c r="I970" s="38"/>
      <c r="J970" s="60"/>
      <c r="K970" s="56"/>
    </row>
    <row r="971" spans="1:11" ht="20.05" customHeight="1" x14ac:dyDescent="0.2">
      <c r="A971" s="38"/>
      <c r="B971" s="36" t="s">
        <v>31</v>
      </c>
      <c r="C971" s="38">
        <v>1</v>
      </c>
      <c r="D971" s="38">
        <v>3</v>
      </c>
      <c r="E971" s="38">
        <v>1.8</v>
      </c>
      <c r="F971" s="38">
        <v>1.8</v>
      </c>
      <c r="G971" s="38"/>
      <c r="H971" s="41">
        <f t="shared" si="28"/>
        <v>9.7200000000000006</v>
      </c>
      <c r="I971" s="38"/>
      <c r="J971" s="60"/>
      <c r="K971" s="56"/>
    </row>
    <row r="972" spans="1:11" ht="20.05" customHeight="1" x14ac:dyDescent="0.2">
      <c r="A972" s="38"/>
      <c r="B972" s="36" t="s">
        <v>34</v>
      </c>
      <c r="C972" s="38">
        <v>1</v>
      </c>
      <c r="D972" s="38">
        <v>1</v>
      </c>
      <c r="E972" s="38">
        <v>1.5</v>
      </c>
      <c r="F972" s="38">
        <v>1.8</v>
      </c>
      <c r="G972" s="38"/>
      <c r="H972" s="41">
        <f t="shared" si="28"/>
        <v>2.7</v>
      </c>
      <c r="I972" s="38"/>
      <c r="J972" s="60"/>
      <c r="K972" s="56"/>
    </row>
    <row r="973" spans="1:11" ht="20.05" customHeight="1" x14ac:dyDescent="0.2">
      <c r="A973" s="38"/>
      <c r="B973" s="36" t="s">
        <v>35</v>
      </c>
      <c r="C973" s="38">
        <v>1</v>
      </c>
      <c r="D973" s="38">
        <v>1</v>
      </c>
      <c r="E973" s="38">
        <v>1.5</v>
      </c>
      <c r="F973" s="38">
        <v>1.8</v>
      </c>
      <c r="G973" s="38"/>
      <c r="H973" s="41">
        <f t="shared" si="28"/>
        <v>2.7</v>
      </c>
      <c r="I973" s="38"/>
      <c r="J973" s="60"/>
      <c r="K973" s="56"/>
    </row>
    <row r="974" spans="1:11" ht="20.05" customHeight="1" x14ac:dyDescent="0.2">
      <c r="A974" s="38"/>
      <c r="B974" s="36" t="s">
        <v>36</v>
      </c>
      <c r="C974" s="38">
        <v>1</v>
      </c>
      <c r="D974" s="38">
        <v>5</v>
      </c>
      <c r="E974" s="38">
        <v>1.8</v>
      </c>
      <c r="F974" s="38">
        <v>1.8</v>
      </c>
      <c r="G974" s="38"/>
      <c r="H974" s="41">
        <f t="shared" si="28"/>
        <v>16.2</v>
      </c>
      <c r="I974" s="38"/>
      <c r="J974" s="60"/>
      <c r="K974" s="56"/>
    </row>
    <row r="975" spans="1:11" ht="20.05" customHeight="1" x14ac:dyDescent="0.2">
      <c r="A975" s="38"/>
      <c r="B975" s="36" t="s">
        <v>37</v>
      </c>
      <c r="C975" s="38">
        <v>1</v>
      </c>
      <c r="D975" s="38">
        <v>1</v>
      </c>
      <c r="E975" s="38">
        <v>1.8</v>
      </c>
      <c r="F975" s="38">
        <v>1.8</v>
      </c>
      <c r="G975" s="38"/>
      <c r="H975" s="41">
        <f t="shared" si="28"/>
        <v>3.24</v>
      </c>
      <c r="I975" s="38"/>
      <c r="J975" s="60"/>
      <c r="K975" s="56"/>
    </row>
    <row r="976" spans="1:11" ht="20.05" customHeight="1" x14ac:dyDescent="0.2">
      <c r="A976" s="38"/>
      <c r="B976" s="36" t="s">
        <v>38</v>
      </c>
      <c r="C976" s="38">
        <v>1</v>
      </c>
      <c r="D976" s="38">
        <v>1</v>
      </c>
      <c r="E976" s="38">
        <v>1.5</v>
      </c>
      <c r="F976" s="38">
        <v>1.8</v>
      </c>
      <c r="G976" s="38"/>
      <c r="H976" s="41">
        <f t="shared" si="28"/>
        <v>2.7</v>
      </c>
      <c r="I976" s="38"/>
      <c r="J976" s="60"/>
      <c r="K976" s="56"/>
    </row>
    <row r="977" spans="1:11" ht="20.05" customHeight="1" x14ac:dyDescent="0.2">
      <c r="A977" s="38"/>
      <c r="B977" s="36" t="s">
        <v>40</v>
      </c>
      <c r="C977" s="38">
        <v>1</v>
      </c>
      <c r="D977" s="38">
        <v>2</v>
      </c>
      <c r="E977" s="38">
        <v>1.8</v>
      </c>
      <c r="F977" s="38">
        <v>1.8</v>
      </c>
      <c r="G977" s="38"/>
      <c r="H977" s="41">
        <f t="shared" si="28"/>
        <v>6.48</v>
      </c>
      <c r="I977" s="38"/>
      <c r="J977" s="60"/>
      <c r="K977" s="56"/>
    </row>
    <row r="978" spans="1:11" ht="20.05" customHeight="1" x14ac:dyDescent="0.2">
      <c r="A978" s="38"/>
      <c r="B978" s="36" t="s">
        <v>41</v>
      </c>
      <c r="C978" s="38">
        <v>1</v>
      </c>
      <c r="D978" s="38">
        <v>1</v>
      </c>
      <c r="E978" s="38">
        <v>1.8</v>
      </c>
      <c r="F978" s="38">
        <v>1.8</v>
      </c>
      <c r="G978" s="38"/>
      <c r="H978" s="41">
        <f t="shared" si="28"/>
        <v>3.24</v>
      </c>
      <c r="I978" s="38"/>
      <c r="J978" s="60"/>
      <c r="K978" s="56"/>
    </row>
    <row r="979" spans="1:11" ht="20.05" customHeight="1" x14ac:dyDescent="0.2">
      <c r="A979" s="38"/>
      <c r="B979" s="51" t="s">
        <v>196</v>
      </c>
      <c r="C979" s="38"/>
      <c r="D979" s="38"/>
      <c r="E979" s="38"/>
      <c r="F979" s="38"/>
      <c r="G979" s="38"/>
      <c r="H979" s="41"/>
      <c r="I979" s="38"/>
      <c r="J979" s="60"/>
      <c r="K979" s="56"/>
    </row>
    <row r="980" spans="1:11" ht="20.05" customHeight="1" x14ac:dyDescent="0.2">
      <c r="A980" s="38"/>
      <c r="B980" s="36" t="s">
        <v>5</v>
      </c>
      <c r="C980" s="38">
        <v>1</v>
      </c>
      <c r="D980" s="38">
        <v>1</v>
      </c>
      <c r="E980" s="38">
        <v>0.5</v>
      </c>
      <c r="F980" s="38">
        <v>0.5</v>
      </c>
      <c r="G980" s="38"/>
      <c r="H980" s="41">
        <f t="shared" si="28"/>
        <v>0.25</v>
      </c>
      <c r="I980" s="38"/>
      <c r="J980" s="60"/>
      <c r="K980" s="56"/>
    </row>
    <row r="981" spans="1:11" ht="20.05" customHeight="1" x14ac:dyDescent="0.2">
      <c r="A981" s="38"/>
      <c r="B981" s="36" t="s">
        <v>44</v>
      </c>
      <c r="C981" s="38">
        <v>1</v>
      </c>
      <c r="D981" s="38">
        <v>1</v>
      </c>
      <c r="E981" s="38">
        <v>0.5</v>
      </c>
      <c r="F981" s="38">
        <v>0.5</v>
      </c>
      <c r="G981" s="38"/>
      <c r="H981" s="41">
        <f t="shared" si="28"/>
        <v>0.25</v>
      </c>
      <c r="I981" s="38"/>
      <c r="J981" s="60"/>
      <c r="K981" s="56"/>
    </row>
    <row r="982" spans="1:11" ht="20.05" customHeight="1" x14ac:dyDescent="0.2">
      <c r="A982" s="38"/>
      <c r="B982" s="36" t="s">
        <v>25</v>
      </c>
      <c r="C982" s="38">
        <v>1</v>
      </c>
      <c r="D982" s="38">
        <v>1</v>
      </c>
      <c r="E982" s="38">
        <v>0.5</v>
      </c>
      <c r="F982" s="38">
        <v>0.5</v>
      </c>
      <c r="G982" s="38"/>
      <c r="H982" s="41">
        <f t="shared" si="28"/>
        <v>0.25</v>
      </c>
      <c r="I982" s="38"/>
      <c r="J982" s="60"/>
      <c r="K982" s="56"/>
    </row>
    <row r="983" spans="1:11" ht="20.05" customHeight="1" x14ac:dyDescent="0.2">
      <c r="A983" s="38"/>
      <c r="B983" s="36" t="s">
        <v>6</v>
      </c>
      <c r="C983" s="38">
        <v>1</v>
      </c>
      <c r="D983" s="38">
        <v>1</v>
      </c>
      <c r="E983" s="38">
        <v>0.5</v>
      </c>
      <c r="F983" s="38">
        <v>0.5</v>
      </c>
      <c r="G983" s="38"/>
      <c r="H983" s="41">
        <f t="shared" si="28"/>
        <v>0.25</v>
      </c>
      <c r="I983" s="38"/>
      <c r="J983" s="60"/>
      <c r="K983" s="56"/>
    </row>
    <row r="984" spans="1:11" ht="20.05" customHeight="1" x14ac:dyDescent="0.2">
      <c r="A984" s="38"/>
      <c r="B984" s="36" t="s">
        <v>19</v>
      </c>
      <c r="C984" s="38">
        <v>1</v>
      </c>
      <c r="D984" s="38">
        <v>1</v>
      </c>
      <c r="E984" s="38">
        <v>0.5</v>
      </c>
      <c r="F984" s="38">
        <v>0.5</v>
      </c>
      <c r="G984" s="38"/>
      <c r="H984" s="41">
        <f t="shared" si="28"/>
        <v>0.25</v>
      </c>
      <c r="I984" s="38"/>
      <c r="J984" s="60"/>
      <c r="K984" s="56"/>
    </row>
    <row r="985" spans="1:11" ht="20.05" customHeight="1" x14ac:dyDescent="0.2">
      <c r="A985" s="38"/>
      <c r="B985" s="36" t="s">
        <v>117</v>
      </c>
      <c r="C985" s="38">
        <v>1</v>
      </c>
      <c r="D985" s="38">
        <v>1</v>
      </c>
      <c r="E985" s="38">
        <v>0.5</v>
      </c>
      <c r="F985" s="38">
        <v>0.5</v>
      </c>
      <c r="G985" s="38"/>
      <c r="H985" s="41">
        <f t="shared" si="28"/>
        <v>0.25</v>
      </c>
      <c r="I985" s="38"/>
      <c r="J985" s="60"/>
      <c r="K985" s="56"/>
    </row>
    <row r="986" spans="1:11" ht="20.05" customHeight="1" x14ac:dyDescent="0.2">
      <c r="A986" s="38"/>
      <c r="B986" s="36" t="s">
        <v>111</v>
      </c>
      <c r="C986" s="38">
        <v>1</v>
      </c>
      <c r="D986" s="38">
        <v>1</v>
      </c>
      <c r="E986" s="38">
        <v>0.5</v>
      </c>
      <c r="F986" s="38">
        <v>0.5</v>
      </c>
      <c r="G986" s="38"/>
      <c r="H986" s="41">
        <f t="shared" si="28"/>
        <v>0.25</v>
      </c>
      <c r="I986" s="38"/>
      <c r="J986" s="60"/>
      <c r="K986" s="56"/>
    </row>
    <row r="987" spans="1:11" ht="20.05" customHeight="1" x14ac:dyDescent="0.2">
      <c r="A987" s="38"/>
      <c r="B987" s="36" t="s">
        <v>22</v>
      </c>
      <c r="C987" s="38">
        <v>1</v>
      </c>
      <c r="D987" s="38">
        <v>1</v>
      </c>
      <c r="E987" s="38">
        <v>0.5</v>
      </c>
      <c r="F987" s="38">
        <v>0.5</v>
      </c>
      <c r="G987" s="38"/>
      <c r="H987" s="41">
        <f t="shared" si="28"/>
        <v>0.25</v>
      </c>
      <c r="I987" s="38"/>
      <c r="J987" s="60"/>
      <c r="K987" s="56"/>
    </row>
    <row r="988" spans="1:11" ht="20.05" customHeight="1" x14ac:dyDescent="0.2">
      <c r="A988" s="38"/>
      <c r="B988" s="36" t="s">
        <v>26</v>
      </c>
      <c r="C988" s="38">
        <v>1</v>
      </c>
      <c r="D988" s="38">
        <v>1</v>
      </c>
      <c r="E988" s="38">
        <v>0.5</v>
      </c>
      <c r="F988" s="38">
        <v>0.5</v>
      </c>
      <c r="G988" s="38"/>
      <c r="H988" s="41">
        <f t="shared" si="28"/>
        <v>0.25</v>
      </c>
      <c r="I988" s="38"/>
      <c r="J988" s="60"/>
      <c r="K988" s="56"/>
    </row>
    <row r="989" spans="1:11" ht="20.05" customHeight="1" x14ac:dyDescent="0.2">
      <c r="A989" s="38"/>
      <c r="B989" s="36" t="s">
        <v>23</v>
      </c>
      <c r="C989" s="38">
        <v>1</v>
      </c>
      <c r="D989" s="38">
        <v>1</v>
      </c>
      <c r="E989" s="38">
        <v>0.5</v>
      </c>
      <c r="F989" s="38">
        <v>0.5</v>
      </c>
      <c r="G989" s="38"/>
      <c r="H989" s="41">
        <f t="shared" si="28"/>
        <v>0.25</v>
      </c>
      <c r="I989" s="38"/>
      <c r="J989" s="60"/>
      <c r="K989" s="56"/>
    </row>
    <row r="990" spans="1:11" ht="20.05" customHeight="1" x14ac:dyDescent="0.2">
      <c r="A990" s="38"/>
      <c r="B990" s="36" t="s">
        <v>24</v>
      </c>
      <c r="C990" s="38">
        <v>1</v>
      </c>
      <c r="D990" s="38">
        <v>1</v>
      </c>
      <c r="E990" s="38">
        <v>0.5</v>
      </c>
      <c r="F990" s="38">
        <v>0.5</v>
      </c>
      <c r="G990" s="38"/>
      <c r="H990" s="41">
        <f t="shared" si="28"/>
        <v>0.25</v>
      </c>
      <c r="I990" s="38"/>
      <c r="J990" s="60"/>
      <c r="K990" s="56"/>
    </row>
    <row r="991" spans="1:11" ht="20.05" customHeight="1" x14ac:dyDescent="0.2">
      <c r="A991" s="38"/>
      <c r="B991" s="36" t="s">
        <v>45</v>
      </c>
      <c r="C991" s="38">
        <v>1</v>
      </c>
      <c r="D991" s="38">
        <v>1</v>
      </c>
      <c r="E991" s="38">
        <v>0.5</v>
      </c>
      <c r="F991" s="38">
        <v>0.5</v>
      </c>
      <c r="G991" s="38"/>
      <c r="H991" s="41">
        <f t="shared" si="28"/>
        <v>0.25</v>
      </c>
      <c r="I991" s="38"/>
      <c r="J991" s="60"/>
      <c r="K991" s="56"/>
    </row>
    <row r="992" spans="1:11" ht="20.05" customHeight="1" x14ac:dyDescent="0.2">
      <c r="A992" s="38"/>
      <c r="B992" s="36" t="s">
        <v>27</v>
      </c>
      <c r="C992" s="38">
        <v>1</v>
      </c>
      <c r="D992" s="38">
        <v>1</v>
      </c>
      <c r="E992" s="38">
        <v>0.5</v>
      </c>
      <c r="F992" s="38">
        <v>0.5</v>
      </c>
      <c r="G992" s="38"/>
      <c r="H992" s="41">
        <f t="shared" si="28"/>
        <v>0.25</v>
      </c>
      <c r="I992" s="38"/>
      <c r="J992" s="60"/>
      <c r="K992" s="56"/>
    </row>
    <row r="993" spans="1:11" ht="20.05" customHeight="1" x14ac:dyDescent="0.2">
      <c r="A993" s="38"/>
      <c r="B993" s="36" t="s">
        <v>28</v>
      </c>
      <c r="C993" s="38">
        <v>1</v>
      </c>
      <c r="D993" s="38">
        <v>1</v>
      </c>
      <c r="E993" s="38">
        <v>0.5</v>
      </c>
      <c r="F993" s="38">
        <v>0.5</v>
      </c>
      <c r="G993" s="38"/>
      <c r="H993" s="41">
        <f t="shared" si="28"/>
        <v>0.25</v>
      </c>
      <c r="I993" s="38"/>
      <c r="J993" s="60"/>
      <c r="K993" s="56"/>
    </row>
    <row r="994" spans="1:11" ht="20.05" customHeight="1" x14ac:dyDescent="0.2">
      <c r="A994" s="38"/>
      <c r="B994" s="36" t="s">
        <v>31</v>
      </c>
      <c r="C994" s="38">
        <v>1</v>
      </c>
      <c r="D994" s="38">
        <v>1</v>
      </c>
      <c r="E994" s="38">
        <v>0.5</v>
      </c>
      <c r="F994" s="38">
        <v>0.5</v>
      </c>
      <c r="G994" s="38"/>
      <c r="H994" s="41">
        <f t="shared" si="28"/>
        <v>0.25</v>
      </c>
      <c r="I994" s="38"/>
      <c r="J994" s="60"/>
      <c r="K994" s="56"/>
    </row>
    <row r="995" spans="1:11" ht="20.05" customHeight="1" x14ac:dyDescent="0.2">
      <c r="A995" s="38"/>
      <c r="B995" s="36" t="s">
        <v>34</v>
      </c>
      <c r="C995" s="38">
        <v>1</v>
      </c>
      <c r="D995" s="38">
        <v>1</v>
      </c>
      <c r="E995" s="38">
        <v>0.5</v>
      </c>
      <c r="F995" s="38">
        <v>0.5</v>
      </c>
      <c r="G995" s="38"/>
      <c r="H995" s="41">
        <f t="shared" si="28"/>
        <v>0.25</v>
      </c>
      <c r="I995" s="38"/>
      <c r="J995" s="60"/>
      <c r="K995" s="56"/>
    </row>
    <row r="996" spans="1:11" ht="20.05" customHeight="1" x14ac:dyDescent="0.2">
      <c r="A996" s="38"/>
      <c r="B996" s="36" t="s">
        <v>32</v>
      </c>
      <c r="C996" s="38">
        <v>1</v>
      </c>
      <c r="D996" s="38">
        <v>1</v>
      </c>
      <c r="E996" s="38">
        <v>0.5</v>
      </c>
      <c r="F996" s="38">
        <v>0.5</v>
      </c>
      <c r="G996" s="38"/>
      <c r="H996" s="41">
        <f t="shared" si="28"/>
        <v>0.25</v>
      </c>
      <c r="I996" s="38"/>
      <c r="J996" s="60"/>
      <c r="K996" s="56"/>
    </row>
    <row r="997" spans="1:11" ht="20.05" customHeight="1" x14ac:dyDescent="0.2">
      <c r="A997" s="38"/>
      <c r="B997" s="36" t="s">
        <v>33</v>
      </c>
      <c r="C997" s="38">
        <v>1</v>
      </c>
      <c r="D997" s="38">
        <v>1</v>
      </c>
      <c r="E997" s="38">
        <v>0.5</v>
      </c>
      <c r="F997" s="38">
        <v>0.5</v>
      </c>
      <c r="G997" s="38"/>
      <c r="H997" s="41">
        <f t="shared" si="28"/>
        <v>0.25</v>
      </c>
      <c r="I997" s="38"/>
      <c r="J997" s="60"/>
      <c r="K997" s="56"/>
    </row>
    <row r="998" spans="1:11" ht="20.05" customHeight="1" x14ac:dyDescent="0.2">
      <c r="A998" s="38"/>
      <c r="B998" s="36" t="s">
        <v>35</v>
      </c>
      <c r="C998" s="38">
        <v>1</v>
      </c>
      <c r="D998" s="38">
        <v>1</v>
      </c>
      <c r="E998" s="38">
        <v>0.5</v>
      </c>
      <c r="F998" s="38">
        <v>0.5</v>
      </c>
      <c r="G998" s="38"/>
      <c r="H998" s="41">
        <f t="shared" si="28"/>
        <v>0.25</v>
      </c>
      <c r="I998" s="38"/>
      <c r="J998" s="60"/>
      <c r="K998" s="56"/>
    </row>
    <row r="999" spans="1:11" ht="20.05" customHeight="1" x14ac:dyDescent="0.2">
      <c r="A999" s="38"/>
      <c r="B999" s="36" t="s">
        <v>38</v>
      </c>
      <c r="C999" s="38">
        <v>1</v>
      </c>
      <c r="D999" s="38">
        <v>6</v>
      </c>
      <c r="E999" s="38">
        <v>0.5</v>
      </c>
      <c r="F999" s="38">
        <v>0.5</v>
      </c>
      <c r="G999" s="38"/>
      <c r="H999" s="41">
        <f t="shared" si="28"/>
        <v>1.5</v>
      </c>
      <c r="I999" s="38"/>
      <c r="J999" s="60"/>
      <c r="K999" s="56"/>
    </row>
    <row r="1000" spans="1:11" ht="20.05" customHeight="1" x14ac:dyDescent="0.2">
      <c r="A1000" s="38"/>
      <c r="B1000" s="36"/>
      <c r="C1000" s="38"/>
      <c r="D1000" s="38"/>
      <c r="E1000" s="38"/>
      <c r="F1000" s="38"/>
      <c r="G1000" s="38"/>
      <c r="H1000" s="42">
        <f>SUM(H949:H999)</f>
        <v>129.37</v>
      </c>
      <c r="I1000" s="38" t="s">
        <v>154</v>
      </c>
      <c r="J1000" s="60">
        <f>'C-Datas'!I410</f>
        <v>395</v>
      </c>
      <c r="K1000" s="56">
        <f>ROUND(H1000*J1000,0)</f>
        <v>51101</v>
      </c>
    </row>
    <row r="1001" spans="1:11" ht="60.45" customHeight="1" x14ac:dyDescent="0.2">
      <c r="A1001" s="38">
        <v>23</v>
      </c>
      <c r="B1001" s="122" t="s">
        <v>198</v>
      </c>
      <c r="C1001" s="123"/>
      <c r="D1001" s="123"/>
      <c r="E1001" s="123"/>
      <c r="F1001" s="123"/>
      <c r="G1001" s="124"/>
      <c r="H1001" s="38"/>
      <c r="I1001" s="38"/>
      <c r="J1001" s="60"/>
      <c r="K1001" s="56"/>
    </row>
    <row r="1002" spans="1:11" ht="20.05" customHeight="1" x14ac:dyDescent="0.2">
      <c r="A1002" s="38"/>
      <c r="B1002" s="36" t="s">
        <v>5</v>
      </c>
      <c r="C1002" s="38">
        <v>1</v>
      </c>
      <c r="D1002" s="38">
        <v>1</v>
      </c>
      <c r="E1002" s="38">
        <v>4.13</v>
      </c>
      <c r="F1002" s="38">
        <v>7.61</v>
      </c>
      <c r="G1002" s="38"/>
      <c r="H1002" s="41">
        <f t="shared" ref="H1002:H1047" si="29">PRODUCT(C1002:F1002)</f>
        <v>31.429300000000001</v>
      </c>
      <c r="I1002" s="38"/>
      <c r="J1002" s="60"/>
      <c r="K1002" s="56"/>
    </row>
    <row r="1003" spans="1:11" ht="20.05" customHeight="1" x14ac:dyDescent="0.2">
      <c r="A1003" s="38"/>
      <c r="B1003" s="36" t="s">
        <v>44</v>
      </c>
      <c r="C1003" s="38">
        <v>1</v>
      </c>
      <c r="D1003" s="38">
        <v>1</v>
      </c>
      <c r="E1003" s="38">
        <v>6.4</v>
      </c>
      <c r="F1003" s="38">
        <v>6</v>
      </c>
      <c r="G1003" s="38"/>
      <c r="H1003" s="41">
        <f t="shared" si="29"/>
        <v>38.400000000000006</v>
      </c>
      <c r="I1003" s="38"/>
      <c r="J1003" s="60"/>
      <c r="K1003" s="56"/>
    </row>
    <row r="1004" spans="1:11" ht="20.05" customHeight="1" x14ac:dyDescent="0.2">
      <c r="A1004" s="38"/>
      <c r="B1004" s="36" t="s">
        <v>25</v>
      </c>
      <c r="C1004" s="38">
        <v>1</v>
      </c>
      <c r="D1004" s="38">
        <v>1</v>
      </c>
      <c r="E1004" s="38">
        <v>2.4</v>
      </c>
      <c r="F1004" s="38">
        <v>3.72</v>
      </c>
      <c r="G1004" s="38"/>
      <c r="H1004" s="41">
        <f t="shared" si="29"/>
        <v>8.9280000000000008</v>
      </c>
      <c r="I1004" s="38"/>
      <c r="J1004" s="60"/>
      <c r="K1004" s="56"/>
    </row>
    <row r="1005" spans="1:11" ht="20.05" customHeight="1" x14ac:dyDescent="0.2">
      <c r="A1005" s="38"/>
      <c r="B1005" s="36" t="s">
        <v>112</v>
      </c>
      <c r="C1005" s="38">
        <v>1</v>
      </c>
      <c r="D1005" s="38">
        <v>1</v>
      </c>
      <c r="E1005" s="38">
        <v>2.4</v>
      </c>
      <c r="F1005" s="38">
        <v>2.4</v>
      </c>
      <c r="G1005" s="38"/>
      <c r="H1005" s="41">
        <f t="shared" si="29"/>
        <v>5.76</v>
      </c>
      <c r="I1005" s="38"/>
      <c r="J1005" s="60"/>
      <c r="K1005" s="56"/>
    </row>
    <row r="1006" spans="1:11" ht="20.05" customHeight="1" x14ac:dyDescent="0.2">
      <c r="A1006" s="38"/>
      <c r="B1006" s="36" t="s">
        <v>6</v>
      </c>
      <c r="C1006" s="38">
        <v>1</v>
      </c>
      <c r="D1006" s="38">
        <v>1</v>
      </c>
      <c r="E1006" s="38">
        <v>3.09</v>
      </c>
      <c r="F1006" s="38">
        <v>7.61</v>
      </c>
      <c r="G1006" s="38"/>
      <c r="H1006" s="41">
        <f t="shared" si="29"/>
        <v>23.514900000000001</v>
      </c>
      <c r="I1006" s="38"/>
      <c r="J1006" s="60"/>
      <c r="K1006" s="56"/>
    </row>
    <row r="1007" spans="1:11" ht="20.05" customHeight="1" x14ac:dyDescent="0.2">
      <c r="A1007" s="38"/>
      <c r="B1007" s="36" t="s">
        <v>7</v>
      </c>
      <c r="C1007" s="38">
        <v>1</v>
      </c>
      <c r="D1007" s="38">
        <v>1</v>
      </c>
      <c r="E1007" s="38">
        <v>8.65</v>
      </c>
      <c r="F1007" s="38">
        <v>7.61</v>
      </c>
      <c r="G1007" s="38"/>
      <c r="H1007" s="41">
        <f t="shared" si="29"/>
        <v>65.82650000000001</v>
      </c>
      <c r="I1007" s="38"/>
      <c r="J1007" s="60"/>
      <c r="K1007" s="56"/>
    </row>
    <row r="1008" spans="1:11" ht="20.05" customHeight="1" x14ac:dyDescent="0.2">
      <c r="A1008" s="38"/>
      <c r="B1008" s="36" t="s">
        <v>118</v>
      </c>
      <c r="C1008" s="38">
        <v>1</v>
      </c>
      <c r="D1008" s="38">
        <v>1</v>
      </c>
      <c r="E1008" s="38">
        <v>1.5</v>
      </c>
      <c r="F1008" s="38">
        <v>1.8</v>
      </c>
      <c r="G1008" s="38"/>
      <c r="H1008" s="41">
        <f t="shared" si="29"/>
        <v>2.7</v>
      </c>
      <c r="I1008" s="38"/>
      <c r="J1008" s="60"/>
      <c r="K1008" s="56"/>
    </row>
    <row r="1009" spans="1:11" ht="20.05" customHeight="1" x14ac:dyDescent="0.2">
      <c r="A1009" s="38"/>
      <c r="B1009" s="36" t="s">
        <v>8</v>
      </c>
      <c r="C1009" s="38">
        <v>1</v>
      </c>
      <c r="D1009" s="38">
        <v>1</v>
      </c>
      <c r="E1009" s="38">
        <v>2.88</v>
      </c>
      <c r="F1009" s="38">
        <v>5.52</v>
      </c>
      <c r="G1009" s="38"/>
      <c r="H1009" s="41">
        <f t="shared" si="29"/>
        <v>15.897599999999999</v>
      </c>
      <c r="I1009" s="38"/>
      <c r="J1009" s="60"/>
      <c r="K1009" s="56"/>
    </row>
    <row r="1010" spans="1:11" ht="20.05" customHeight="1" x14ac:dyDescent="0.2">
      <c r="A1010" s="38"/>
      <c r="B1010" s="36" t="s">
        <v>12</v>
      </c>
      <c r="C1010" s="38">
        <v>1</v>
      </c>
      <c r="D1010" s="38">
        <v>1</v>
      </c>
      <c r="E1010" s="38">
        <v>1.2</v>
      </c>
      <c r="F1010" s="38">
        <v>1.5</v>
      </c>
      <c r="G1010" s="38"/>
      <c r="H1010" s="41">
        <f t="shared" si="29"/>
        <v>1.7999999999999998</v>
      </c>
      <c r="I1010" s="38"/>
      <c r="J1010" s="60"/>
      <c r="K1010" s="56"/>
    </row>
    <row r="1011" spans="1:11" ht="20.05" customHeight="1" x14ac:dyDescent="0.2">
      <c r="A1011" s="38"/>
      <c r="B1011" s="36" t="s">
        <v>9</v>
      </c>
      <c r="C1011" s="38">
        <v>1</v>
      </c>
      <c r="D1011" s="38">
        <v>1</v>
      </c>
      <c r="E1011" s="38">
        <v>2.88</v>
      </c>
      <c r="F1011" s="38">
        <v>5.52</v>
      </c>
      <c r="G1011" s="38"/>
      <c r="H1011" s="41">
        <f t="shared" si="29"/>
        <v>15.897599999999999</v>
      </c>
      <c r="I1011" s="38"/>
      <c r="J1011" s="60"/>
      <c r="K1011" s="56"/>
    </row>
    <row r="1012" spans="1:11" ht="20.05" customHeight="1" x14ac:dyDescent="0.2">
      <c r="A1012" s="38"/>
      <c r="B1012" s="36" t="s">
        <v>13</v>
      </c>
      <c r="C1012" s="38">
        <v>1</v>
      </c>
      <c r="D1012" s="38">
        <v>1</v>
      </c>
      <c r="E1012" s="38">
        <v>1.2</v>
      </c>
      <c r="F1012" s="38">
        <v>1.5</v>
      </c>
      <c r="G1012" s="38"/>
      <c r="H1012" s="41">
        <f t="shared" si="29"/>
        <v>1.7999999999999998</v>
      </c>
      <c r="I1012" s="38"/>
      <c r="J1012" s="60"/>
      <c r="K1012" s="56"/>
    </row>
    <row r="1013" spans="1:11" ht="20.05" customHeight="1" x14ac:dyDescent="0.2">
      <c r="A1013" s="38"/>
      <c r="B1013" s="36" t="s">
        <v>10</v>
      </c>
      <c r="C1013" s="38">
        <v>1</v>
      </c>
      <c r="D1013" s="38">
        <v>1</v>
      </c>
      <c r="E1013" s="38">
        <v>5.87</v>
      </c>
      <c r="F1013" s="38">
        <v>4.5999999999999996</v>
      </c>
      <c r="G1013" s="38"/>
      <c r="H1013" s="41">
        <f t="shared" si="29"/>
        <v>27.001999999999999</v>
      </c>
      <c r="I1013" s="38"/>
      <c r="J1013" s="60"/>
      <c r="K1013" s="56"/>
    </row>
    <row r="1014" spans="1:11" ht="20.05" customHeight="1" x14ac:dyDescent="0.2">
      <c r="A1014" s="38"/>
      <c r="B1014" s="36" t="s">
        <v>11</v>
      </c>
      <c r="C1014" s="38">
        <v>1</v>
      </c>
      <c r="D1014" s="38">
        <v>1</v>
      </c>
      <c r="E1014" s="38">
        <v>7.14</v>
      </c>
      <c r="F1014" s="38">
        <v>3.83</v>
      </c>
      <c r="G1014" s="38"/>
      <c r="H1014" s="41">
        <f t="shared" si="29"/>
        <v>27.3462</v>
      </c>
      <c r="I1014" s="38"/>
      <c r="J1014" s="60"/>
      <c r="K1014" s="56"/>
    </row>
    <row r="1015" spans="1:11" ht="20.05" customHeight="1" x14ac:dyDescent="0.2">
      <c r="A1015" s="38"/>
      <c r="B1015" s="36" t="s">
        <v>51</v>
      </c>
      <c r="C1015" s="38">
        <v>1</v>
      </c>
      <c r="D1015" s="38">
        <v>1</v>
      </c>
      <c r="E1015" s="38">
        <v>11.7</v>
      </c>
      <c r="F1015" s="38">
        <v>1.8</v>
      </c>
      <c r="G1015" s="38"/>
      <c r="H1015" s="41">
        <f t="shared" si="29"/>
        <v>21.06</v>
      </c>
      <c r="I1015" s="38"/>
      <c r="J1015" s="60"/>
      <c r="K1015" s="56"/>
    </row>
    <row r="1016" spans="1:11" ht="20.05" customHeight="1" x14ac:dyDescent="0.2">
      <c r="A1016" s="38"/>
      <c r="B1016" s="36" t="s">
        <v>14</v>
      </c>
      <c r="C1016" s="38">
        <v>1</v>
      </c>
      <c r="D1016" s="38">
        <v>1</v>
      </c>
      <c r="E1016" s="38">
        <v>1.2</v>
      </c>
      <c r="F1016" s="38">
        <v>1.8</v>
      </c>
      <c r="G1016" s="38"/>
      <c r="H1016" s="41">
        <f t="shared" si="29"/>
        <v>2.16</v>
      </c>
      <c r="I1016" s="38"/>
      <c r="J1016" s="60"/>
      <c r="K1016" s="56"/>
    </row>
    <row r="1017" spans="1:11" ht="20.05" customHeight="1" x14ac:dyDescent="0.2">
      <c r="A1017" s="38"/>
      <c r="B1017" s="36" t="s">
        <v>15</v>
      </c>
      <c r="C1017" s="38">
        <v>1</v>
      </c>
      <c r="D1017" s="38">
        <v>1</v>
      </c>
      <c r="E1017" s="38">
        <v>1.2</v>
      </c>
      <c r="F1017" s="38">
        <v>1.8</v>
      </c>
      <c r="G1017" s="38"/>
      <c r="H1017" s="41">
        <f t="shared" si="29"/>
        <v>2.16</v>
      </c>
      <c r="I1017" s="38"/>
      <c r="J1017" s="60"/>
      <c r="K1017" s="56"/>
    </row>
    <row r="1018" spans="1:11" ht="20.05" customHeight="1" x14ac:dyDescent="0.2">
      <c r="A1018" s="38"/>
      <c r="B1018" s="36" t="s">
        <v>16</v>
      </c>
      <c r="C1018" s="38">
        <v>1</v>
      </c>
      <c r="D1018" s="38">
        <v>1</v>
      </c>
      <c r="E1018" s="38">
        <v>2.08</v>
      </c>
      <c r="F1018" s="38">
        <v>1.8</v>
      </c>
      <c r="G1018" s="38"/>
      <c r="H1018" s="41">
        <f t="shared" si="29"/>
        <v>3.7440000000000002</v>
      </c>
      <c r="I1018" s="38"/>
      <c r="J1018" s="60"/>
      <c r="K1018" s="56"/>
    </row>
    <row r="1019" spans="1:11" ht="20.05" customHeight="1" x14ac:dyDescent="0.2">
      <c r="A1019" s="38"/>
      <c r="B1019" s="36" t="s">
        <v>17</v>
      </c>
      <c r="C1019" s="38">
        <v>1</v>
      </c>
      <c r="D1019" s="38">
        <v>1</v>
      </c>
      <c r="E1019" s="38">
        <v>1.97</v>
      </c>
      <c r="F1019" s="38">
        <v>1.8</v>
      </c>
      <c r="G1019" s="38"/>
      <c r="H1019" s="41">
        <f t="shared" si="29"/>
        <v>3.5459999999999998</v>
      </c>
      <c r="I1019" s="38"/>
      <c r="J1019" s="60"/>
      <c r="K1019" s="56"/>
    </row>
    <row r="1020" spans="1:11" ht="20.05" customHeight="1" x14ac:dyDescent="0.2">
      <c r="A1020" s="38"/>
      <c r="B1020" s="36" t="s">
        <v>18</v>
      </c>
      <c r="C1020" s="38">
        <v>1</v>
      </c>
      <c r="D1020" s="38">
        <v>1</v>
      </c>
      <c r="E1020" s="38">
        <v>1.95</v>
      </c>
      <c r="F1020" s="38">
        <v>1.8</v>
      </c>
      <c r="G1020" s="38"/>
      <c r="H1020" s="41">
        <f t="shared" si="29"/>
        <v>3.51</v>
      </c>
      <c r="I1020" s="38"/>
      <c r="J1020" s="60"/>
      <c r="K1020" s="56"/>
    </row>
    <row r="1021" spans="1:11" ht="20.05" customHeight="1" x14ac:dyDescent="0.2">
      <c r="A1021" s="38"/>
      <c r="B1021" s="36" t="s">
        <v>106</v>
      </c>
      <c r="C1021" s="38">
        <v>1</v>
      </c>
      <c r="D1021" s="38">
        <v>1</v>
      </c>
      <c r="E1021" s="38">
        <v>1.95</v>
      </c>
      <c r="F1021" s="38">
        <v>1.8</v>
      </c>
      <c r="G1021" s="38"/>
      <c r="H1021" s="41">
        <f t="shared" si="29"/>
        <v>3.51</v>
      </c>
      <c r="I1021" s="38"/>
      <c r="J1021" s="60"/>
      <c r="K1021" s="56"/>
    </row>
    <row r="1022" spans="1:11" ht="20.05" customHeight="1" x14ac:dyDescent="0.2">
      <c r="A1022" s="38"/>
      <c r="B1022" s="36" t="s">
        <v>19</v>
      </c>
      <c r="C1022" s="38">
        <v>1</v>
      </c>
      <c r="D1022" s="38">
        <v>1</v>
      </c>
      <c r="E1022" s="38">
        <v>6.3</v>
      </c>
      <c r="F1022" s="38">
        <v>3.6</v>
      </c>
      <c r="G1022" s="38"/>
      <c r="H1022" s="41">
        <f t="shared" si="29"/>
        <v>22.68</v>
      </c>
      <c r="I1022" s="38"/>
      <c r="J1022" s="60"/>
      <c r="K1022" s="56"/>
    </row>
    <row r="1023" spans="1:11" ht="20.05" customHeight="1" x14ac:dyDescent="0.2">
      <c r="A1023" s="38"/>
      <c r="B1023" s="36" t="s">
        <v>117</v>
      </c>
      <c r="C1023" s="38">
        <v>1</v>
      </c>
      <c r="D1023" s="38">
        <v>1</v>
      </c>
      <c r="E1023" s="38">
        <v>3.14</v>
      </c>
      <c r="F1023" s="38">
        <v>3.72</v>
      </c>
      <c r="G1023" s="38"/>
      <c r="H1023" s="41">
        <f t="shared" si="29"/>
        <v>11.680800000000001</v>
      </c>
      <c r="I1023" s="38"/>
      <c r="J1023" s="60"/>
      <c r="K1023" s="56"/>
    </row>
    <row r="1024" spans="1:11" ht="20.05" customHeight="1" x14ac:dyDescent="0.2">
      <c r="A1024" s="38"/>
      <c r="B1024" s="36" t="s">
        <v>111</v>
      </c>
      <c r="C1024" s="38">
        <v>1</v>
      </c>
      <c r="D1024" s="38">
        <v>1</v>
      </c>
      <c r="E1024" s="38">
        <v>3.14</v>
      </c>
      <c r="F1024" s="38">
        <v>3.52</v>
      </c>
      <c r="G1024" s="38"/>
      <c r="H1024" s="41">
        <f t="shared" si="29"/>
        <v>11.052800000000001</v>
      </c>
      <c r="I1024" s="38"/>
      <c r="J1024" s="60"/>
      <c r="K1024" s="56"/>
    </row>
    <row r="1025" spans="1:11" ht="20.05" customHeight="1" x14ac:dyDescent="0.2">
      <c r="A1025" s="38"/>
      <c r="B1025" s="36" t="s">
        <v>22</v>
      </c>
      <c r="C1025" s="38">
        <v>1</v>
      </c>
      <c r="D1025" s="38">
        <v>1</v>
      </c>
      <c r="E1025" s="38">
        <v>3.14</v>
      </c>
      <c r="F1025" s="38">
        <v>3.67</v>
      </c>
      <c r="G1025" s="38"/>
      <c r="H1025" s="41">
        <f t="shared" si="29"/>
        <v>11.5238</v>
      </c>
      <c r="I1025" s="38"/>
      <c r="J1025" s="60"/>
      <c r="K1025" s="56"/>
    </row>
    <row r="1026" spans="1:11" ht="20.05" customHeight="1" x14ac:dyDescent="0.2">
      <c r="A1026" s="38"/>
      <c r="B1026" s="36" t="s">
        <v>26</v>
      </c>
      <c r="C1026" s="38">
        <v>1</v>
      </c>
      <c r="D1026" s="38">
        <v>1</v>
      </c>
      <c r="E1026" s="38">
        <v>3.14</v>
      </c>
      <c r="F1026" s="38">
        <v>2.4</v>
      </c>
      <c r="G1026" s="38"/>
      <c r="H1026" s="41">
        <f t="shared" si="29"/>
        <v>7.5359999999999996</v>
      </c>
      <c r="I1026" s="38"/>
      <c r="J1026" s="60"/>
      <c r="K1026" s="56"/>
    </row>
    <row r="1027" spans="1:11" ht="20.05" customHeight="1" x14ac:dyDescent="0.2">
      <c r="A1027" s="38"/>
      <c r="B1027" s="36" t="s">
        <v>23</v>
      </c>
      <c r="C1027" s="38">
        <v>1</v>
      </c>
      <c r="D1027" s="38">
        <v>1</v>
      </c>
      <c r="E1027" s="38">
        <v>3.6</v>
      </c>
      <c r="F1027" s="38">
        <v>3.72</v>
      </c>
      <c r="G1027" s="38"/>
      <c r="H1027" s="41">
        <f t="shared" si="29"/>
        <v>13.392000000000001</v>
      </c>
      <c r="I1027" s="38"/>
      <c r="J1027" s="60"/>
      <c r="K1027" s="56"/>
    </row>
    <row r="1028" spans="1:11" ht="20.05" customHeight="1" x14ac:dyDescent="0.2">
      <c r="A1028" s="38"/>
      <c r="B1028" s="36" t="s">
        <v>24</v>
      </c>
      <c r="C1028" s="38">
        <v>1</v>
      </c>
      <c r="D1028" s="38">
        <v>1</v>
      </c>
      <c r="E1028" s="38">
        <v>3.6</v>
      </c>
      <c r="F1028" s="38">
        <v>3.72</v>
      </c>
      <c r="G1028" s="38"/>
      <c r="H1028" s="41">
        <f t="shared" si="29"/>
        <v>13.392000000000001</v>
      </c>
      <c r="I1028" s="38"/>
      <c r="J1028" s="60"/>
      <c r="K1028" s="56"/>
    </row>
    <row r="1029" spans="1:11" ht="20.05" customHeight="1" x14ac:dyDescent="0.2">
      <c r="A1029" s="38"/>
      <c r="B1029" s="36" t="s">
        <v>45</v>
      </c>
      <c r="C1029" s="38">
        <v>1</v>
      </c>
      <c r="D1029" s="38">
        <v>1</v>
      </c>
      <c r="E1029" s="38">
        <v>3.6</v>
      </c>
      <c r="F1029" s="38">
        <v>2.5</v>
      </c>
      <c r="G1029" s="38"/>
      <c r="H1029" s="41">
        <f t="shared" si="29"/>
        <v>9</v>
      </c>
      <c r="I1029" s="38"/>
      <c r="J1029" s="60"/>
      <c r="K1029" s="56"/>
    </row>
    <row r="1030" spans="1:11" ht="20.05" customHeight="1" x14ac:dyDescent="0.2">
      <c r="A1030" s="38"/>
      <c r="B1030" s="36" t="s">
        <v>27</v>
      </c>
      <c r="C1030" s="38">
        <v>1</v>
      </c>
      <c r="D1030" s="38">
        <v>1</v>
      </c>
      <c r="E1030" s="38">
        <v>3.6</v>
      </c>
      <c r="F1030" s="38">
        <v>3.72</v>
      </c>
      <c r="G1030" s="38"/>
      <c r="H1030" s="41">
        <f t="shared" si="29"/>
        <v>13.392000000000001</v>
      </c>
      <c r="I1030" s="38"/>
      <c r="J1030" s="60"/>
      <c r="K1030" s="56"/>
    </row>
    <row r="1031" spans="1:11" ht="20.05" customHeight="1" x14ac:dyDescent="0.2">
      <c r="A1031" s="38"/>
      <c r="B1031" s="36" t="s">
        <v>28</v>
      </c>
      <c r="C1031" s="38">
        <v>1</v>
      </c>
      <c r="D1031" s="38">
        <v>1</v>
      </c>
      <c r="E1031" s="38">
        <v>3.63</v>
      </c>
      <c r="F1031" s="38">
        <v>3.72</v>
      </c>
      <c r="G1031" s="38"/>
      <c r="H1031" s="41">
        <f t="shared" si="29"/>
        <v>13.5036</v>
      </c>
      <c r="I1031" s="38"/>
      <c r="J1031" s="60"/>
      <c r="K1031" s="56"/>
    </row>
    <row r="1032" spans="1:11" ht="20.05" customHeight="1" x14ac:dyDescent="0.2">
      <c r="A1032" s="38"/>
      <c r="B1032" s="36" t="s">
        <v>29</v>
      </c>
      <c r="C1032" s="38">
        <v>1</v>
      </c>
      <c r="D1032" s="38">
        <v>1</v>
      </c>
      <c r="E1032" s="38">
        <v>5.87</v>
      </c>
      <c r="F1032" s="38">
        <v>6.23</v>
      </c>
      <c r="G1032" s="38"/>
      <c r="H1032" s="41">
        <f t="shared" si="29"/>
        <v>36.570100000000004</v>
      </c>
      <c r="I1032" s="38"/>
      <c r="J1032" s="60"/>
      <c r="K1032" s="56"/>
    </row>
    <row r="1033" spans="1:11" ht="20.05" customHeight="1" x14ac:dyDescent="0.2">
      <c r="A1033" s="38"/>
      <c r="B1033" s="36" t="s">
        <v>30</v>
      </c>
      <c r="C1033" s="38">
        <v>1</v>
      </c>
      <c r="D1033" s="38">
        <v>1</v>
      </c>
      <c r="E1033" s="38">
        <v>7.8</v>
      </c>
      <c r="F1033" s="38">
        <v>7.09</v>
      </c>
      <c r="G1033" s="38"/>
      <c r="H1033" s="41">
        <f t="shared" si="29"/>
        <v>55.302</v>
      </c>
      <c r="I1033" s="38"/>
      <c r="J1033" s="60"/>
      <c r="K1033" s="56"/>
    </row>
    <row r="1034" spans="1:11" ht="20.05" customHeight="1" x14ac:dyDescent="0.2">
      <c r="A1034" s="38"/>
      <c r="B1034" s="36" t="s">
        <v>119</v>
      </c>
      <c r="C1034" s="38">
        <v>1</v>
      </c>
      <c r="D1034" s="38">
        <v>1</v>
      </c>
      <c r="E1034" s="38">
        <v>1.5</v>
      </c>
      <c r="F1034" s="38">
        <v>1.8</v>
      </c>
      <c r="G1034" s="38"/>
      <c r="H1034" s="41">
        <f t="shared" si="29"/>
        <v>2.7</v>
      </c>
      <c r="I1034" s="38"/>
      <c r="J1034" s="60"/>
      <c r="K1034" s="56"/>
    </row>
    <row r="1035" spans="1:11" ht="20.05" customHeight="1" x14ac:dyDescent="0.2">
      <c r="A1035" s="38"/>
      <c r="B1035" s="36" t="s">
        <v>31</v>
      </c>
      <c r="C1035" s="38">
        <v>1</v>
      </c>
      <c r="D1035" s="38">
        <v>1</v>
      </c>
      <c r="E1035" s="38">
        <v>4.95</v>
      </c>
      <c r="F1035" s="38">
        <v>7.2</v>
      </c>
      <c r="G1035" s="38"/>
      <c r="H1035" s="41">
        <f t="shared" si="29"/>
        <v>35.64</v>
      </c>
      <c r="I1035" s="38"/>
      <c r="J1035" s="60"/>
      <c r="K1035" s="56"/>
    </row>
    <row r="1036" spans="1:11" ht="20.05" customHeight="1" x14ac:dyDescent="0.2">
      <c r="A1036" s="38"/>
      <c r="B1036" s="36" t="s">
        <v>34</v>
      </c>
      <c r="C1036" s="38">
        <v>1</v>
      </c>
      <c r="D1036" s="38">
        <v>1</v>
      </c>
      <c r="E1036" s="38">
        <v>3.37</v>
      </c>
      <c r="F1036" s="38">
        <v>3.22</v>
      </c>
      <c r="G1036" s="38"/>
      <c r="H1036" s="41">
        <f t="shared" si="29"/>
        <v>10.851400000000002</v>
      </c>
      <c r="I1036" s="38"/>
      <c r="J1036" s="60"/>
      <c r="K1036" s="56"/>
    </row>
    <row r="1037" spans="1:11" ht="20.05" customHeight="1" x14ac:dyDescent="0.2">
      <c r="A1037" s="38"/>
      <c r="B1037" s="36" t="s">
        <v>32</v>
      </c>
      <c r="C1037" s="38">
        <v>1</v>
      </c>
      <c r="D1037" s="38">
        <v>1</v>
      </c>
      <c r="E1037" s="38">
        <v>3.16</v>
      </c>
      <c r="F1037" s="38">
        <v>3.22</v>
      </c>
      <c r="G1037" s="38"/>
      <c r="H1037" s="41">
        <f t="shared" si="29"/>
        <v>10.1752</v>
      </c>
      <c r="I1037" s="38"/>
      <c r="J1037" s="60"/>
      <c r="K1037" s="56"/>
    </row>
    <row r="1038" spans="1:11" ht="20.05" customHeight="1" x14ac:dyDescent="0.2">
      <c r="A1038" s="38"/>
      <c r="B1038" s="36" t="s">
        <v>33</v>
      </c>
      <c r="C1038" s="38">
        <v>1</v>
      </c>
      <c r="D1038" s="38">
        <v>1</v>
      </c>
      <c r="E1038" s="38">
        <v>3.05</v>
      </c>
      <c r="F1038" s="38">
        <v>3.22</v>
      </c>
      <c r="G1038" s="38"/>
      <c r="H1038" s="41">
        <f t="shared" si="29"/>
        <v>9.8209999999999997</v>
      </c>
      <c r="I1038" s="38"/>
      <c r="J1038" s="60"/>
      <c r="K1038" s="56"/>
    </row>
    <row r="1039" spans="1:11" ht="20.05" customHeight="1" x14ac:dyDescent="0.2">
      <c r="A1039" s="38"/>
      <c r="B1039" s="36" t="s">
        <v>35</v>
      </c>
      <c r="C1039" s="38">
        <v>1</v>
      </c>
      <c r="D1039" s="38">
        <v>1</v>
      </c>
      <c r="E1039" s="38">
        <v>3</v>
      </c>
      <c r="F1039" s="38">
        <v>3.22</v>
      </c>
      <c r="G1039" s="38"/>
      <c r="H1039" s="41">
        <f t="shared" si="29"/>
        <v>9.66</v>
      </c>
      <c r="I1039" s="38"/>
      <c r="J1039" s="60"/>
      <c r="K1039" s="56"/>
    </row>
    <row r="1040" spans="1:11" ht="20.05" customHeight="1" x14ac:dyDescent="0.2">
      <c r="A1040" s="38"/>
      <c r="B1040" s="36" t="s">
        <v>36</v>
      </c>
      <c r="C1040" s="38">
        <v>1</v>
      </c>
      <c r="D1040" s="38">
        <v>1</v>
      </c>
      <c r="E1040" s="38">
        <v>15.79</v>
      </c>
      <c r="F1040" s="38">
        <v>1.38</v>
      </c>
      <c r="G1040" s="38"/>
      <c r="H1040" s="41">
        <f t="shared" si="29"/>
        <v>21.790199999999999</v>
      </c>
      <c r="I1040" s="38"/>
      <c r="J1040" s="60"/>
      <c r="K1040" s="56"/>
    </row>
    <row r="1041" spans="1:11" ht="20.05" customHeight="1" x14ac:dyDescent="0.2">
      <c r="A1041" s="38"/>
      <c r="B1041" s="36" t="s">
        <v>37</v>
      </c>
      <c r="C1041" s="38">
        <v>1</v>
      </c>
      <c r="D1041" s="38">
        <v>1</v>
      </c>
      <c r="E1041" s="38">
        <v>2.02</v>
      </c>
      <c r="F1041" s="38">
        <v>8.3000000000000007</v>
      </c>
      <c r="G1041" s="38"/>
      <c r="H1041" s="41">
        <f t="shared" si="29"/>
        <v>16.766000000000002</v>
      </c>
      <c r="I1041" s="38"/>
      <c r="J1041" s="60"/>
      <c r="K1041" s="56"/>
    </row>
    <row r="1042" spans="1:11" ht="20.05" customHeight="1" x14ac:dyDescent="0.2">
      <c r="A1042" s="38"/>
      <c r="B1042" s="36" t="s">
        <v>38</v>
      </c>
      <c r="C1042" s="38">
        <v>1</v>
      </c>
      <c r="D1042" s="38">
        <v>1</v>
      </c>
      <c r="E1042" s="38">
        <v>34.36</v>
      </c>
      <c r="F1042" s="38">
        <v>2.4</v>
      </c>
      <c r="G1042" s="38"/>
      <c r="H1042" s="41">
        <f t="shared" si="29"/>
        <v>82.463999999999999</v>
      </c>
      <c r="I1042" s="38"/>
      <c r="J1042" s="60"/>
      <c r="K1042" s="56"/>
    </row>
    <row r="1043" spans="1:11" ht="20.05" customHeight="1" x14ac:dyDescent="0.2">
      <c r="A1043" s="38"/>
      <c r="B1043" s="36" t="s">
        <v>39</v>
      </c>
      <c r="C1043" s="38">
        <v>1</v>
      </c>
      <c r="D1043" s="38">
        <v>1</v>
      </c>
      <c r="E1043" s="38">
        <v>3</v>
      </c>
      <c r="F1043" s="38">
        <v>15.05</v>
      </c>
      <c r="G1043" s="38"/>
      <c r="H1043" s="41">
        <f t="shared" si="29"/>
        <v>45.150000000000006</v>
      </c>
      <c r="I1043" s="38"/>
      <c r="J1043" s="60"/>
      <c r="K1043" s="56"/>
    </row>
    <row r="1044" spans="1:11" ht="20.05" customHeight="1" x14ac:dyDescent="0.2">
      <c r="A1044" s="38"/>
      <c r="B1044" s="36" t="s">
        <v>40</v>
      </c>
      <c r="C1044" s="38">
        <v>1</v>
      </c>
      <c r="D1044" s="38">
        <v>1</v>
      </c>
      <c r="E1044" s="38">
        <v>2.4</v>
      </c>
      <c r="F1044" s="38">
        <v>15.05</v>
      </c>
      <c r="G1044" s="38"/>
      <c r="H1044" s="41">
        <f t="shared" si="29"/>
        <v>36.119999999999997</v>
      </c>
      <c r="I1044" s="38"/>
      <c r="J1044" s="60"/>
      <c r="K1044" s="56"/>
    </row>
    <row r="1045" spans="1:11" ht="20.05" customHeight="1" x14ac:dyDescent="0.2">
      <c r="A1045" s="38"/>
      <c r="B1045" s="36" t="s">
        <v>41</v>
      </c>
      <c r="C1045" s="38">
        <v>1</v>
      </c>
      <c r="D1045" s="38">
        <v>1</v>
      </c>
      <c r="E1045" s="38">
        <v>34.36</v>
      </c>
      <c r="F1045" s="38">
        <v>2.4</v>
      </c>
      <c r="G1045" s="38"/>
      <c r="H1045" s="41">
        <f t="shared" si="29"/>
        <v>82.463999999999999</v>
      </c>
      <c r="I1045" s="38"/>
      <c r="J1045" s="60"/>
      <c r="K1045" s="56"/>
    </row>
    <row r="1046" spans="1:11" ht="20.05" customHeight="1" x14ac:dyDescent="0.2">
      <c r="A1046" s="38"/>
      <c r="B1046" s="36" t="s">
        <v>42</v>
      </c>
      <c r="C1046" s="38">
        <v>1</v>
      </c>
      <c r="D1046" s="38">
        <v>1</v>
      </c>
      <c r="E1046" s="38">
        <v>1.62</v>
      </c>
      <c r="F1046" s="38">
        <v>7.55</v>
      </c>
      <c r="G1046" s="38"/>
      <c r="H1046" s="41">
        <f t="shared" si="29"/>
        <v>12.231</v>
      </c>
      <c r="I1046" s="38"/>
      <c r="J1046" s="60"/>
      <c r="K1046" s="56"/>
    </row>
    <row r="1047" spans="1:11" ht="20.05" customHeight="1" x14ac:dyDescent="0.2">
      <c r="A1047" s="38"/>
      <c r="B1047" s="36" t="s">
        <v>43</v>
      </c>
      <c r="C1047" s="38">
        <v>1</v>
      </c>
      <c r="D1047" s="38">
        <v>1</v>
      </c>
      <c r="E1047" s="38">
        <v>35.65</v>
      </c>
      <c r="F1047" s="38">
        <v>2.02</v>
      </c>
      <c r="G1047" s="38"/>
      <c r="H1047" s="41">
        <f t="shared" si="29"/>
        <v>72.012999999999991</v>
      </c>
      <c r="I1047" s="38"/>
      <c r="J1047" s="60"/>
      <c r="K1047" s="56"/>
    </row>
    <row r="1048" spans="1:11" ht="20.05" customHeight="1" x14ac:dyDescent="0.2">
      <c r="A1048" s="38"/>
      <c r="B1048" s="36"/>
      <c r="C1048" s="38"/>
      <c r="D1048" s="38"/>
      <c r="E1048" s="38"/>
      <c r="F1048" s="38"/>
      <c r="G1048" s="38"/>
      <c r="H1048" s="42">
        <f>SUM(H1002:H1047)</f>
        <v>972.86300000000017</v>
      </c>
      <c r="I1048" s="38" t="s">
        <v>154</v>
      </c>
      <c r="J1048" s="60">
        <v>860</v>
      </c>
      <c r="K1048" s="56">
        <f>ROUND(H1048*J1048,0)</f>
        <v>836662</v>
      </c>
    </row>
    <row r="1049" spans="1:11" ht="29.9" customHeight="1" x14ac:dyDescent="0.2">
      <c r="A1049" s="38">
        <v>24</v>
      </c>
      <c r="B1049" s="122" t="s">
        <v>453</v>
      </c>
      <c r="C1049" s="123"/>
      <c r="D1049" s="123"/>
      <c r="E1049" s="123"/>
      <c r="F1049" s="123"/>
      <c r="G1049" s="124"/>
      <c r="H1049" s="38"/>
      <c r="I1049" s="38"/>
      <c r="J1049" s="60"/>
      <c r="K1049" s="56"/>
    </row>
    <row r="1050" spans="1:11" ht="20.05" customHeight="1" x14ac:dyDescent="0.2">
      <c r="A1050" s="38"/>
      <c r="B1050" s="36" t="s">
        <v>12</v>
      </c>
      <c r="C1050" s="38">
        <v>1</v>
      </c>
      <c r="D1050" s="38">
        <v>1</v>
      </c>
      <c r="E1050" s="38">
        <v>1.2</v>
      </c>
      <c r="F1050" s="38">
        <v>1.5</v>
      </c>
      <c r="G1050" s="38"/>
      <c r="H1050" s="41">
        <f t="shared" ref="H1050:H1055" si="30">PRODUCT(C1050:F1050)</f>
        <v>1.7999999999999998</v>
      </c>
      <c r="I1050" s="38"/>
      <c r="J1050" s="60"/>
      <c r="K1050" s="56"/>
    </row>
    <row r="1051" spans="1:11" ht="20.05" customHeight="1" x14ac:dyDescent="0.2">
      <c r="A1051" s="38"/>
      <c r="B1051" s="36" t="s">
        <v>13</v>
      </c>
      <c r="C1051" s="38">
        <v>1</v>
      </c>
      <c r="D1051" s="38">
        <v>1</v>
      </c>
      <c r="E1051" s="38">
        <v>1.2</v>
      </c>
      <c r="F1051" s="38">
        <v>1.5</v>
      </c>
      <c r="G1051" s="38"/>
      <c r="H1051" s="41">
        <f t="shared" si="30"/>
        <v>1.7999999999999998</v>
      </c>
      <c r="I1051" s="38"/>
      <c r="J1051" s="60"/>
      <c r="K1051" s="56"/>
    </row>
    <row r="1052" spans="1:11" ht="20.05" customHeight="1" x14ac:dyDescent="0.2">
      <c r="A1052" s="38"/>
      <c r="B1052" s="36" t="s">
        <v>180</v>
      </c>
      <c r="C1052" s="38">
        <v>1</v>
      </c>
      <c r="D1052" s="38">
        <v>1</v>
      </c>
      <c r="E1052" s="38">
        <v>1.5</v>
      </c>
      <c r="F1052" s="38">
        <v>1.8</v>
      </c>
      <c r="G1052" s="38"/>
      <c r="H1052" s="41">
        <f t="shared" si="30"/>
        <v>2.7</v>
      </c>
      <c r="I1052" s="38"/>
      <c r="J1052" s="60"/>
      <c r="K1052" s="56"/>
    </row>
    <row r="1053" spans="1:11" ht="20.05" customHeight="1" x14ac:dyDescent="0.2">
      <c r="A1053" s="38"/>
      <c r="B1053" s="36" t="s">
        <v>199</v>
      </c>
      <c r="C1053" s="38">
        <v>1</v>
      </c>
      <c r="D1053" s="38">
        <v>1</v>
      </c>
      <c r="E1053" s="38">
        <v>1.2</v>
      </c>
      <c r="F1053" s="38">
        <v>1.8</v>
      </c>
      <c r="G1053" s="38"/>
      <c r="H1053" s="41">
        <f t="shared" si="30"/>
        <v>2.16</v>
      </c>
      <c r="I1053" s="38"/>
      <c r="J1053" s="60"/>
      <c r="K1053" s="56"/>
    </row>
    <row r="1054" spans="1:11" ht="20.05" customHeight="1" x14ac:dyDescent="0.2">
      <c r="A1054" s="38"/>
      <c r="B1054" s="36" t="s">
        <v>200</v>
      </c>
      <c r="C1054" s="38">
        <v>1</v>
      </c>
      <c r="D1054" s="38">
        <v>1</v>
      </c>
      <c r="E1054" s="38">
        <v>1.2</v>
      </c>
      <c r="F1054" s="38">
        <v>1.8</v>
      </c>
      <c r="G1054" s="38"/>
      <c r="H1054" s="41">
        <f t="shared" si="30"/>
        <v>2.16</v>
      </c>
      <c r="I1054" s="38"/>
      <c r="J1054" s="60"/>
      <c r="K1054" s="56"/>
    </row>
    <row r="1055" spans="1:11" ht="20.05" customHeight="1" x14ac:dyDescent="0.2">
      <c r="A1055" s="38"/>
      <c r="B1055" s="36" t="s">
        <v>181</v>
      </c>
      <c r="C1055" s="38">
        <v>1</v>
      </c>
      <c r="D1055" s="38">
        <v>1</v>
      </c>
      <c r="E1055" s="38">
        <v>1.5</v>
      </c>
      <c r="F1055" s="38">
        <v>1.8</v>
      </c>
      <c r="G1055" s="38"/>
      <c r="H1055" s="41">
        <f t="shared" si="30"/>
        <v>2.7</v>
      </c>
      <c r="I1055" s="38"/>
      <c r="J1055" s="60"/>
      <c r="K1055" s="56"/>
    </row>
    <row r="1056" spans="1:11" ht="20.05" customHeight="1" x14ac:dyDescent="0.2">
      <c r="A1056" s="38"/>
      <c r="B1056" s="36"/>
      <c r="C1056" s="38"/>
      <c r="D1056" s="38"/>
      <c r="E1056" s="38"/>
      <c r="F1056" s="38"/>
      <c r="G1056" s="38"/>
      <c r="H1056" s="42">
        <f>SUM(H1050:H1055)</f>
        <v>13.32</v>
      </c>
      <c r="I1056" s="38" t="s">
        <v>154</v>
      </c>
      <c r="J1056" s="60">
        <f>'C-Datas'!I435</f>
        <v>925</v>
      </c>
      <c r="K1056" s="56">
        <f>ROUND(H1056*J1056,0)</f>
        <v>12321</v>
      </c>
    </row>
    <row r="1057" spans="1:11" ht="59.8" customHeight="1" x14ac:dyDescent="0.2">
      <c r="A1057" s="38">
        <v>25</v>
      </c>
      <c r="B1057" s="122" t="s">
        <v>504</v>
      </c>
      <c r="C1057" s="123"/>
      <c r="D1057" s="123"/>
      <c r="E1057" s="123"/>
      <c r="F1057" s="123"/>
      <c r="G1057" s="124"/>
      <c r="H1057" s="38"/>
      <c r="I1057" s="38"/>
      <c r="J1057" s="60"/>
      <c r="K1057" s="56"/>
    </row>
    <row r="1058" spans="1:11" ht="20.05" customHeight="1" x14ac:dyDescent="0.2">
      <c r="A1058" s="38"/>
      <c r="B1058" s="36" t="s">
        <v>505</v>
      </c>
      <c r="C1058" s="38"/>
      <c r="D1058" s="38"/>
      <c r="E1058" s="38"/>
      <c r="F1058" s="38"/>
      <c r="G1058" s="38"/>
      <c r="H1058" s="38">
        <v>20</v>
      </c>
      <c r="I1058" s="38"/>
      <c r="J1058" s="60"/>
      <c r="K1058" s="56"/>
    </row>
    <row r="1059" spans="1:11" ht="20.05" customHeight="1" x14ac:dyDescent="0.2">
      <c r="A1059" s="38"/>
      <c r="B1059" s="36"/>
      <c r="C1059" s="38"/>
      <c r="D1059" s="38"/>
      <c r="E1059" s="38"/>
      <c r="F1059" s="38"/>
      <c r="G1059" s="38"/>
      <c r="H1059" s="40">
        <f>SUM(H1058)</f>
        <v>20</v>
      </c>
      <c r="I1059" s="38" t="s">
        <v>154</v>
      </c>
      <c r="J1059" s="60">
        <f>'C-Datas'!I467</f>
        <v>956</v>
      </c>
      <c r="K1059" s="56">
        <f>ROUND(H1059*J1059,0)</f>
        <v>19120</v>
      </c>
    </row>
    <row r="1060" spans="1:11" ht="60.45" customHeight="1" x14ac:dyDescent="0.2">
      <c r="A1060" s="38">
        <v>26</v>
      </c>
      <c r="B1060" s="122" t="s">
        <v>506</v>
      </c>
      <c r="C1060" s="123"/>
      <c r="D1060" s="123"/>
      <c r="E1060" s="123"/>
      <c r="F1060" s="123"/>
      <c r="G1060" s="124"/>
      <c r="H1060" s="38"/>
      <c r="I1060" s="38"/>
      <c r="J1060" s="60"/>
      <c r="K1060" s="56"/>
    </row>
    <row r="1061" spans="1:11" ht="20.05" customHeight="1" x14ac:dyDescent="0.2">
      <c r="A1061" s="38"/>
      <c r="B1061" s="36" t="s">
        <v>505</v>
      </c>
      <c r="C1061" s="38"/>
      <c r="D1061" s="38"/>
      <c r="E1061" s="38"/>
      <c r="F1061" s="38"/>
      <c r="G1061" s="38"/>
      <c r="H1061" s="38">
        <v>50</v>
      </c>
      <c r="I1061" s="38"/>
      <c r="J1061" s="60"/>
      <c r="K1061" s="56"/>
    </row>
    <row r="1062" spans="1:11" ht="20.05" customHeight="1" x14ac:dyDescent="0.2">
      <c r="A1062" s="38"/>
      <c r="B1062" s="36"/>
      <c r="C1062" s="38"/>
      <c r="D1062" s="38"/>
      <c r="E1062" s="38"/>
      <c r="F1062" s="38"/>
      <c r="G1062" s="38"/>
      <c r="H1062" s="40">
        <f>SUM(H1061)</f>
        <v>50</v>
      </c>
      <c r="I1062" s="38" t="s">
        <v>154</v>
      </c>
      <c r="J1062" s="60">
        <f>'C-Datas'!I499</f>
        <v>926</v>
      </c>
      <c r="K1062" s="56">
        <f>ROUND(H1062*J1062,0)</f>
        <v>46300</v>
      </c>
    </row>
    <row r="1063" spans="1:11" ht="20.05" customHeight="1" x14ac:dyDescent="0.2">
      <c r="A1063" s="38"/>
      <c r="B1063" s="36"/>
      <c r="C1063" s="38"/>
      <c r="D1063" s="38"/>
      <c r="E1063" s="38"/>
      <c r="F1063" s="38"/>
      <c r="G1063" s="38"/>
      <c r="H1063" s="38"/>
      <c r="I1063" s="38"/>
      <c r="J1063" s="60"/>
      <c r="K1063" s="56"/>
    </row>
    <row r="1064" spans="1:11" ht="20.05" customHeight="1" x14ac:dyDescent="0.25">
      <c r="A1064" s="38"/>
      <c r="B1064" s="36"/>
      <c r="C1064" s="38"/>
      <c r="D1064" s="38"/>
      <c r="E1064" s="38"/>
      <c r="F1064" s="38"/>
      <c r="G1064" s="38"/>
      <c r="H1064" s="38"/>
      <c r="I1064" s="38"/>
      <c r="J1064" s="77" t="s">
        <v>507</v>
      </c>
      <c r="K1064" s="78">
        <f>SUM(K6:K1063)</f>
        <v>10849770</v>
      </c>
    </row>
    <row r="1065" spans="1:11" ht="20.05" customHeight="1" x14ac:dyDescent="0.2">
      <c r="A1065" s="38"/>
      <c r="B1065" s="36"/>
      <c r="C1065" s="38"/>
      <c r="D1065" s="38"/>
      <c r="E1065" s="38"/>
      <c r="F1065" s="38"/>
      <c r="G1065" s="38"/>
      <c r="H1065" s="38"/>
      <c r="I1065" s="38"/>
      <c r="J1065" s="60"/>
      <c r="K1065" s="56"/>
    </row>
    <row r="1066" spans="1:11" ht="20.05" customHeight="1" x14ac:dyDescent="0.2">
      <c r="A1066" s="38"/>
      <c r="B1066" s="36"/>
      <c r="C1066" s="38"/>
      <c r="D1066" s="38"/>
      <c r="E1066" s="38"/>
      <c r="F1066" s="38"/>
      <c r="G1066" s="38"/>
      <c r="H1066" s="38"/>
      <c r="I1066" s="38"/>
      <c r="J1066" s="60"/>
      <c r="K1066" s="56"/>
    </row>
    <row r="1067" spans="1:11" ht="20.05" customHeight="1" x14ac:dyDescent="0.2">
      <c r="A1067" s="38"/>
      <c r="B1067" s="36"/>
      <c r="C1067" s="38"/>
      <c r="D1067" s="38"/>
      <c r="E1067" s="38"/>
      <c r="F1067" s="38"/>
      <c r="G1067" s="38"/>
      <c r="H1067" s="38"/>
      <c r="I1067" s="38"/>
      <c r="J1067" s="60"/>
      <c r="K1067" s="56"/>
    </row>
    <row r="1068" spans="1:11" ht="20.05" customHeight="1" x14ac:dyDescent="0.2">
      <c r="A1068" s="38"/>
      <c r="B1068" s="36"/>
      <c r="C1068" s="38"/>
      <c r="D1068" s="38"/>
      <c r="E1068" s="38"/>
      <c r="F1068" s="38"/>
      <c r="G1068" s="38"/>
      <c r="H1068" s="38"/>
      <c r="I1068" s="38"/>
      <c r="J1068" s="60"/>
      <c r="K1068" s="56"/>
    </row>
    <row r="1069" spans="1:11" ht="20.05" customHeight="1" x14ac:dyDescent="0.2">
      <c r="A1069" s="38"/>
      <c r="B1069" s="36"/>
      <c r="C1069" s="38"/>
      <c r="D1069" s="38"/>
      <c r="E1069" s="38"/>
      <c r="F1069" s="38"/>
      <c r="G1069" s="38"/>
      <c r="H1069" s="38"/>
      <c r="I1069" s="38"/>
      <c r="J1069" s="60"/>
      <c r="K1069" s="56"/>
    </row>
    <row r="1070" spans="1:11" ht="20.05" customHeight="1" x14ac:dyDescent="0.2">
      <c r="A1070" s="38"/>
      <c r="B1070" s="36"/>
      <c r="C1070" s="38"/>
      <c r="D1070" s="38"/>
      <c r="E1070" s="38"/>
      <c r="F1070" s="38"/>
      <c r="G1070" s="38"/>
      <c r="H1070" s="38"/>
      <c r="I1070" s="38"/>
      <c r="J1070" s="60"/>
      <c r="K1070" s="56"/>
    </row>
    <row r="1071" spans="1:11" ht="20.05" customHeight="1" x14ac:dyDescent="0.2">
      <c r="A1071" s="38"/>
      <c r="B1071" s="36"/>
      <c r="C1071" s="38"/>
      <c r="D1071" s="38"/>
      <c r="E1071" s="38"/>
      <c r="F1071" s="38"/>
      <c r="G1071" s="38"/>
      <c r="H1071" s="38"/>
      <c r="I1071" s="38"/>
      <c r="J1071" s="60"/>
      <c r="K1071" s="56"/>
    </row>
    <row r="1072" spans="1:11" ht="20.05" customHeight="1" x14ac:dyDescent="0.2">
      <c r="A1072" s="38"/>
      <c r="B1072" s="36"/>
      <c r="C1072" s="38"/>
      <c r="D1072" s="38"/>
      <c r="E1072" s="38"/>
      <c r="F1072" s="38"/>
      <c r="G1072" s="38"/>
      <c r="H1072" s="38"/>
      <c r="I1072" s="38"/>
      <c r="J1072" s="60"/>
      <c r="K1072" s="56"/>
    </row>
    <row r="1073" spans="1:11" ht="20.05" customHeight="1" x14ac:dyDescent="0.2">
      <c r="A1073" s="38"/>
      <c r="B1073" s="36"/>
      <c r="C1073" s="38"/>
      <c r="D1073" s="38"/>
      <c r="E1073" s="38"/>
      <c r="F1073" s="38"/>
      <c r="G1073" s="38"/>
      <c r="H1073" s="38"/>
      <c r="I1073" s="38"/>
      <c r="J1073" s="60"/>
      <c r="K1073" s="56"/>
    </row>
    <row r="1074" spans="1:11" ht="20.05" customHeight="1" x14ac:dyDescent="0.2">
      <c r="A1074" s="38"/>
      <c r="B1074" s="36"/>
      <c r="C1074" s="38"/>
      <c r="D1074" s="38"/>
      <c r="E1074" s="38"/>
      <c r="F1074" s="38"/>
      <c r="G1074" s="38"/>
      <c r="H1074" s="38"/>
      <c r="I1074" s="38"/>
      <c r="J1074" s="60"/>
      <c r="K1074" s="56"/>
    </row>
    <row r="1075" spans="1:11" ht="20.05" customHeight="1" x14ac:dyDescent="0.2">
      <c r="A1075" s="38"/>
      <c r="B1075" s="36"/>
      <c r="C1075" s="38"/>
      <c r="D1075" s="38"/>
      <c r="E1075" s="38"/>
      <c r="F1075" s="38"/>
      <c r="G1075" s="38"/>
      <c r="H1075" s="38"/>
      <c r="I1075" s="38"/>
      <c r="J1075" s="60"/>
      <c r="K1075" s="56"/>
    </row>
    <row r="1076" spans="1:11" ht="20.05" customHeight="1" x14ac:dyDescent="0.2">
      <c r="A1076" s="38"/>
      <c r="B1076" s="36"/>
      <c r="C1076" s="38"/>
      <c r="D1076" s="38"/>
      <c r="E1076" s="38"/>
      <c r="F1076" s="38"/>
      <c r="G1076" s="38"/>
      <c r="H1076" s="38"/>
      <c r="I1076" s="38"/>
      <c r="J1076" s="60"/>
      <c r="K1076" s="56"/>
    </row>
    <row r="1077" spans="1:11" ht="20.05" customHeight="1" x14ac:dyDescent="0.2">
      <c r="A1077" s="38"/>
      <c r="B1077" s="36"/>
      <c r="C1077" s="38"/>
      <c r="D1077" s="38"/>
      <c r="E1077" s="38"/>
      <c r="F1077" s="38"/>
      <c r="G1077" s="38"/>
      <c r="H1077" s="38"/>
      <c r="I1077" s="38"/>
      <c r="J1077" s="60"/>
      <c r="K1077" s="56"/>
    </row>
    <row r="1078" spans="1:11" ht="20.05" customHeight="1" x14ac:dyDescent="0.2">
      <c r="A1078" s="38"/>
      <c r="B1078" s="36"/>
      <c r="C1078" s="38"/>
      <c r="D1078" s="38"/>
      <c r="E1078" s="38"/>
      <c r="F1078" s="38"/>
      <c r="G1078" s="38"/>
      <c r="H1078" s="38"/>
      <c r="I1078" s="38"/>
      <c r="J1078" s="60"/>
      <c r="K1078" s="56"/>
    </row>
    <row r="1079" spans="1:11" ht="20.05" customHeight="1" x14ac:dyDescent="0.2">
      <c r="A1079" s="38"/>
      <c r="B1079" s="36"/>
      <c r="C1079" s="38"/>
      <c r="D1079" s="38"/>
      <c r="E1079" s="38"/>
      <c r="F1079" s="38"/>
      <c r="G1079" s="38"/>
      <c r="H1079" s="38"/>
      <c r="I1079" s="38"/>
      <c r="J1079" s="60"/>
      <c r="K1079" s="56"/>
    </row>
    <row r="1080" spans="1:11" ht="20.05" customHeight="1" x14ac:dyDescent="0.2">
      <c r="A1080" s="38"/>
      <c r="B1080" s="36"/>
      <c r="C1080" s="38"/>
      <c r="D1080" s="38"/>
      <c r="E1080" s="38"/>
      <c r="F1080" s="38"/>
      <c r="G1080" s="38"/>
      <c r="H1080" s="38"/>
      <c r="I1080" s="38"/>
      <c r="J1080" s="60"/>
      <c r="K1080" s="56"/>
    </row>
    <row r="1081" spans="1:11" ht="20.05" customHeight="1" x14ac:dyDescent="0.2">
      <c r="A1081" s="38"/>
      <c r="B1081" s="36"/>
      <c r="C1081" s="38"/>
      <c r="D1081" s="38"/>
      <c r="E1081" s="38"/>
      <c r="F1081" s="38"/>
      <c r="G1081" s="38"/>
      <c r="H1081" s="38"/>
      <c r="I1081" s="38"/>
      <c r="J1081" s="60"/>
      <c r="K1081" s="56"/>
    </row>
    <row r="1082" spans="1:11" ht="20.05" customHeight="1" x14ac:dyDescent="0.2">
      <c r="A1082" s="38"/>
      <c r="B1082" s="36"/>
      <c r="C1082" s="38"/>
      <c r="D1082" s="38"/>
      <c r="E1082" s="38"/>
      <c r="F1082" s="38"/>
      <c r="G1082" s="38"/>
      <c r="H1082" s="38"/>
      <c r="I1082" s="38"/>
      <c r="J1082" s="60"/>
      <c r="K1082" s="56"/>
    </row>
    <row r="1083" spans="1:11" ht="20.05" customHeight="1" x14ac:dyDescent="0.2">
      <c r="A1083" s="38"/>
      <c r="B1083" s="36"/>
      <c r="C1083" s="38"/>
      <c r="D1083" s="38"/>
      <c r="E1083" s="38"/>
      <c r="F1083" s="38"/>
      <c r="G1083" s="38"/>
      <c r="H1083" s="38"/>
      <c r="I1083" s="38"/>
      <c r="J1083" s="60"/>
      <c r="K1083" s="56"/>
    </row>
    <row r="1084" spans="1:11" ht="20.05" customHeight="1" x14ac:dyDescent="0.2">
      <c r="A1084" s="38"/>
      <c r="B1084" s="36"/>
      <c r="C1084" s="38"/>
      <c r="D1084" s="38"/>
      <c r="E1084" s="38"/>
      <c r="F1084" s="38"/>
      <c r="G1084" s="38"/>
      <c r="H1084" s="38"/>
      <c r="I1084" s="38"/>
      <c r="J1084" s="60"/>
      <c r="K1084" s="56"/>
    </row>
    <row r="1085" spans="1:11" ht="20.05" customHeight="1" x14ac:dyDescent="0.2">
      <c r="A1085" s="38"/>
      <c r="B1085" s="36"/>
      <c r="C1085" s="38"/>
      <c r="D1085" s="38"/>
      <c r="E1085" s="38"/>
      <c r="F1085" s="38"/>
      <c r="G1085" s="38"/>
      <c r="H1085" s="38"/>
      <c r="I1085" s="38"/>
      <c r="J1085" s="60"/>
      <c r="K1085" s="56"/>
    </row>
    <row r="1086" spans="1:11" ht="20.05" customHeight="1" x14ac:dyDescent="0.2">
      <c r="A1086" s="38"/>
      <c r="B1086" s="36"/>
      <c r="C1086" s="38"/>
      <c r="D1086" s="38"/>
      <c r="E1086" s="38"/>
      <c r="F1086" s="38"/>
      <c r="G1086" s="38"/>
      <c r="H1086" s="38"/>
      <c r="I1086" s="38"/>
      <c r="J1086" s="60"/>
      <c r="K1086" s="56"/>
    </row>
    <row r="1087" spans="1:11" ht="20.05" customHeight="1" x14ac:dyDescent="0.2">
      <c r="A1087" s="38"/>
      <c r="B1087" s="36"/>
      <c r="C1087" s="38"/>
      <c r="D1087" s="38"/>
      <c r="E1087" s="38"/>
      <c r="F1087" s="38"/>
      <c r="G1087" s="38"/>
      <c r="H1087" s="38"/>
      <c r="I1087" s="38"/>
      <c r="J1087" s="60"/>
      <c r="K1087" s="56"/>
    </row>
    <row r="1088" spans="1:11" ht="20.05" customHeight="1" x14ac:dyDescent="0.2">
      <c r="A1088" s="38"/>
      <c r="B1088" s="36"/>
      <c r="C1088" s="38"/>
      <c r="D1088" s="38"/>
      <c r="E1088" s="38"/>
      <c r="F1088" s="38"/>
      <c r="G1088" s="38"/>
      <c r="H1088" s="38"/>
      <c r="I1088" s="38"/>
      <c r="J1088" s="60"/>
      <c r="K1088" s="56"/>
    </row>
    <row r="1089" spans="1:11" ht="20.05" customHeight="1" x14ac:dyDescent="0.2">
      <c r="A1089" s="38"/>
      <c r="B1089" s="36"/>
      <c r="C1089" s="38"/>
      <c r="D1089" s="38"/>
      <c r="E1089" s="38"/>
      <c r="F1089" s="38"/>
      <c r="G1089" s="38"/>
      <c r="H1089" s="38"/>
      <c r="I1089" s="38"/>
      <c r="J1089" s="60"/>
      <c r="K1089" s="56"/>
    </row>
    <row r="1090" spans="1:11" ht="20.05" customHeight="1" x14ac:dyDescent="0.2">
      <c r="A1090" s="38"/>
      <c r="B1090" s="36"/>
      <c r="C1090" s="38"/>
      <c r="D1090" s="38"/>
      <c r="E1090" s="38"/>
      <c r="F1090" s="38"/>
      <c r="G1090" s="38"/>
      <c r="H1090" s="38"/>
      <c r="I1090" s="38"/>
      <c r="J1090" s="60"/>
      <c r="K1090" s="56"/>
    </row>
    <row r="1091" spans="1:11" ht="20.05" customHeight="1" x14ac:dyDescent="0.2">
      <c r="A1091" s="38"/>
      <c r="B1091" s="36"/>
      <c r="C1091" s="38"/>
      <c r="D1091" s="38"/>
      <c r="E1091" s="38"/>
      <c r="F1091" s="38"/>
      <c r="G1091" s="38"/>
      <c r="H1091" s="38"/>
      <c r="I1091" s="38"/>
      <c r="J1091" s="60"/>
      <c r="K1091" s="56"/>
    </row>
    <row r="1092" spans="1:11" ht="20.05" customHeight="1" x14ac:dyDescent="0.2">
      <c r="A1092" s="38"/>
      <c r="B1092" s="36"/>
      <c r="C1092" s="38"/>
      <c r="D1092" s="38"/>
      <c r="E1092" s="38"/>
      <c r="F1092" s="38"/>
      <c r="G1092" s="38"/>
      <c r="H1092" s="38"/>
      <c r="I1092" s="38"/>
      <c r="J1092" s="60"/>
      <c r="K1092" s="56"/>
    </row>
    <row r="1093" spans="1:11" ht="20.05" customHeight="1" x14ac:dyDescent="0.2">
      <c r="A1093" s="38"/>
      <c r="B1093" s="36"/>
      <c r="C1093" s="38"/>
      <c r="D1093" s="38"/>
      <c r="E1093" s="38"/>
      <c r="F1093" s="38"/>
      <c r="G1093" s="38"/>
      <c r="H1093" s="38"/>
      <c r="I1093" s="38"/>
      <c r="J1093" s="60"/>
      <c r="K1093" s="56"/>
    </row>
    <row r="1094" spans="1:11" ht="20.05" customHeight="1" x14ac:dyDescent="0.2">
      <c r="A1094" s="38"/>
      <c r="B1094" s="36"/>
      <c r="C1094" s="38"/>
      <c r="D1094" s="38"/>
      <c r="E1094" s="38"/>
      <c r="F1094" s="38"/>
      <c r="G1094" s="38"/>
      <c r="H1094" s="38"/>
      <c r="I1094" s="38"/>
      <c r="J1094" s="60"/>
      <c r="K1094" s="56"/>
    </row>
    <row r="1095" spans="1:11" ht="20.05" customHeight="1" x14ac:dyDescent="0.2">
      <c r="A1095" s="38"/>
      <c r="B1095" s="36"/>
      <c r="C1095" s="38"/>
      <c r="D1095" s="38"/>
      <c r="E1095" s="38"/>
      <c r="F1095" s="38"/>
      <c r="G1095" s="38"/>
      <c r="H1095" s="38"/>
      <c r="I1095" s="38"/>
      <c r="J1095" s="60"/>
      <c r="K1095" s="56"/>
    </row>
    <row r="1096" spans="1:11" ht="20.05" customHeight="1" x14ac:dyDescent="0.2">
      <c r="A1096" s="38"/>
      <c r="B1096" s="36"/>
      <c r="C1096" s="38"/>
      <c r="D1096" s="38"/>
      <c r="E1096" s="38"/>
      <c r="F1096" s="38"/>
      <c r="G1096" s="38"/>
      <c r="H1096" s="38"/>
      <c r="I1096" s="38"/>
      <c r="J1096" s="60"/>
      <c r="K1096" s="56"/>
    </row>
    <row r="1097" spans="1:11" ht="20.05" customHeight="1" x14ac:dyDescent="0.2">
      <c r="A1097" s="38"/>
      <c r="B1097" s="36"/>
      <c r="C1097" s="38"/>
      <c r="D1097" s="38"/>
      <c r="E1097" s="38"/>
      <c r="F1097" s="38"/>
      <c r="G1097" s="38"/>
      <c r="H1097" s="38"/>
      <c r="I1097" s="38"/>
      <c r="J1097" s="60"/>
      <c r="K1097" s="56"/>
    </row>
    <row r="1098" spans="1:11" ht="20.05" customHeight="1" x14ac:dyDescent="0.2">
      <c r="A1098" s="38"/>
      <c r="B1098" s="36"/>
      <c r="C1098" s="38"/>
      <c r="D1098" s="38"/>
      <c r="E1098" s="38"/>
      <c r="F1098" s="38"/>
      <c r="G1098" s="38"/>
      <c r="H1098" s="38"/>
      <c r="I1098" s="38"/>
      <c r="J1098" s="60"/>
      <c r="K1098" s="56"/>
    </row>
    <row r="1099" spans="1:11" ht="20.05" customHeight="1" x14ac:dyDescent="0.2">
      <c r="A1099" s="38"/>
      <c r="B1099" s="36"/>
      <c r="C1099" s="38"/>
      <c r="D1099" s="38"/>
      <c r="E1099" s="38"/>
      <c r="F1099" s="38"/>
      <c r="G1099" s="38"/>
      <c r="H1099" s="38"/>
      <c r="I1099" s="38"/>
      <c r="J1099" s="60"/>
      <c r="K1099" s="56"/>
    </row>
    <row r="1100" spans="1:11" ht="20.05" customHeight="1" x14ac:dyDescent="0.2">
      <c r="A1100" s="38"/>
      <c r="B1100" s="36"/>
      <c r="C1100" s="38"/>
      <c r="D1100" s="38"/>
      <c r="E1100" s="38"/>
      <c r="F1100" s="38"/>
      <c r="G1100" s="38"/>
      <c r="H1100" s="38"/>
      <c r="I1100" s="38"/>
      <c r="J1100" s="60"/>
      <c r="K1100" s="56"/>
    </row>
    <row r="1101" spans="1:11" ht="20.05" customHeight="1" x14ac:dyDescent="0.2">
      <c r="A1101" s="38"/>
      <c r="B1101" s="36"/>
      <c r="C1101" s="38"/>
      <c r="D1101" s="38"/>
      <c r="E1101" s="38"/>
      <c r="F1101" s="38"/>
      <c r="G1101" s="38"/>
      <c r="H1101" s="38"/>
      <c r="I1101" s="38"/>
      <c r="J1101" s="60"/>
      <c r="K1101" s="56"/>
    </row>
    <row r="1102" spans="1:11" ht="20.05" customHeight="1" x14ac:dyDescent="0.2">
      <c r="A1102" s="38"/>
      <c r="B1102" s="36"/>
      <c r="C1102" s="38"/>
      <c r="D1102" s="38"/>
      <c r="E1102" s="38"/>
      <c r="F1102" s="38"/>
      <c r="G1102" s="38"/>
      <c r="H1102" s="38"/>
      <c r="I1102" s="38"/>
      <c r="J1102" s="60"/>
      <c r="K1102" s="56"/>
    </row>
    <row r="1103" spans="1:11" ht="20.05" customHeight="1" x14ac:dyDescent="0.2">
      <c r="A1103" s="38"/>
      <c r="B1103" s="36"/>
      <c r="C1103" s="38"/>
      <c r="D1103" s="38"/>
      <c r="E1103" s="38"/>
      <c r="F1103" s="38"/>
      <c r="G1103" s="38"/>
      <c r="H1103" s="38"/>
      <c r="I1103" s="38"/>
      <c r="J1103" s="60"/>
      <c r="K1103" s="56"/>
    </row>
    <row r="1104" spans="1:11" ht="20.05" customHeight="1" x14ac:dyDescent="0.2">
      <c r="A1104" s="38"/>
      <c r="B1104" s="36"/>
      <c r="C1104" s="38"/>
      <c r="D1104" s="38"/>
      <c r="E1104" s="38"/>
      <c r="F1104" s="38"/>
      <c r="G1104" s="38"/>
      <c r="H1104" s="38"/>
      <c r="I1104" s="38"/>
      <c r="J1104" s="60"/>
      <c r="K1104" s="56"/>
    </row>
    <row r="1105" spans="1:11" ht="20.05" customHeight="1" x14ac:dyDescent="0.2">
      <c r="A1105" s="38"/>
      <c r="B1105" s="36"/>
      <c r="C1105" s="38"/>
      <c r="D1105" s="38"/>
      <c r="E1105" s="38"/>
      <c r="F1105" s="38"/>
      <c r="G1105" s="38"/>
      <c r="H1105" s="38"/>
      <c r="I1105" s="38"/>
      <c r="J1105" s="60"/>
      <c r="K1105" s="56"/>
    </row>
    <row r="1106" spans="1:11" ht="20.05" customHeight="1" x14ac:dyDescent="0.2">
      <c r="A1106" s="38"/>
      <c r="B1106" s="36"/>
      <c r="C1106" s="38"/>
      <c r="D1106" s="38"/>
      <c r="E1106" s="38"/>
      <c r="F1106" s="38"/>
      <c r="G1106" s="38"/>
      <c r="H1106" s="38"/>
      <c r="I1106" s="38"/>
      <c r="J1106" s="60"/>
      <c r="K1106" s="56"/>
    </row>
    <row r="1107" spans="1:11" ht="20.05" customHeight="1" x14ac:dyDescent="0.2">
      <c r="A1107" s="38"/>
      <c r="B1107" s="36"/>
      <c r="C1107" s="38"/>
      <c r="D1107" s="38"/>
      <c r="E1107" s="38"/>
      <c r="F1107" s="38"/>
      <c r="G1107" s="38"/>
      <c r="H1107" s="38"/>
      <c r="I1107" s="38"/>
      <c r="J1107" s="60"/>
      <c r="K1107" s="56"/>
    </row>
    <row r="1108" spans="1:11" ht="20.05" customHeight="1" x14ac:dyDescent="0.2">
      <c r="A1108" s="38"/>
      <c r="B1108" s="36"/>
      <c r="C1108" s="38"/>
      <c r="D1108" s="38"/>
      <c r="E1108" s="38"/>
      <c r="F1108" s="38"/>
      <c r="G1108" s="38"/>
      <c r="H1108" s="38"/>
      <c r="I1108" s="38"/>
      <c r="J1108" s="60"/>
      <c r="K1108" s="56"/>
    </row>
    <row r="1109" spans="1:11" ht="20.05" customHeight="1" x14ac:dyDescent="0.2">
      <c r="A1109" s="38"/>
      <c r="B1109" s="36"/>
      <c r="C1109" s="38"/>
      <c r="D1109" s="38"/>
      <c r="E1109" s="38"/>
      <c r="F1109" s="38"/>
      <c r="G1109" s="38"/>
      <c r="H1109" s="38"/>
      <c r="I1109" s="38"/>
      <c r="J1109" s="60"/>
      <c r="K1109" s="56"/>
    </row>
    <row r="1110" spans="1:11" ht="20.05" customHeight="1" x14ac:dyDescent="0.2">
      <c r="A1110" s="38"/>
      <c r="B1110" s="36"/>
      <c r="C1110" s="38"/>
      <c r="D1110" s="38"/>
      <c r="E1110" s="38"/>
      <c r="F1110" s="38"/>
      <c r="G1110" s="38"/>
      <c r="H1110" s="38"/>
      <c r="I1110" s="38"/>
      <c r="J1110" s="60"/>
      <c r="K1110" s="56"/>
    </row>
    <row r="1111" spans="1:11" ht="20.05" customHeight="1" x14ac:dyDescent="0.2">
      <c r="A1111" s="38"/>
      <c r="B1111" s="36"/>
      <c r="C1111" s="38"/>
      <c r="D1111" s="38"/>
      <c r="E1111" s="38"/>
      <c r="F1111" s="38"/>
      <c r="G1111" s="38"/>
      <c r="H1111" s="38"/>
      <c r="I1111" s="38"/>
      <c r="J1111" s="60"/>
      <c r="K1111" s="56"/>
    </row>
    <row r="1112" spans="1:11" ht="20.05" customHeight="1" x14ac:dyDescent="0.2">
      <c r="A1112" s="38"/>
      <c r="B1112" s="36"/>
      <c r="C1112" s="38"/>
      <c r="D1112" s="38"/>
      <c r="E1112" s="38"/>
      <c r="F1112" s="38"/>
      <c r="G1112" s="38"/>
      <c r="H1112" s="38"/>
      <c r="I1112" s="38"/>
      <c r="J1112" s="60"/>
      <c r="K1112" s="56"/>
    </row>
    <row r="1113" spans="1:11" ht="20.05" customHeight="1" x14ac:dyDescent="0.2">
      <c r="A1113" s="38"/>
      <c r="B1113" s="36"/>
      <c r="C1113" s="38"/>
      <c r="D1113" s="38"/>
      <c r="E1113" s="38"/>
      <c r="F1113" s="38"/>
      <c r="G1113" s="38"/>
      <c r="H1113" s="38"/>
      <c r="I1113" s="38"/>
      <c r="J1113" s="60"/>
      <c r="K1113" s="56"/>
    </row>
    <row r="1114" spans="1:11" ht="20.05" customHeight="1" x14ac:dyDescent="0.2">
      <c r="A1114" s="38"/>
      <c r="B1114" s="36"/>
      <c r="C1114" s="38"/>
      <c r="D1114" s="38"/>
      <c r="E1114" s="38"/>
      <c r="F1114" s="38"/>
      <c r="G1114" s="38"/>
      <c r="H1114" s="38"/>
      <c r="I1114" s="38"/>
      <c r="J1114" s="60"/>
      <c r="K1114" s="56"/>
    </row>
    <row r="1115" spans="1:11" ht="20.05" customHeight="1" x14ac:dyDescent="0.2">
      <c r="A1115" s="38"/>
      <c r="B1115" s="36"/>
      <c r="C1115" s="38"/>
      <c r="D1115" s="38"/>
      <c r="E1115" s="38"/>
      <c r="F1115" s="38"/>
      <c r="G1115" s="38"/>
      <c r="H1115" s="38"/>
      <c r="I1115" s="38"/>
      <c r="J1115" s="60"/>
      <c r="K1115" s="56"/>
    </row>
    <row r="1116" spans="1:11" ht="20.05" customHeight="1" x14ac:dyDescent="0.2">
      <c r="A1116" s="38"/>
      <c r="B1116" s="36"/>
      <c r="C1116" s="38"/>
      <c r="D1116" s="38"/>
      <c r="E1116" s="38"/>
      <c r="F1116" s="38"/>
      <c r="G1116" s="38"/>
      <c r="H1116" s="38"/>
      <c r="I1116" s="38"/>
      <c r="J1116" s="60"/>
      <c r="K1116" s="56"/>
    </row>
    <row r="1117" spans="1:11" ht="20.05" customHeight="1" x14ac:dyDescent="0.2">
      <c r="A1117" s="38"/>
      <c r="B1117" s="36"/>
      <c r="C1117" s="38"/>
      <c r="D1117" s="38"/>
      <c r="E1117" s="38"/>
      <c r="F1117" s="38"/>
      <c r="G1117" s="38"/>
      <c r="H1117" s="38"/>
      <c r="I1117" s="38"/>
      <c r="J1117" s="60"/>
      <c r="K1117" s="56"/>
    </row>
    <row r="1118" spans="1:11" ht="20.05" customHeight="1" x14ac:dyDescent="0.2">
      <c r="A1118" s="38"/>
      <c r="B1118" s="36"/>
      <c r="C1118" s="38"/>
      <c r="D1118" s="38"/>
      <c r="E1118" s="38"/>
      <c r="F1118" s="38"/>
      <c r="G1118" s="38"/>
      <c r="H1118" s="38"/>
      <c r="I1118" s="38"/>
      <c r="J1118" s="60"/>
      <c r="K1118" s="56"/>
    </row>
    <row r="1119" spans="1:11" ht="20.05" customHeight="1" x14ac:dyDescent="0.2">
      <c r="A1119" s="38"/>
      <c r="B1119" s="36"/>
      <c r="C1119" s="38"/>
      <c r="D1119" s="38"/>
      <c r="E1119" s="38"/>
      <c r="F1119" s="38"/>
      <c r="G1119" s="38"/>
      <c r="H1119" s="38"/>
      <c r="I1119" s="38"/>
      <c r="J1119" s="60"/>
      <c r="K1119" s="56"/>
    </row>
    <row r="1120" spans="1:11" ht="20.05" customHeight="1" x14ac:dyDescent="0.2">
      <c r="A1120" s="38"/>
      <c r="B1120" s="36"/>
      <c r="C1120" s="38"/>
      <c r="D1120" s="38"/>
      <c r="E1120" s="38"/>
      <c r="F1120" s="38"/>
      <c r="G1120" s="38"/>
      <c r="H1120" s="38"/>
      <c r="I1120" s="38"/>
      <c r="J1120" s="60"/>
      <c r="K1120" s="56"/>
    </row>
    <row r="1121" spans="1:11" ht="20.05" customHeight="1" x14ac:dyDescent="0.2">
      <c r="A1121" s="38"/>
      <c r="B1121" s="36"/>
      <c r="C1121" s="38"/>
      <c r="D1121" s="38"/>
      <c r="E1121" s="38"/>
      <c r="F1121" s="38"/>
      <c r="G1121" s="38"/>
      <c r="H1121" s="38"/>
      <c r="I1121" s="38"/>
      <c r="J1121" s="60"/>
      <c r="K1121" s="56"/>
    </row>
    <row r="1122" spans="1:11" ht="20.05" customHeight="1" x14ac:dyDescent="0.2">
      <c r="A1122" s="38"/>
      <c r="B1122" s="36"/>
      <c r="C1122" s="38"/>
      <c r="D1122" s="38"/>
      <c r="E1122" s="38"/>
      <c r="F1122" s="38"/>
      <c r="G1122" s="38"/>
      <c r="H1122" s="38"/>
      <c r="I1122" s="38"/>
      <c r="J1122" s="60"/>
      <c r="K1122" s="56"/>
    </row>
    <row r="1123" spans="1:11" ht="20.05" customHeight="1" x14ac:dyDescent="0.2">
      <c r="A1123" s="38"/>
      <c r="B1123" s="36"/>
      <c r="C1123" s="38"/>
      <c r="D1123" s="38"/>
      <c r="E1123" s="38"/>
      <c r="F1123" s="38"/>
      <c r="G1123" s="38"/>
      <c r="H1123" s="38"/>
      <c r="I1123" s="38"/>
      <c r="J1123" s="60"/>
      <c r="K1123" s="56"/>
    </row>
    <row r="1124" spans="1:11" ht="20.05" customHeight="1" x14ac:dyDescent="0.2">
      <c r="A1124" s="38"/>
      <c r="B1124" s="36"/>
      <c r="C1124" s="38"/>
      <c r="D1124" s="38"/>
      <c r="E1124" s="38"/>
      <c r="F1124" s="38"/>
      <c r="G1124" s="38"/>
      <c r="H1124" s="38"/>
      <c r="I1124" s="38"/>
      <c r="J1124" s="60"/>
      <c r="K1124" s="56"/>
    </row>
    <row r="1125" spans="1:11" ht="20.05" customHeight="1" x14ac:dyDescent="0.2">
      <c r="A1125" s="38"/>
      <c r="B1125" s="36"/>
      <c r="C1125" s="38"/>
      <c r="D1125" s="38"/>
      <c r="E1125" s="38"/>
      <c r="F1125" s="38"/>
      <c r="G1125" s="38"/>
      <c r="H1125" s="38"/>
      <c r="I1125" s="38"/>
      <c r="J1125" s="60"/>
      <c r="K1125" s="56"/>
    </row>
    <row r="1126" spans="1:11" ht="20.05" customHeight="1" x14ac:dyDescent="0.2">
      <c r="A1126" s="38"/>
      <c r="B1126" s="36"/>
      <c r="C1126" s="38"/>
      <c r="D1126" s="38"/>
      <c r="E1126" s="38"/>
      <c r="F1126" s="38"/>
      <c r="G1126" s="38"/>
      <c r="H1126" s="38"/>
      <c r="I1126" s="38"/>
      <c r="J1126" s="60"/>
      <c r="K1126" s="56"/>
    </row>
    <row r="1127" spans="1:11" ht="20.05" customHeight="1" x14ac:dyDescent="0.2">
      <c r="A1127" s="38"/>
      <c r="B1127" s="36"/>
      <c r="C1127" s="38"/>
      <c r="D1127" s="38"/>
      <c r="E1127" s="38"/>
      <c r="F1127" s="38"/>
      <c r="G1127" s="38"/>
      <c r="H1127" s="38"/>
      <c r="I1127" s="38"/>
      <c r="J1127" s="60"/>
      <c r="K1127" s="56"/>
    </row>
    <row r="1128" spans="1:11" ht="20.05" customHeight="1" x14ac:dyDescent="0.2">
      <c r="A1128" s="38"/>
      <c r="B1128" s="36"/>
      <c r="C1128" s="38"/>
      <c r="D1128" s="38"/>
      <c r="E1128" s="38"/>
      <c r="F1128" s="38"/>
      <c r="G1128" s="38"/>
      <c r="H1128" s="38"/>
      <c r="I1128" s="38"/>
      <c r="J1128" s="60"/>
      <c r="K1128" s="56"/>
    </row>
    <row r="1129" spans="1:11" ht="20.05" customHeight="1" x14ac:dyDescent="0.2">
      <c r="A1129" s="38"/>
      <c r="B1129" s="36"/>
      <c r="C1129" s="38"/>
      <c r="D1129" s="38"/>
      <c r="E1129" s="38"/>
      <c r="F1129" s="38"/>
      <c r="G1129" s="38"/>
      <c r="H1129" s="38"/>
      <c r="I1129" s="38"/>
      <c r="J1129" s="60"/>
      <c r="K1129" s="56"/>
    </row>
    <row r="1130" spans="1:11" ht="20.05" customHeight="1" x14ac:dyDescent="0.2">
      <c r="A1130" s="38"/>
      <c r="B1130" s="36"/>
      <c r="C1130" s="38"/>
      <c r="D1130" s="38"/>
      <c r="E1130" s="38"/>
      <c r="F1130" s="38"/>
      <c r="G1130" s="38"/>
      <c r="H1130" s="38"/>
      <c r="I1130" s="38"/>
      <c r="J1130" s="60"/>
      <c r="K1130" s="56"/>
    </row>
    <row r="1131" spans="1:11" ht="20.05" customHeight="1" x14ac:dyDescent="0.2">
      <c r="A1131" s="38"/>
      <c r="B1131" s="36"/>
      <c r="C1131" s="38"/>
      <c r="D1131" s="38"/>
      <c r="E1131" s="38"/>
      <c r="F1131" s="38"/>
      <c r="G1131" s="38"/>
      <c r="H1131" s="38"/>
      <c r="I1131" s="38"/>
      <c r="J1131" s="60"/>
      <c r="K1131" s="56"/>
    </row>
    <row r="1132" spans="1:11" ht="20.05" customHeight="1" x14ac:dyDescent="0.2">
      <c r="A1132" s="38"/>
      <c r="B1132" s="36"/>
      <c r="C1132" s="38"/>
      <c r="D1132" s="38"/>
      <c r="E1132" s="38"/>
      <c r="F1132" s="38"/>
      <c r="G1132" s="38"/>
      <c r="H1132" s="38"/>
      <c r="I1132" s="38"/>
      <c r="J1132" s="60"/>
      <c r="K1132" s="56"/>
    </row>
    <row r="1133" spans="1:11" ht="20.05" customHeight="1" x14ac:dyDescent="0.2">
      <c r="A1133" s="38"/>
      <c r="B1133" s="36"/>
      <c r="C1133" s="38"/>
      <c r="D1133" s="38"/>
      <c r="E1133" s="38"/>
      <c r="F1133" s="38"/>
      <c r="G1133" s="38"/>
      <c r="H1133" s="38"/>
      <c r="I1133" s="38"/>
      <c r="J1133" s="60"/>
      <c r="K1133" s="56"/>
    </row>
    <row r="1134" spans="1:11" ht="20.05" customHeight="1" x14ac:dyDescent="0.2">
      <c r="A1134" s="38"/>
      <c r="B1134" s="36"/>
      <c r="C1134" s="38"/>
      <c r="D1134" s="38"/>
      <c r="E1134" s="38"/>
      <c r="F1134" s="38"/>
      <c r="G1134" s="38"/>
      <c r="H1134" s="38"/>
      <c r="I1134" s="38"/>
      <c r="J1134" s="60"/>
      <c r="K1134" s="56"/>
    </row>
    <row r="1135" spans="1:11" ht="20.05" customHeight="1" x14ac:dyDescent="0.2">
      <c r="A1135" s="38"/>
      <c r="B1135" s="36"/>
      <c r="C1135" s="38"/>
      <c r="D1135" s="38"/>
      <c r="E1135" s="38"/>
      <c r="F1135" s="38"/>
      <c r="G1135" s="38"/>
      <c r="H1135" s="38"/>
      <c r="I1135" s="38"/>
      <c r="J1135" s="60"/>
      <c r="K1135" s="56"/>
    </row>
    <row r="1136" spans="1:11" ht="20.05" customHeight="1" x14ac:dyDescent="0.2">
      <c r="A1136" s="38"/>
      <c r="B1136" s="36"/>
      <c r="C1136" s="38"/>
      <c r="D1136" s="38"/>
      <c r="E1136" s="38"/>
      <c r="F1136" s="38"/>
      <c r="G1136" s="38"/>
      <c r="H1136" s="38"/>
      <c r="I1136" s="38"/>
      <c r="J1136" s="60"/>
      <c r="K1136" s="56"/>
    </row>
    <row r="1137" spans="1:11" ht="20.05" customHeight="1" x14ac:dyDescent="0.2">
      <c r="A1137" s="38"/>
      <c r="B1137" s="36"/>
      <c r="C1137" s="38"/>
      <c r="D1137" s="38"/>
      <c r="E1137" s="38"/>
      <c r="F1137" s="38"/>
      <c r="G1137" s="38"/>
      <c r="H1137" s="38"/>
      <c r="I1137" s="38"/>
      <c r="J1137" s="60"/>
      <c r="K1137" s="56"/>
    </row>
    <row r="1138" spans="1:11" ht="20.05" customHeight="1" x14ac:dyDescent="0.2">
      <c r="A1138" s="38"/>
      <c r="B1138" s="36"/>
      <c r="C1138" s="38"/>
      <c r="D1138" s="38"/>
      <c r="E1138" s="38"/>
      <c r="F1138" s="38"/>
      <c r="G1138" s="38"/>
      <c r="H1138" s="38"/>
      <c r="I1138" s="38"/>
      <c r="J1138" s="60"/>
      <c r="K1138" s="56"/>
    </row>
    <row r="1139" spans="1:11" ht="20.05" customHeight="1" x14ac:dyDescent="0.2">
      <c r="A1139" s="38"/>
      <c r="B1139" s="36"/>
      <c r="C1139" s="38"/>
      <c r="D1139" s="38"/>
      <c r="E1139" s="38"/>
      <c r="F1139" s="38"/>
      <c r="G1139" s="38"/>
      <c r="H1139" s="38"/>
      <c r="I1139" s="38"/>
      <c r="J1139" s="60"/>
      <c r="K1139" s="56"/>
    </row>
    <row r="1140" spans="1:11" ht="20.05" customHeight="1" x14ac:dyDescent="0.2">
      <c r="A1140" s="38"/>
      <c r="B1140" s="36"/>
      <c r="C1140" s="38"/>
      <c r="D1140" s="38"/>
      <c r="E1140" s="38"/>
      <c r="F1140" s="38"/>
      <c r="G1140" s="38"/>
      <c r="H1140" s="38"/>
      <c r="I1140" s="38"/>
      <c r="J1140" s="60"/>
      <c r="K1140" s="56"/>
    </row>
    <row r="1141" spans="1:11" ht="20.05" customHeight="1" x14ac:dyDescent="0.2">
      <c r="A1141" s="38"/>
      <c r="B1141" s="36"/>
      <c r="C1141" s="38"/>
      <c r="D1141" s="38"/>
      <c r="E1141" s="38"/>
      <c r="F1141" s="38"/>
      <c r="G1141" s="38"/>
      <c r="H1141" s="38"/>
      <c r="I1141" s="38"/>
      <c r="J1141" s="60"/>
      <c r="K1141" s="56"/>
    </row>
    <row r="1142" spans="1:11" ht="20.05" customHeight="1" x14ac:dyDescent="0.2">
      <c r="A1142" s="38"/>
      <c r="B1142" s="36"/>
      <c r="C1142" s="38"/>
      <c r="D1142" s="38"/>
      <c r="E1142" s="38"/>
      <c r="F1142" s="38"/>
      <c r="G1142" s="38"/>
      <c r="H1142" s="38"/>
      <c r="I1142" s="38"/>
      <c r="J1142" s="60"/>
      <c r="K1142" s="56"/>
    </row>
    <row r="1143" spans="1:11" ht="20.05" customHeight="1" x14ac:dyDescent="0.2">
      <c r="A1143" s="38"/>
      <c r="B1143" s="36"/>
      <c r="C1143" s="38"/>
      <c r="D1143" s="38"/>
      <c r="E1143" s="38"/>
      <c r="F1143" s="38"/>
      <c r="G1143" s="38"/>
      <c r="H1143" s="38"/>
      <c r="I1143" s="38"/>
      <c r="J1143" s="60"/>
      <c r="K1143" s="56"/>
    </row>
    <row r="1144" spans="1:11" ht="20.05" customHeight="1" x14ac:dyDescent="0.2">
      <c r="A1144" s="38"/>
      <c r="B1144" s="36"/>
      <c r="C1144" s="38"/>
      <c r="D1144" s="38"/>
      <c r="E1144" s="38"/>
      <c r="F1144" s="38"/>
      <c r="G1144" s="38"/>
      <c r="H1144" s="38"/>
      <c r="I1144" s="38"/>
      <c r="J1144" s="60"/>
      <c r="K1144" s="56"/>
    </row>
    <row r="1145" spans="1:11" ht="20.05" customHeight="1" x14ac:dyDescent="0.2">
      <c r="A1145" s="38"/>
      <c r="B1145" s="36"/>
      <c r="C1145" s="38"/>
      <c r="D1145" s="38"/>
      <c r="E1145" s="38"/>
      <c r="F1145" s="38"/>
      <c r="G1145" s="38"/>
      <c r="H1145" s="38"/>
      <c r="I1145" s="38"/>
      <c r="J1145" s="60"/>
      <c r="K1145" s="56"/>
    </row>
    <row r="1146" spans="1:11" ht="20.05" customHeight="1" x14ac:dyDescent="0.2">
      <c r="A1146" s="38"/>
      <c r="B1146" s="36"/>
      <c r="C1146" s="38"/>
      <c r="D1146" s="38"/>
      <c r="E1146" s="38"/>
      <c r="F1146" s="38"/>
      <c r="G1146" s="38"/>
      <c r="H1146" s="38"/>
      <c r="I1146" s="38"/>
      <c r="J1146" s="60"/>
      <c r="K1146" s="56"/>
    </row>
    <row r="1147" spans="1:11" ht="20.05" customHeight="1" x14ac:dyDescent="0.2">
      <c r="A1147" s="38"/>
      <c r="B1147" s="36"/>
      <c r="C1147" s="38"/>
      <c r="D1147" s="38"/>
      <c r="E1147" s="38"/>
      <c r="F1147" s="38"/>
      <c r="G1147" s="38"/>
      <c r="H1147" s="38"/>
      <c r="I1147" s="38"/>
      <c r="J1147" s="60"/>
      <c r="K1147" s="56"/>
    </row>
    <row r="1148" spans="1:11" ht="20.05" customHeight="1" x14ac:dyDescent="0.2">
      <c r="A1148" s="38"/>
      <c r="B1148" s="36"/>
      <c r="C1148" s="38"/>
      <c r="D1148" s="38"/>
      <c r="E1148" s="38"/>
      <c r="F1148" s="38"/>
      <c r="G1148" s="38"/>
      <c r="H1148" s="38"/>
      <c r="I1148" s="38"/>
      <c r="J1148" s="60"/>
      <c r="K1148" s="56"/>
    </row>
    <row r="1149" spans="1:11" ht="20.05" customHeight="1" x14ac:dyDescent="0.2">
      <c r="A1149" s="38"/>
      <c r="B1149" s="36"/>
      <c r="C1149" s="38"/>
      <c r="D1149" s="38"/>
      <c r="E1149" s="38"/>
      <c r="F1149" s="38"/>
      <c r="G1149" s="38"/>
      <c r="H1149" s="38"/>
      <c r="I1149" s="38"/>
      <c r="J1149" s="60"/>
      <c r="K1149" s="56"/>
    </row>
    <row r="1150" spans="1:11" ht="20.05" customHeight="1" x14ac:dyDescent="0.2">
      <c r="A1150" s="38"/>
      <c r="B1150" s="36"/>
      <c r="C1150" s="38"/>
      <c r="D1150" s="38"/>
      <c r="E1150" s="38"/>
      <c r="F1150" s="38"/>
      <c r="G1150" s="38"/>
      <c r="H1150" s="38"/>
      <c r="I1150" s="38"/>
      <c r="J1150" s="60"/>
      <c r="K1150" s="56"/>
    </row>
    <row r="1151" spans="1:11" ht="20.05" customHeight="1" x14ac:dyDescent="0.2">
      <c r="A1151" s="38"/>
      <c r="B1151" s="36"/>
      <c r="C1151" s="38"/>
      <c r="D1151" s="38"/>
      <c r="E1151" s="38"/>
      <c r="F1151" s="38"/>
      <c r="G1151" s="38"/>
      <c r="H1151" s="38"/>
      <c r="I1151" s="38"/>
      <c r="J1151" s="60"/>
      <c r="K1151" s="56"/>
    </row>
    <row r="1152" spans="1:11" ht="20.05" customHeight="1" x14ac:dyDescent="0.2">
      <c r="A1152" s="38"/>
      <c r="B1152" s="36"/>
      <c r="C1152" s="38"/>
      <c r="D1152" s="38"/>
      <c r="E1152" s="38"/>
      <c r="F1152" s="38"/>
      <c r="G1152" s="38"/>
      <c r="H1152" s="38"/>
      <c r="I1152" s="38"/>
      <c r="J1152" s="60"/>
      <c r="K1152" s="56"/>
    </row>
    <row r="1153" spans="1:11" ht="20.05" customHeight="1" x14ac:dyDescent="0.2">
      <c r="A1153" s="38"/>
      <c r="B1153" s="36"/>
      <c r="C1153" s="38"/>
      <c r="D1153" s="38"/>
      <c r="E1153" s="38"/>
      <c r="F1153" s="38"/>
      <c r="G1153" s="38"/>
      <c r="H1153" s="38"/>
      <c r="I1153" s="38"/>
      <c r="J1153" s="60"/>
      <c r="K1153" s="56"/>
    </row>
    <row r="1154" spans="1:11" ht="20.05" customHeight="1" x14ac:dyDescent="0.2">
      <c r="A1154" s="38"/>
      <c r="B1154" s="36"/>
      <c r="C1154" s="38"/>
      <c r="D1154" s="38"/>
      <c r="E1154" s="38"/>
      <c r="F1154" s="38"/>
      <c r="G1154" s="38"/>
      <c r="H1154" s="38"/>
      <c r="I1154" s="38"/>
      <c r="J1154" s="60"/>
      <c r="K1154" s="56"/>
    </row>
    <row r="1155" spans="1:11" ht="20.05" customHeight="1" x14ac:dyDescent="0.2">
      <c r="A1155" s="38"/>
      <c r="B1155" s="36"/>
      <c r="C1155" s="38"/>
      <c r="D1155" s="38"/>
      <c r="E1155" s="38"/>
      <c r="F1155" s="38"/>
      <c r="G1155" s="38"/>
      <c r="H1155" s="38"/>
      <c r="I1155" s="38"/>
      <c r="J1155" s="60"/>
      <c r="K1155" s="56"/>
    </row>
    <row r="1156" spans="1:11" ht="20.05" customHeight="1" x14ac:dyDescent="0.2">
      <c r="A1156" s="38"/>
      <c r="B1156" s="36"/>
      <c r="C1156" s="38"/>
      <c r="D1156" s="38"/>
      <c r="E1156" s="38"/>
      <c r="F1156" s="38"/>
      <c r="G1156" s="38"/>
      <c r="H1156" s="38"/>
      <c r="I1156" s="38"/>
      <c r="J1156" s="60"/>
      <c r="K1156" s="56"/>
    </row>
    <row r="1157" spans="1:11" ht="20.05" customHeight="1" x14ac:dyDescent="0.2">
      <c r="A1157" s="38"/>
      <c r="B1157" s="36"/>
      <c r="C1157" s="38"/>
      <c r="D1157" s="38"/>
      <c r="E1157" s="38"/>
      <c r="F1157" s="38"/>
      <c r="G1157" s="38"/>
      <c r="H1157" s="38"/>
      <c r="I1157" s="38"/>
      <c r="J1157" s="60"/>
      <c r="K1157" s="56"/>
    </row>
    <row r="1158" spans="1:11" ht="20.05" customHeight="1" x14ac:dyDescent="0.2">
      <c r="A1158" s="38"/>
      <c r="B1158" s="36"/>
      <c r="C1158" s="38"/>
      <c r="D1158" s="38"/>
      <c r="E1158" s="38"/>
      <c r="F1158" s="38"/>
      <c r="G1158" s="38"/>
      <c r="H1158" s="38"/>
      <c r="I1158" s="38"/>
      <c r="J1158" s="60"/>
      <c r="K1158" s="56"/>
    </row>
    <row r="1159" spans="1:11" ht="20.05" customHeight="1" x14ac:dyDescent="0.2">
      <c r="A1159" s="38"/>
      <c r="B1159" s="36"/>
      <c r="C1159" s="38"/>
      <c r="D1159" s="38"/>
      <c r="E1159" s="38"/>
      <c r="F1159" s="38"/>
      <c r="G1159" s="38"/>
      <c r="H1159" s="38"/>
      <c r="I1159" s="38"/>
      <c r="J1159" s="60"/>
      <c r="K1159" s="56"/>
    </row>
    <row r="1160" spans="1:11" ht="20.05" customHeight="1" x14ac:dyDescent="0.2">
      <c r="A1160" s="38"/>
      <c r="B1160" s="36"/>
      <c r="C1160" s="38"/>
      <c r="D1160" s="38"/>
      <c r="E1160" s="38"/>
      <c r="F1160" s="38"/>
      <c r="G1160" s="38"/>
      <c r="H1160" s="38"/>
      <c r="I1160" s="38"/>
      <c r="J1160" s="60"/>
      <c r="K1160" s="56"/>
    </row>
    <row r="1161" spans="1:11" ht="20.05" customHeight="1" x14ac:dyDescent="0.2">
      <c r="A1161" s="38"/>
      <c r="B1161" s="36"/>
      <c r="C1161" s="38"/>
      <c r="D1161" s="38"/>
      <c r="E1161" s="38"/>
      <c r="F1161" s="38"/>
      <c r="G1161" s="38"/>
      <c r="H1161" s="38"/>
      <c r="I1161" s="38"/>
      <c r="J1161" s="60"/>
      <c r="K1161" s="56"/>
    </row>
    <row r="1162" spans="1:11" ht="20.05" customHeight="1" x14ac:dyDescent="0.2">
      <c r="A1162" s="38"/>
      <c r="B1162" s="36"/>
      <c r="C1162" s="38"/>
      <c r="D1162" s="38"/>
      <c r="E1162" s="38"/>
      <c r="F1162" s="38"/>
      <c r="G1162" s="38"/>
      <c r="H1162" s="38"/>
      <c r="I1162" s="38"/>
      <c r="J1162" s="60"/>
      <c r="K1162" s="56"/>
    </row>
    <row r="1163" spans="1:11" ht="20.05" customHeight="1" x14ac:dyDescent="0.2">
      <c r="A1163" s="38"/>
      <c r="B1163" s="36"/>
      <c r="C1163" s="38"/>
      <c r="D1163" s="38"/>
      <c r="E1163" s="38"/>
      <c r="F1163" s="38"/>
      <c r="G1163" s="38"/>
      <c r="H1163" s="38"/>
      <c r="I1163" s="38"/>
      <c r="J1163" s="60"/>
      <c r="K1163" s="56"/>
    </row>
    <row r="1164" spans="1:11" ht="20.05" customHeight="1" x14ac:dyDescent="0.2">
      <c r="A1164" s="38"/>
      <c r="B1164" s="36"/>
      <c r="C1164" s="38"/>
      <c r="D1164" s="38"/>
      <c r="E1164" s="38"/>
      <c r="F1164" s="38"/>
      <c r="G1164" s="38"/>
      <c r="H1164" s="38"/>
      <c r="I1164" s="38"/>
      <c r="J1164" s="60"/>
      <c r="K1164" s="56"/>
    </row>
    <row r="1165" spans="1:11" ht="20.05" customHeight="1" x14ac:dyDescent="0.2">
      <c r="A1165" s="38"/>
      <c r="B1165" s="36"/>
      <c r="C1165" s="38"/>
      <c r="D1165" s="38"/>
      <c r="E1165" s="38"/>
      <c r="F1165" s="38"/>
      <c r="G1165" s="38"/>
      <c r="H1165" s="38"/>
      <c r="I1165" s="38"/>
      <c r="J1165" s="60"/>
      <c r="K1165" s="56"/>
    </row>
    <row r="1166" spans="1:11" ht="20.05" customHeight="1" x14ac:dyDescent="0.2">
      <c r="A1166" s="38"/>
      <c r="B1166" s="36"/>
      <c r="C1166" s="38"/>
      <c r="D1166" s="38"/>
      <c r="E1166" s="38"/>
      <c r="F1166" s="38"/>
      <c r="G1166" s="38"/>
      <c r="H1166" s="38"/>
      <c r="I1166" s="38"/>
      <c r="J1166" s="60"/>
      <c r="K1166" s="56"/>
    </row>
    <row r="1167" spans="1:11" ht="20.05" customHeight="1" x14ac:dyDescent="0.2">
      <c r="A1167" s="38"/>
      <c r="B1167" s="36"/>
      <c r="C1167" s="38"/>
      <c r="D1167" s="38"/>
      <c r="E1167" s="38"/>
      <c r="F1167" s="38"/>
      <c r="G1167" s="38"/>
      <c r="H1167" s="38"/>
      <c r="I1167" s="38"/>
      <c r="J1167" s="60"/>
      <c r="K1167" s="56"/>
    </row>
    <row r="1168" spans="1:11" ht="20.05" customHeight="1" x14ac:dyDescent="0.2">
      <c r="A1168" s="38"/>
      <c r="B1168" s="36"/>
      <c r="C1168" s="38"/>
      <c r="D1168" s="38"/>
      <c r="E1168" s="38"/>
      <c r="F1168" s="38"/>
      <c r="G1168" s="38"/>
      <c r="H1168" s="38"/>
      <c r="I1168" s="38"/>
      <c r="J1168" s="60"/>
      <c r="K1168" s="56"/>
    </row>
    <row r="1169" spans="1:11" ht="20.05" customHeight="1" x14ac:dyDescent="0.2">
      <c r="A1169" s="38"/>
      <c r="B1169" s="36"/>
      <c r="C1169" s="38"/>
      <c r="D1169" s="38"/>
      <c r="E1169" s="38"/>
      <c r="F1169" s="38"/>
      <c r="G1169" s="38"/>
      <c r="H1169" s="38"/>
      <c r="I1169" s="38"/>
      <c r="J1169" s="60"/>
      <c r="K1169" s="56"/>
    </row>
    <row r="1170" spans="1:11" ht="20.05" customHeight="1" x14ac:dyDescent="0.2">
      <c r="A1170" s="38"/>
      <c r="B1170" s="36"/>
      <c r="C1170" s="38"/>
      <c r="D1170" s="38"/>
      <c r="E1170" s="38"/>
      <c r="F1170" s="38"/>
      <c r="G1170" s="38"/>
      <c r="H1170" s="38"/>
      <c r="I1170" s="38"/>
      <c r="J1170" s="60"/>
      <c r="K1170" s="56"/>
    </row>
    <row r="1171" spans="1:11" ht="20.05" customHeight="1" x14ac:dyDescent="0.2">
      <c r="A1171" s="38"/>
      <c r="B1171" s="36"/>
      <c r="C1171" s="38"/>
      <c r="D1171" s="38"/>
      <c r="E1171" s="38"/>
      <c r="F1171" s="38"/>
      <c r="G1171" s="38"/>
      <c r="H1171" s="38"/>
      <c r="I1171" s="38"/>
      <c r="J1171" s="60"/>
      <c r="K1171" s="56"/>
    </row>
    <row r="1172" spans="1:11" ht="20.05" customHeight="1" x14ac:dyDescent="0.2">
      <c r="A1172" s="38"/>
      <c r="B1172" s="36"/>
      <c r="C1172" s="38"/>
      <c r="D1172" s="38"/>
      <c r="E1172" s="38"/>
      <c r="F1172" s="38"/>
      <c r="G1172" s="38"/>
      <c r="H1172" s="38"/>
      <c r="I1172" s="38"/>
      <c r="J1172" s="60"/>
      <c r="K1172" s="56"/>
    </row>
    <row r="1173" spans="1:11" ht="20.05" customHeight="1" x14ac:dyDescent="0.2">
      <c r="A1173" s="38"/>
      <c r="B1173" s="36"/>
      <c r="C1173" s="38"/>
      <c r="D1173" s="38"/>
      <c r="E1173" s="38"/>
      <c r="F1173" s="38"/>
      <c r="G1173" s="38"/>
      <c r="H1173" s="38"/>
      <c r="I1173" s="38"/>
      <c r="J1173" s="60"/>
      <c r="K1173" s="56"/>
    </row>
    <row r="1174" spans="1:11" ht="20.05" customHeight="1" x14ac:dyDescent="0.2">
      <c r="A1174" s="38"/>
      <c r="B1174" s="36"/>
      <c r="C1174" s="38"/>
      <c r="D1174" s="38"/>
      <c r="E1174" s="38"/>
      <c r="F1174" s="38"/>
      <c r="G1174" s="38"/>
      <c r="H1174" s="38"/>
      <c r="I1174" s="38"/>
      <c r="J1174" s="60"/>
      <c r="K1174" s="56"/>
    </row>
    <row r="1175" spans="1:11" ht="20.05" customHeight="1" x14ac:dyDescent="0.2">
      <c r="A1175" s="38"/>
      <c r="B1175" s="36"/>
      <c r="C1175" s="38"/>
      <c r="D1175" s="38"/>
      <c r="E1175" s="38"/>
      <c r="F1175" s="38"/>
      <c r="G1175" s="38"/>
      <c r="H1175" s="38"/>
      <c r="I1175" s="38"/>
      <c r="J1175" s="60"/>
      <c r="K1175" s="56"/>
    </row>
    <row r="1176" spans="1:11" ht="20.05" customHeight="1" x14ac:dyDescent="0.2">
      <c r="A1176" s="38"/>
      <c r="B1176" s="36"/>
      <c r="C1176" s="38"/>
      <c r="D1176" s="38"/>
      <c r="E1176" s="38"/>
      <c r="F1176" s="38"/>
      <c r="G1176" s="38"/>
      <c r="H1176" s="38"/>
      <c r="I1176" s="38"/>
      <c r="J1176" s="60"/>
      <c r="K1176" s="56"/>
    </row>
    <row r="1177" spans="1:11" ht="20.05" customHeight="1" x14ac:dyDescent="0.2">
      <c r="A1177" s="38"/>
      <c r="B1177" s="36"/>
      <c r="C1177" s="38"/>
      <c r="D1177" s="38"/>
      <c r="E1177" s="38"/>
      <c r="F1177" s="38"/>
      <c r="G1177" s="38"/>
      <c r="H1177" s="38"/>
      <c r="I1177" s="38"/>
      <c r="J1177" s="60"/>
      <c r="K1177" s="56"/>
    </row>
    <row r="1178" spans="1:11" ht="20.05" customHeight="1" x14ac:dyDescent="0.2">
      <c r="A1178" s="38"/>
      <c r="B1178" s="36"/>
      <c r="C1178" s="38"/>
      <c r="D1178" s="38"/>
      <c r="E1178" s="38"/>
      <c r="F1178" s="38"/>
      <c r="G1178" s="38"/>
      <c r="H1178" s="38"/>
      <c r="I1178" s="38"/>
      <c r="J1178" s="60"/>
      <c r="K1178" s="56"/>
    </row>
    <row r="1179" spans="1:11" ht="20.05" customHeight="1" x14ac:dyDescent="0.2">
      <c r="A1179" s="38"/>
      <c r="B1179" s="36"/>
      <c r="C1179" s="38"/>
      <c r="D1179" s="38"/>
      <c r="E1179" s="38"/>
      <c r="F1179" s="38"/>
      <c r="G1179" s="38"/>
      <c r="H1179" s="38"/>
      <c r="I1179" s="38"/>
      <c r="J1179" s="60"/>
      <c r="K1179" s="56"/>
    </row>
    <row r="1180" spans="1:11" ht="20.05" customHeight="1" x14ac:dyDescent="0.2">
      <c r="A1180" s="38"/>
      <c r="B1180" s="36"/>
      <c r="C1180" s="38"/>
      <c r="D1180" s="38"/>
      <c r="E1180" s="38"/>
      <c r="F1180" s="38"/>
      <c r="G1180" s="38"/>
      <c r="H1180" s="38"/>
      <c r="I1180" s="38"/>
      <c r="J1180" s="60"/>
      <c r="K1180" s="56"/>
    </row>
    <row r="1181" spans="1:11" ht="20.05" customHeight="1" x14ac:dyDescent="0.2">
      <c r="A1181" s="38"/>
      <c r="B1181" s="36"/>
      <c r="C1181" s="38"/>
      <c r="D1181" s="38"/>
      <c r="E1181" s="38"/>
      <c r="F1181" s="38"/>
      <c r="G1181" s="38"/>
      <c r="H1181" s="38"/>
      <c r="I1181" s="38"/>
      <c r="J1181" s="60"/>
      <c r="K1181" s="56"/>
    </row>
    <row r="1182" spans="1:11" ht="20.05" customHeight="1" x14ac:dyDescent="0.2">
      <c r="A1182" s="38"/>
      <c r="B1182" s="36"/>
      <c r="C1182" s="38"/>
      <c r="D1182" s="38"/>
      <c r="E1182" s="38"/>
      <c r="F1182" s="38"/>
      <c r="G1182" s="38"/>
      <c r="H1182" s="38"/>
      <c r="I1182" s="38"/>
      <c r="J1182" s="60"/>
      <c r="K1182" s="56"/>
    </row>
    <row r="1183" spans="1:11" ht="20.05" customHeight="1" x14ac:dyDescent="0.2">
      <c r="A1183" s="38"/>
      <c r="B1183" s="36"/>
      <c r="C1183" s="38"/>
      <c r="D1183" s="38"/>
      <c r="E1183" s="38"/>
      <c r="F1183" s="38"/>
      <c r="G1183" s="38"/>
      <c r="H1183" s="38"/>
      <c r="I1183" s="38"/>
      <c r="J1183" s="60"/>
      <c r="K1183" s="56"/>
    </row>
    <row r="1184" spans="1:11" ht="20.05" customHeight="1" x14ac:dyDescent="0.2">
      <c r="A1184" s="38"/>
      <c r="B1184" s="36"/>
      <c r="C1184" s="38"/>
      <c r="D1184" s="38"/>
      <c r="E1184" s="38"/>
      <c r="F1184" s="38"/>
      <c r="G1184" s="38"/>
      <c r="H1184" s="38"/>
      <c r="I1184" s="38"/>
      <c r="J1184" s="60"/>
      <c r="K1184" s="56"/>
    </row>
    <row r="1185" spans="1:11" ht="20.05" customHeight="1" x14ac:dyDescent="0.2">
      <c r="A1185" s="38"/>
      <c r="B1185" s="36"/>
      <c r="C1185" s="38"/>
      <c r="D1185" s="38"/>
      <c r="E1185" s="38"/>
      <c r="F1185" s="38"/>
      <c r="G1185" s="38"/>
      <c r="H1185" s="38"/>
      <c r="I1185" s="38"/>
      <c r="J1185" s="60"/>
      <c r="K1185" s="56"/>
    </row>
    <row r="1186" spans="1:11" ht="20.05" customHeight="1" x14ac:dyDescent="0.2">
      <c r="A1186" s="38"/>
      <c r="B1186" s="36"/>
      <c r="C1186" s="38"/>
      <c r="D1186" s="38"/>
      <c r="E1186" s="38"/>
      <c r="F1186" s="38"/>
      <c r="G1186" s="38"/>
      <c r="H1186" s="38"/>
      <c r="I1186" s="38"/>
      <c r="J1186" s="60"/>
      <c r="K1186" s="56"/>
    </row>
    <row r="1187" spans="1:11" ht="20.05" customHeight="1" x14ac:dyDescent="0.2">
      <c r="A1187" s="38"/>
      <c r="B1187" s="36"/>
      <c r="C1187" s="38"/>
      <c r="D1187" s="38"/>
      <c r="E1187" s="38"/>
      <c r="F1187" s="38"/>
      <c r="G1187" s="38"/>
      <c r="H1187" s="38"/>
      <c r="I1187" s="38"/>
      <c r="J1187" s="60"/>
      <c r="K1187" s="56"/>
    </row>
    <row r="1188" spans="1:11" ht="20.05" customHeight="1" x14ac:dyDescent="0.2">
      <c r="A1188" s="38"/>
      <c r="B1188" s="36"/>
      <c r="C1188" s="38"/>
      <c r="D1188" s="38"/>
      <c r="E1188" s="38"/>
      <c r="F1188" s="38"/>
      <c r="G1188" s="38"/>
      <c r="H1188" s="38"/>
      <c r="I1188" s="38"/>
      <c r="J1188" s="60"/>
      <c r="K1188" s="56"/>
    </row>
    <row r="1189" spans="1:11" ht="20.05" customHeight="1" x14ac:dyDescent="0.2">
      <c r="A1189" s="38"/>
      <c r="B1189" s="36"/>
      <c r="C1189" s="38"/>
      <c r="D1189" s="38"/>
      <c r="E1189" s="38"/>
      <c r="F1189" s="38"/>
      <c r="G1189" s="38"/>
      <c r="H1189" s="38"/>
      <c r="I1189" s="38"/>
      <c r="J1189" s="60"/>
      <c r="K1189" s="56"/>
    </row>
    <row r="1190" spans="1:11" ht="20.05" customHeight="1" x14ac:dyDescent="0.2">
      <c r="A1190" s="38"/>
      <c r="B1190" s="36"/>
      <c r="C1190" s="38"/>
      <c r="D1190" s="38"/>
      <c r="E1190" s="38"/>
      <c r="F1190" s="38"/>
      <c r="G1190" s="38"/>
      <c r="H1190" s="38"/>
      <c r="I1190" s="38"/>
      <c r="J1190" s="60"/>
      <c r="K1190" s="56"/>
    </row>
    <row r="1191" spans="1:11" ht="20.05" customHeight="1" x14ac:dyDescent="0.2">
      <c r="A1191" s="38"/>
      <c r="B1191" s="36"/>
      <c r="C1191" s="38"/>
      <c r="D1191" s="38"/>
      <c r="E1191" s="38"/>
      <c r="F1191" s="38"/>
      <c r="G1191" s="38"/>
      <c r="H1191" s="38"/>
      <c r="I1191" s="38"/>
      <c r="J1191" s="60"/>
      <c r="K1191" s="56"/>
    </row>
    <row r="1192" spans="1:11" ht="20.05" customHeight="1" x14ac:dyDescent="0.2">
      <c r="A1192" s="38"/>
      <c r="B1192" s="36"/>
      <c r="C1192" s="38"/>
      <c r="D1192" s="38"/>
      <c r="E1192" s="38"/>
      <c r="F1192" s="38"/>
      <c r="G1192" s="38"/>
      <c r="H1192" s="38"/>
      <c r="I1192" s="38"/>
      <c r="J1192" s="60"/>
      <c r="K1192" s="56"/>
    </row>
    <row r="1193" spans="1:11" ht="20.05" customHeight="1" x14ac:dyDescent="0.2">
      <c r="A1193" s="38"/>
      <c r="B1193" s="36"/>
      <c r="C1193" s="38"/>
      <c r="D1193" s="38"/>
      <c r="E1193" s="38"/>
      <c r="F1193" s="38"/>
      <c r="G1193" s="38"/>
      <c r="H1193" s="38"/>
      <c r="I1193" s="38"/>
      <c r="J1193" s="60"/>
      <c r="K1193" s="56"/>
    </row>
    <row r="1194" spans="1:11" ht="20.05" customHeight="1" x14ac:dyDescent="0.2">
      <c r="A1194" s="38"/>
      <c r="B1194" s="36"/>
      <c r="C1194" s="38"/>
      <c r="D1194" s="38"/>
      <c r="E1194" s="38"/>
      <c r="F1194" s="38"/>
      <c r="G1194" s="38"/>
      <c r="H1194" s="38"/>
      <c r="I1194" s="38"/>
      <c r="J1194" s="60"/>
      <c r="K1194" s="56"/>
    </row>
    <row r="1195" spans="1:11" ht="20.05" customHeight="1" x14ac:dyDescent="0.2">
      <c r="A1195" s="38"/>
      <c r="B1195" s="36"/>
      <c r="C1195" s="38"/>
      <c r="D1195" s="38"/>
      <c r="E1195" s="38"/>
      <c r="F1195" s="38"/>
      <c r="G1195" s="38"/>
      <c r="H1195" s="38"/>
      <c r="I1195" s="38"/>
      <c r="J1195" s="60"/>
      <c r="K1195" s="56"/>
    </row>
    <row r="1196" spans="1:11" ht="20.05" customHeight="1" x14ac:dyDescent="0.2">
      <c r="A1196" s="38"/>
      <c r="B1196" s="36"/>
      <c r="C1196" s="38"/>
      <c r="D1196" s="38"/>
      <c r="E1196" s="38"/>
      <c r="F1196" s="38"/>
      <c r="G1196" s="38"/>
      <c r="H1196" s="38"/>
      <c r="I1196" s="38"/>
      <c r="J1196" s="60"/>
      <c r="K1196" s="56"/>
    </row>
    <row r="1197" spans="1:11" ht="20.05" customHeight="1" x14ac:dyDescent="0.2">
      <c r="A1197" s="38"/>
      <c r="B1197" s="36"/>
      <c r="C1197" s="38"/>
      <c r="D1197" s="38"/>
      <c r="E1197" s="38"/>
      <c r="F1197" s="38"/>
      <c r="G1197" s="38"/>
      <c r="H1197" s="38"/>
      <c r="I1197" s="38"/>
      <c r="J1197" s="60"/>
      <c r="K1197" s="56"/>
    </row>
    <row r="1198" spans="1:11" ht="20.05" customHeight="1" x14ac:dyDescent="0.2">
      <c r="A1198" s="38"/>
      <c r="B1198" s="36"/>
      <c r="C1198" s="38"/>
      <c r="D1198" s="38"/>
      <c r="E1198" s="38"/>
      <c r="F1198" s="38"/>
      <c r="G1198" s="38"/>
      <c r="H1198" s="38"/>
      <c r="I1198" s="38"/>
      <c r="J1198" s="60"/>
      <c r="K1198" s="56"/>
    </row>
    <row r="1199" spans="1:11" ht="20.05" customHeight="1" x14ac:dyDescent="0.2">
      <c r="A1199" s="38"/>
      <c r="B1199" s="36"/>
      <c r="C1199" s="38"/>
      <c r="D1199" s="38"/>
      <c r="E1199" s="38"/>
      <c r="F1199" s="38"/>
      <c r="G1199" s="38"/>
      <c r="H1199" s="38"/>
      <c r="I1199" s="38"/>
      <c r="J1199" s="60"/>
      <c r="K1199" s="56"/>
    </row>
    <row r="1200" spans="1:11" ht="20.05" customHeight="1" x14ac:dyDescent="0.2">
      <c r="A1200" s="38"/>
      <c r="B1200" s="36"/>
      <c r="C1200" s="38"/>
      <c r="D1200" s="38"/>
      <c r="E1200" s="38"/>
      <c r="F1200" s="38"/>
      <c r="G1200" s="38"/>
      <c r="H1200" s="38"/>
      <c r="I1200" s="38"/>
      <c r="J1200" s="60"/>
      <c r="K1200" s="56"/>
    </row>
    <row r="1201" spans="1:11" ht="20.05" customHeight="1" x14ac:dyDescent="0.2">
      <c r="A1201" s="38"/>
      <c r="B1201" s="36"/>
      <c r="C1201" s="38"/>
      <c r="D1201" s="38"/>
      <c r="E1201" s="38"/>
      <c r="F1201" s="38"/>
      <c r="G1201" s="38"/>
      <c r="H1201" s="38"/>
      <c r="I1201" s="38"/>
      <c r="J1201" s="60"/>
      <c r="K1201" s="56"/>
    </row>
    <row r="1202" spans="1:11" ht="20.05" customHeight="1" x14ac:dyDescent="0.2">
      <c r="A1202" s="38"/>
      <c r="B1202" s="36"/>
      <c r="C1202" s="38"/>
      <c r="D1202" s="38"/>
      <c r="E1202" s="38"/>
      <c r="F1202" s="38"/>
      <c r="G1202" s="38"/>
      <c r="H1202" s="38"/>
      <c r="I1202" s="38"/>
      <c r="J1202" s="60"/>
      <c r="K1202" s="56"/>
    </row>
    <row r="1203" spans="1:11" ht="20.05" customHeight="1" x14ac:dyDescent="0.2">
      <c r="A1203" s="38"/>
      <c r="B1203" s="36"/>
      <c r="C1203" s="38"/>
      <c r="D1203" s="38"/>
      <c r="E1203" s="38"/>
      <c r="F1203" s="38"/>
      <c r="G1203" s="38"/>
      <c r="H1203" s="38"/>
      <c r="I1203" s="38"/>
      <c r="J1203" s="60"/>
      <c r="K1203" s="56"/>
    </row>
    <row r="1204" spans="1:11" ht="20.05" customHeight="1" x14ac:dyDescent="0.2">
      <c r="A1204" s="38"/>
      <c r="B1204" s="36"/>
      <c r="C1204" s="38"/>
      <c r="D1204" s="38"/>
      <c r="E1204" s="38"/>
      <c r="F1204" s="38"/>
      <c r="G1204" s="38"/>
      <c r="H1204" s="38"/>
      <c r="I1204" s="38"/>
      <c r="J1204" s="60"/>
      <c r="K1204" s="56"/>
    </row>
    <row r="1205" spans="1:11" ht="20.05" customHeight="1" x14ac:dyDescent="0.2">
      <c r="A1205" s="38"/>
      <c r="B1205" s="36"/>
      <c r="C1205" s="38"/>
      <c r="D1205" s="38"/>
      <c r="E1205" s="38"/>
      <c r="F1205" s="38"/>
      <c r="G1205" s="38"/>
      <c r="H1205" s="38"/>
      <c r="I1205" s="38"/>
      <c r="J1205" s="60"/>
      <c r="K1205" s="56"/>
    </row>
    <row r="1206" spans="1:11" ht="20.05" customHeight="1" x14ac:dyDescent="0.2">
      <c r="A1206" s="38"/>
      <c r="B1206" s="36"/>
      <c r="C1206" s="38"/>
      <c r="D1206" s="38"/>
      <c r="E1206" s="38"/>
      <c r="F1206" s="38"/>
      <c r="G1206" s="38"/>
      <c r="H1206" s="38"/>
      <c r="I1206" s="38"/>
      <c r="J1206" s="60"/>
      <c r="K1206" s="56"/>
    </row>
    <row r="1207" spans="1:11" ht="20.05" customHeight="1" x14ac:dyDescent="0.2">
      <c r="A1207" s="38"/>
      <c r="B1207" s="36"/>
      <c r="C1207" s="38"/>
      <c r="D1207" s="38"/>
      <c r="E1207" s="38"/>
      <c r="F1207" s="38"/>
      <c r="G1207" s="38"/>
      <c r="H1207" s="38"/>
      <c r="I1207" s="38"/>
      <c r="J1207" s="60"/>
      <c r="K1207" s="56"/>
    </row>
    <row r="1208" spans="1:11" ht="20.05" customHeight="1" x14ac:dyDescent="0.2">
      <c r="A1208" s="38"/>
      <c r="B1208" s="36"/>
      <c r="C1208" s="38"/>
      <c r="D1208" s="38"/>
      <c r="E1208" s="38"/>
      <c r="F1208" s="38"/>
      <c r="G1208" s="38"/>
      <c r="H1208" s="38"/>
      <c r="I1208" s="38"/>
      <c r="J1208" s="60"/>
      <c r="K1208" s="56"/>
    </row>
    <row r="1209" spans="1:11" ht="20.05" customHeight="1" x14ac:dyDescent="0.2">
      <c r="A1209" s="38"/>
      <c r="B1209" s="36"/>
      <c r="C1209" s="38"/>
      <c r="D1209" s="38"/>
      <c r="E1209" s="38"/>
      <c r="F1209" s="38"/>
      <c r="G1209" s="38"/>
      <c r="H1209" s="38"/>
      <c r="I1209" s="38"/>
      <c r="J1209" s="60"/>
      <c r="K1209" s="56"/>
    </row>
    <row r="1210" spans="1:11" ht="20.05" customHeight="1" x14ac:dyDescent="0.2">
      <c r="A1210" s="38"/>
      <c r="B1210" s="36"/>
      <c r="C1210" s="38"/>
      <c r="D1210" s="38"/>
      <c r="E1210" s="38"/>
      <c r="F1210" s="38"/>
      <c r="G1210" s="38"/>
      <c r="H1210" s="38"/>
      <c r="I1210" s="38"/>
      <c r="J1210" s="60"/>
      <c r="K1210" s="56"/>
    </row>
    <row r="1211" spans="1:11" ht="20.05" customHeight="1" x14ac:dyDescent="0.2">
      <c r="A1211" s="38"/>
      <c r="B1211" s="36"/>
      <c r="C1211" s="38"/>
      <c r="D1211" s="38"/>
      <c r="E1211" s="38"/>
      <c r="F1211" s="38"/>
      <c r="G1211" s="38"/>
      <c r="H1211" s="38"/>
      <c r="I1211" s="38"/>
      <c r="J1211" s="60"/>
      <c r="K1211" s="56"/>
    </row>
    <row r="1212" spans="1:11" ht="20.05" customHeight="1" x14ac:dyDescent="0.2">
      <c r="A1212" s="38"/>
      <c r="B1212" s="36"/>
      <c r="C1212" s="38"/>
      <c r="D1212" s="38"/>
      <c r="E1212" s="38"/>
      <c r="F1212" s="38"/>
      <c r="G1212" s="38"/>
      <c r="H1212" s="38"/>
      <c r="I1212" s="38"/>
      <c r="J1212" s="60"/>
      <c r="K1212" s="56"/>
    </row>
    <row r="1213" spans="1:11" ht="20.05" customHeight="1" x14ac:dyDescent="0.2">
      <c r="A1213" s="38"/>
      <c r="B1213" s="36"/>
      <c r="C1213" s="38"/>
      <c r="D1213" s="38"/>
      <c r="E1213" s="38"/>
      <c r="F1213" s="38"/>
      <c r="G1213" s="38"/>
      <c r="H1213" s="38"/>
      <c r="I1213" s="38"/>
      <c r="J1213" s="60"/>
      <c r="K1213" s="56"/>
    </row>
    <row r="1214" spans="1:11" ht="20.05" customHeight="1" x14ac:dyDescent="0.2">
      <c r="A1214" s="38"/>
      <c r="B1214" s="36"/>
      <c r="C1214" s="38"/>
      <c r="D1214" s="38"/>
      <c r="E1214" s="38"/>
      <c r="F1214" s="38"/>
      <c r="G1214" s="38"/>
      <c r="H1214" s="38"/>
      <c r="I1214" s="38"/>
      <c r="J1214" s="60"/>
      <c r="K1214" s="56"/>
    </row>
    <row r="1215" spans="1:11" ht="20.05" customHeight="1" x14ac:dyDescent="0.2">
      <c r="A1215" s="38"/>
      <c r="B1215" s="36"/>
      <c r="C1215" s="38"/>
      <c r="D1215" s="38"/>
      <c r="E1215" s="38"/>
      <c r="F1215" s="38"/>
      <c r="G1215" s="38"/>
      <c r="H1215" s="38"/>
      <c r="I1215" s="38"/>
      <c r="J1215" s="60"/>
      <c r="K1215" s="56"/>
    </row>
    <row r="1216" spans="1:11" ht="20.05" customHeight="1" x14ac:dyDescent="0.2">
      <c r="A1216" s="38"/>
      <c r="B1216" s="36"/>
      <c r="C1216" s="38"/>
      <c r="D1216" s="38"/>
      <c r="E1216" s="38"/>
      <c r="F1216" s="38"/>
      <c r="G1216" s="38"/>
      <c r="H1216" s="38"/>
      <c r="I1216" s="38"/>
      <c r="J1216" s="60"/>
      <c r="K1216" s="56"/>
    </row>
    <row r="1217" spans="1:11" ht="20.05" customHeight="1" x14ac:dyDescent="0.2">
      <c r="A1217" s="38"/>
      <c r="B1217" s="36"/>
      <c r="C1217" s="38"/>
      <c r="D1217" s="38"/>
      <c r="E1217" s="38"/>
      <c r="F1217" s="38"/>
      <c r="G1217" s="38"/>
      <c r="H1217" s="38"/>
      <c r="I1217" s="38"/>
      <c r="J1217" s="60"/>
      <c r="K1217" s="56"/>
    </row>
    <row r="1218" spans="1:11" ht="20.05" customHeight="1" x14ac:dyDescent="0.2">
      <c r="A1218" s="38"/>
      <c r="B1218" s="36"/>
      <c r="C1218" s="38"/>
      <c r="D1218" s="38"/>
      <c r="E1218" s="38"/>
      <c r="F1218" s="38"/>
      <c r="G1218" s="38"/>
      <c r="H1218" s="38"/>
      <c r="I1218" s="38"/>
      <c r="J1218" s="60"/>
      <c r="K1218" s="56"/>
    </row>
    <row r="1219" spans="1:11" ht="20.05" customHeight="1" x14ac:dyDescent="0.2">
      <c r="A1219" s="38"/>
      <c r="B1219" s="36"/>
      <c r="C1219" s="38"/>
      <c r="D1219" s="38"/>
      <c r="E1219" s="38"/>
      <c r="F1219" s="38"/>
      <c r="G1219" s="38"/>
      <c r="H1219" s="38"/>
      <c r="I1219" s="38"/>
      <c r="J1219" s="60"/>
      <c r="K1219" s="56"/>
    </row>
    <row r="1220" spans="1:11" ht="20.05" customHeight="1" x14ac:dyDescent="0.2">
      <c r="A1220" s="38"/>
      <c r="B1220" s="36"/>
      <c r="C1220" s="38"/>
      <c r="D1220" s="38"/>
      <c r="E1220" s="38"/>
      <c r="F1220" s="38"/>
      <c r="G1220" s="38"/>
      <c r="H1220" s="38"/>
      <c r="I1220" s="38"/>
      <c r="J1220" s="60"/>
      <c r="K1220" s="56"/>
    </row>
    <row r="1221" spans="1:11" ht="20.05" customHeight="1" x14ac:dyDescent="0.2">
      <c r="A1221" s="38"/>
      <c r="B1221" s="36"/>
      <c r="C1221" s="38"/>
      <c r="D1221" s="38"/>
      <c r="E1221" s="38"/>
      <c r="F1221" s="38"/>
      <c r="G1221" s="38"/>
      <c r="H1221" s="38"/>
      <c r="I1221" s="38"/>
      <c r="J1221" s="60"/>
      <c r="K1221" s="56"/>
    </row>
    <row r="1222" spans="1:11" ht="20.05" customHeight="1" x14ac:dyDescent="0.2">
      <c r="A1222" s="38"/>
      <c r="B1222" s="36"/>
      <c r="C1222" s="38"/>
      <c r="D1222" s="38"/>
      <c r="E1222" s="38"/>
      <c r="F1222" s="38"/>
      <c r="G1222" s="38"/>
      <c r="H1222" s="38"/>
      <c r="I1222" s="38"/>
      <c r="J1222" s="60"/>
      <c r="K1222" s="56"/>
    </row>
    <row r="1223" spans="1:11" ht="20.05" customHeight="1" x14ac:dyDescent="0.2">
      <c r="A1223" s="38"/>
      <c r="B1223" s="36"/>
      <c r="C1223" s="38"/>
      <c r="D1223" s="38"/>
      <c r="E1223" s="38"/>
      <c r="F1223" s="38"/>
      <c r="G1223" s="38"/>
      <c r="H1223" s="38"/>
      <c r="I1223" s="38"/>
      <c r="J1223" s="60"/>
      <c r="K1223" s="56"/>
    </row>
    <row r="1224" spans="1:11" ht="20.05" customHeight="1" x14ac:dyDescent="0.2">
      <c r="A1224" s="38"/>
      <c r="B1224" s="36"/>
      <c r="C1224" s="38"/>
      <c r="D1224" s="38"/>
      <c r="E1224" s="38"/>
      <c r="F1224" s="38"/>
      <c r="G1224" s="38"/>
      <c r="H1224" s="38"/>
      <c r="I1224" s="38"/>
      <c r="J1224" s="60"/>
      <c r="K1224" s="56"/>
    </row>
    <row r="1225" spans="1:11" ht="20.05" customHeight="1" x14ac:dyDescent="0.2">
      <c r="A1225" s="38"/>
      <c r="B1225" s="36"/>
      <c r="C1225" s="38"/>
      <c r="D1225" s="38"/>
      <c r="E1225" s="38"/>
      <c r="F1225" s="38"/>
      <c r="G1225" s="38"/>
      <c r="H1225" s="38"/>
      <c r="I1225" s="38"/>
      <c r="J1225" s="60"/>
      <c r="K1225" s="56"/>
    </row>
    <row r="1226" spans="1:11" ht="20.05" customHeight="1" x14ac:dyDescent="0.2">
      <c r="A1226" s="38"/>
      <c r="B1226" s="36"/>
      <c r="C1226" s="38"/>
      <c r="D1226" s="38"/>
      <c r="E1226" s="38"/>
      <c r="F1226" s="38"/>
      <c r="G1226" s="38"/>
      <c r="H1226" s="38"/>
      <c r="I1226" s="38"/>
      <c r="J1226" s="60"/>
      <c r="K1226" s="56"/>
    </row>
    <row r="1227" spans="1:11" ht="20.05" customHeight="1" x14ac:dyDescent="0.2">
      <c r="A1227" s="38"/>
      <c r="B1227" s="36"/>
      <c r="C1227" s="38"/>
      <c r="D1227" s="38"/>
      <c r="E1227" s="38"/>
      <c r="F1227" s="38"/>
      <c r="G1227" s="38"/>
      <c r="H1227" s="38"/>
      <c r="I1227" s="38"/>
      <c r="J1227" s="60"/>
      <c r="K1227" s="56"/>
    </row>
    <row r="1228" spans="1:11" ht="20.05" customHeight="1" x14ac:dyDescent="0.2">
      <c r="A1228" s="38"/>
      <c r="B1228" s="36"/>
      <c r="C1228" s="38"/>
      <c r="D1228" s="38"/>
      <c r="E1228" s="38"/>
      <c r="F1228" s="38"/>
      <c r="G1228" s="38"/>
      <c r="H1228" s="38"/>
      <c r="I1228" s="38"/>
      <c r="J1228" s="60"/>
      <c r="K1228" s="56"/>
    </row>
    <row r="1229" spans="1:11" ht="20.05" customHeight="1" x14ac:dyDescent="0.2">
      <c r="A1229" s="38"/>
      <c r="B1229" s="36"/>
      <c r="C1229" s="38"/>
      <c r="D1229" s="38"/>
      <c r="E1229" s="38"/>
      <c r="F1229" s="38"/>
      <c r="G1229" s="38"/>
      <c r="H1229" s="38"/>
      <c r="I1229" s="38"/>
      <c r="J1229" s="60"/>
      <c r="K1229" s="56"/>
    </row>
    <row r="1230" spans="1:11" ht="20.05" customHeight="1" x14ac:dyDescent="0.2">
      <c r="A1230" s="38"/>
      <c r="B1230" s="36"/>
      <c r="C1230" s="38"/>
      <c r="D1230" s="38"/>
      <c r="E1230" s="38"/>
      <c r="F1230" s="38"/>
      <c r="G1230" s="38"/>
      <c r="H1230" s="38"/>
      <c r="I1230" s="38"/>
      <c r="J1230" s="60"/>
      <c r="K1230" s="56"/>
    </row>
    <row r="1231" spans="1:11" ht="20.05" customHeight="1" x14ac:dyDescent="0.2">
      <c r="A1231" s="38"/>
      <c r="B1231" s="36"/>
      <c r="C1231" s="38"/>
      <c r="D1231" s="38"/>
      <c r="E1231" s="38"/>
      <c r="F1231" s="38"/>
      <c r="G1231" s="38"/>
      <c r="H1231" s="38"/>
      <c r="I1231" s="38"/>
      <c r="J1231" s="60"/>
      <c r="K1231" s="56"/>
    </row>
    <row r="1232" spans="1:11" ht="20.05" customHeight="1" x14ac:dyDescent="0.2">
      <c r="A1232" s="38"/>
      <c r="B1232" s="36"/>
      <c r="C1232" s="38"/>
      <c r="D1232" s="38"/>
      <c r="E1232" s="38"/>
      <c r="F1232" s="38"/>
      <c r="G1232" s="38"/>
      <c r="H1232" s="38"/>
      <c r="I1232" s="38"/>
      <c r="J1232" s="60"/>
      <c r="K1232" s="56"/>
    </row>
    <row r="1233" spans="1:11" ht="20.05" customHeight="1" x14ac:dyDescent="0.2">
      <c r="A1233" s="38"/>
      <c r="B1233" s="36"/>
      <c r="C1233" s="38"/>
      <c r="D1233" s="38"/>
      <c r="E1233" s="38"/>
      <c r="F1233" s="38"/>
      <c r="G1233" s="38"/>
      <c r="H1233" s="38"/>
      <c r="I1233" s="38"/>
      <c r="J1233" s="60"/>
      <c r="K1233" s="56"/>
    </row>
    <row r="1234" spans="1:11" ht="20.05" customHeight="1" x14ac:dyDescent="0.2">
      <c r="A1234" s="38"/>
      <c r="B1234" s="36"/>
      <c r="C1234" s="38"/>
      <c r="D1234" s="38"/>
      <c r="E1234" s="38"/>
      <c r="F1234" s="38"/>
      <c r="G1234" s="38"/>
      <c r="H1234" s="38"/>
      <c r="I1234" s="38"/>
      <c r="J1234" s="60"/>
      <c r="K1234" s="56"/>
    </row>
    <row r="1235" spans="1:11" ht="20.05" customHeight="1" x14ac:dyDescent="0.2">
      <c r="A1235" s="38"/>
      <c r="B1235" s="36"/>
      <c r="C1235" s="38"/>
      <c r="D1235" s="38"/>
      <c r="E1235" s="38"/>
      <c r="F1235" s="38"/>
      <c r="G1235" s="38"/>
      <c r="H1235" s="38"/>
      <c r="I1235" s="38"/>
      <c r="J1235" s="60"/>
      <c r="K1235" s="56"/>
    </row>
    <row r="1236" spans="1:11" ht="20.05" customHeight="1" x14ac:dyDescent="0.2">
      <c r="A1236" s="38"/>
      <c r="B1236" s="36"/>
      <c r="C1236" s="38"/>
      <c r="D1236" s="38"/>
      <c r="E1236" s="38"/>
      <c r="F1236" s="38"/>
      <c r="G1236" s="38"/>
      <c r="H1236" s="38"/>
      <c r="I1236" s="38"/>
      <c r="J1236" s="60"/>
      <c r="K1236" s="56"/>
    </row>
    <row r="1237" spans="1:11" ht="20.05" customHeight="1" x14ac:dyDescent="0.2">
      <c r="A1237" s="38"/>
      <c r="B1237" s="36"/>
      <c r="C1237" s="38"/>
      <c r="D1237" s="38"/>
      <c r="E1237" s="38"/>
      <c r="F1237" s="38"/>
      <c r="G1237" s="38"/>
      <c r="H1237" s="38"/>
      <c r="I1237" s="38"/>
      <c r="J1237" s="60"/>
      <c r="K1237" s="56"/>
    </row>
    <row r="1238" spans="1:11" ht="20.05" customHeight="1" x14ac:dyDescent="0.2">
      <c r="A1238" s="38"/>
      <c r="B1238" s="36"/>
      <c r="C1238" s="38"/>
      <c r="D1238" s="38"/>
      <c r="E1238" s="38"/>
      <c r="F1238" s="38"/>
      <c r="G1238" s="38"/>
      <c r="H1238" s="38"/>
      <c r="I1238" s="38"/>
      <c r="J1238" s="60"/>
      <c r="K1238" s="56"/>
    </row>
    <row r="1239" spans="1:11" ht="20.05" customHeight="1" x14ac:dyDescent="0.2">
      <c r="A1239" s="38"/>
      <c r="B1239" s="36"/>
      <c r="C1239" s="38"/>
      <c r="D1239" s="38"/>
      <c r="E1239" s="38"/>
      <c r="F1239" s="38"/>
      <c r="G1239" s="38"/>
      <c r="H1239" s="38"/>
      <c r="I1239" s="38"/>
      <c r="J1239" s="60"/>
      <c r="K1239" s="56"/>
    </row>
    <row r="1240" spans="1:11" ht="20.05" customHeight="1" x14ac:dyDescent="0.2">
      <c r="A1240" s="38"/>
      <c r="B1240" s="36"/>
      <c r="C1240" s="38"/>
      <c r="D1240" s="38"/>
      <c r="E1240" s="38"/>
      <c r="F1240" s="38"/>
      <c r="G1240" s="38"/>
      <c r="H1240" s="38"/>
      <c r="I1240" s="38"/>
      <c r="J1240" s="60"/>
      <c r="K1240" s="56"/>
    </row>
    <row r="1241" spans="1:11" ht="20.05" customHeight="1" x14ac:dyDescent="0.2">
      <c r="A1241" s="38"/>
      <c r="B1241" s="36"/>
      <c r="C1241" s="38"/>
      <c r="D1241" s="38"/>
      <c r="E1241" s="38"/>
      <c r="F1241" s="38"/>
      <c r="G1241" s="38"/>
      <c r="H1241" s="38"/>
      <c r="I1241" s="38"/>
      <c r="J1241" s="60"/>
      <c r="K1241" s="56"/>
    </row>
    <row r="1242" spans="1:11" ht="20.05" customHeight="1" x14ac:dyDescent="0.2">
      <c r="A1242" s="38"/>
      <c r="B1242" s="36"/>
      <c r="C1242" s="38"/>
      <c r="D1242" s="38"/>
      <c r="E1242" s="38"/>
      <c r="F1242" s="38"/>
      <c r="G1242" s="38"/>
      <c r="H1242" s="38"/>
      <c r="I1242" s="38"/>
      <c r="J1242" s="60"/>
      <c r="K1242" s="56"/>
    </row>
    <row r="1243" spans="1:11" ht="20.05" customHeight="1" x14ac:dyDescent="0.2">
      <c r="A1243" s="38"/>
      <c r="B1243" s="36"/>
      <c r="C1243" s="38"/>
      <c r="D1243" s="38"/>
      <c r="E1243" s="38"/>
      <c r="F1243" s="38"/>
      <c r="G1243" s="38"/>
      <c r="H1243" s="38"/>
      <c r="I1243" s="38"/>
      <c r="J1243" s="60"/>
      <c r="K1243" s="56"/>
    </row>
    <row r="1244" spans="1:11" ht="20.05" customHeight="1" x14ac:dyDescent="0.2">
      <c r="A1244" s="38"/>
      <c r="B1244" s="36"/>
      <c r="C1244" s="38"/>
      <c r="D1244" s="38"/>
      <c r="E1244" s="38"/>
      <c r="F1244" s="38"/>
      <c r="G1244" s="38"/>
      <c r="H1244" s="38"/>
      <c r="I1244" s="38"/>
      <c r="J1244" s="60"/>
      <c r="K1244" s="56"/>
    </row>
    <row r="1245" spans="1:11" ht="20.05" customHeight="1" x14ac:dyDescent="0.2">
      <c r="A1245" s="38"/>
      <c r="B1245" s="36"/>
      <c r="C1245" s="38"/>
      <c r="D1245" s="38"/>
      <c r="E1245" s="38"/>
      <c r="F1245" s="38"/>
      <c r="G1245" s="38"/>
      <c r="H1245" s="38"/>
      <c r="I1245" s="38"/>
      <c r="J1245" s="60"/>
      <c r="K1245" s="56"/>
    </row>
    <row r="1246" spans="1:11" ht="20.05" customHeight="1" x14ac:dyDescent="0.2">
      <c r="A1246" s="38"/>
      <c r="B1246" s="36"/>
      <c r="C1246" s="38"/>
      <c r="D1246" s="38"/>
      <c r="E1246" s="38"/>
      <c r="F1246" s="38"/>
      <c r="G1246" s="38"/>
      <c r="H1246" s="38"/>
      <c r="I1246" s="38"/>
      <c r="J1246" s="60"/>
      <c r="K1246" s="56"/>
    </row>
    <row r="1247" spans="1:11" ht="20.05" customHeight="1" x14ac:dyDescent="0.2">
      <c r="A1247" s="38"/>
      <c r="B1247" s="36"/>
      <c r="C1247" s="38"/>
      <c r="D1247" s="38"/>
      <c r="E1247" s="38"/>
      <c r="F1247" s="38"/>
      <c r="G1247" s="38"/>
      <c r="H1247" s="38"/>
      <c r="I1247" s="38"/>
      <c r="J1247" s="60"/>
      <c r="K1247" s="56"/>
    </row>
    <row r="1248" spans="1:11" ht="20.05" customHeight="1" x14ac:dyDescent="0.2">
      <c r="A1248" s="38"/>
      <c r="B1248" s="36"/>
      <c r="C1248" s="38"/>
      <c r="D1248" s="38"/>
      <c r="E1248" s="38"/>
      <c r="F1248" s="38"/>
      <c r="G1248" s="38"/>
      <c r="H1248" s="38"/>
      <c r="I1248" s="38"/>
      <c r="J1248" s="60"/>
      <c r="K1248" s="56"/>
    </row>
    <row r="1249" spans="1:11" ht="20.05" customHeight="1" x14ac:dyDescent="0.2">
      <c r="A1249" s="38"/>
      <c r="B1249" s="36"/>
      <c r="C1249" s="38"/>
      <c r="D1249" s="38"/>
      <c r="E1249" s="38"/>
      <c r="F1249" s="38"/>
      <c r="G1249" s="38"/>
      <c r="H1249" s="38"/>
      <c r="I1249" s="38"/>
      <c r="J1249" s="60"/>
      <c r="K1249" s="56"/>
    </row>
    <row r="1250" spans="1:11" ht="20.05" customHeight="1" x14ac:dyDescent="0.2">
      <c r="A1250" s="38"/>
      <c r="B1250" s="36"/>
      <c r="C1250" s="38"/>
      <c r="D1250" s="38"/>
      <c r="E1250" s="38"/>
      <c r="F1250" s="38"/>
      <c r="G1250" s="38"/>
      <c r="H1250" s="38"/>
      <c r="I1250" s="38"/>
      <c r="J1250" s="60"/>
      <c r="K1250" s="56"/>
    </row>
    <row r="1251" spans="1:11" ht="20.05" customHeight="1" x14ac:dyDescent="0.2">
      <c r="A1251" s="38"/>
      <c r="B1251" s="36"/>
      <c r="C1251" s="38"/>
      <c r="D1251" s="38"/>
      <c r="E1251" s="38"/>
      <c r="F1251" s="38"/>
      <c r="G1251" s="38"/>
      <c r="H1251" s="38"/>
      <c r="I1251" s="38"/>
      <c r="J1251" s="60"/>
      <c r="K1251" s="56"/>
    </row>
    <row r="1252" spans="1:11" ht="20.05" customHeight="1" x14ac:dyDescent="0.2">
      <c r="A1252" s="38"/>
      <c r="B1252" s="36"/>
      <c r="C1252" s="38"/>
      <c r="D1252" s="38"/>
      <c r="E1252" s="38"/>
      <c r="F1252" s="38"/>
      <c r="G1252" s="38"/>
      <c r="H1252" s="38"/>
      <c r="I1252" s="38"/>
      <c r="J1252" s="60"/>
      <c r="K1252" s="56"/>
    </row>
    <row r="1253" spans="1:11" ht="20.05" customHeight="1" x14ac:dyDescent="0.2">
      <c r="A1253" s="38"/>
      <c r="B1253" s="36"/>
      <c r="C1253" s="38"/>
      <c r="D1253" s="38"/>
      <c r="E1253" s="38"/>
      <c r="F1253" s="38"/>
      <c r="G1253" s="38"/>
      <c r="H1253" s="38"/>
      <c r="I1253" s="38"/>
      <c r="J1253" s="60"/>
      <c r="K1253" s="56"/>
    </row>
    <row r="1254" spans="1:11" ht="20.05" customHeight="1" x14ac:dyDescent="0.2">
      <c r="A1254" s="38"/>
      <c r="B1254" s="36"/>
      <c r="C1254" s="38"/>
      <c r="D1254" s="38"/>
      <c r="E1254" s="38"/>
      <c r="F1254" s="38"/>
      <c r="G1254" s="38"/>
      <c r="H1254" s="38"/>
      <c r="I1254" s="38"/>
      <c r="J1254" s="60"/>
      <c r="K1254" s="56"/>
    </row>
    <row r="1255" spans="1:11" ht="20.05" customHeight="1" x14ac:dyDescent="0.2">
      <c r="A1255" s="38"/>
      <c r="B1255" s="36"/>
      <c r="C1255" s="38"/>
      <c r="D1255" s="38"/>
      <c r="E1255" s="38"/>
      <c r="F1255" s="38"/>
      <c r="G1255" s="38"/>
      <c r="H1255" s="38"/>
      <c r="I1255" s="38"/>
      <c r="J1255" s="60"/>
      <c r="K1255" s="56"/>
    </row>
    <row r="1256" spans="1:11" ht="20.05" customHeight="1" x14ac:dyDescent="0.2">
      <c r="A1256" s="38"/>
      <c r="B1256" s="36"/>
      <c r="C1256" s="38"/>
      <c r="D1256" s="38"/>
      <c r="E1256" s="38"/>
      <c r="F1256" s="38"/>
      <c r="G1256" s="38"/>
      <c r="H1256" s="38"/>
      <c r="I1256" s="38"/>
      <c r="J1256" s="60"/>
      <c r="K1256" s="56"/>
    </row>
    <row r="1257" spans="1:11" ht="20.05" customHeight="1" x14ac:dyDescent="0.2">
      <c r="A1257" s="38"/>
      <c r="B1257" s="36"/>
      <c r="C1257" s="38"/>
      <c r="D1257" s="38"/>
      <c r="E1257" s="38"/>
      <c r="F1257" s="38"/>
      <c r="G1257" s="38"/>
      <c r="H1257" s="38"/>
      <c r="I1257" s="38"/>
      <c r="J1257" s="60"/>
      <c r="K1257" s="56"/>
    </row>
    <row r="1258" spans="1:11" ht="20.05" customHeight="1" x14ac:dyDescent="0.2">
      <c r="A1258" s="38"/>
      <c r="B1258" s="36"/>
      <c r="C1258" s="38"/>
      <c r="D1258" s="38"/>
      <c r="E1258" s="38"/>
      <c r="F1258" s="38"/>
      <c r="G1258" s="38"/>
      <c r="H1258" s="38"/>
      <c r="I1258" s="38"/>
      <c r="J1258" s="60"/>
      <c r="K1258" s="56"/>
    </row>
    <row r="1259" spans="1:11" ht="20.05" customHeight="1" x14ac:dyDescent="0.2">
      <c r="A1259" s="38"/>
      <c r="B1259" s="36"/>
      <c r="C1259" s="38"/>
      <c r="D1259" s="38"/>
      <c r="E1259" s="38"/>
      <c r="F1259" s="38"/>
      <c r="G1259" s="38"/>
      <c r="H1259" s="38"/>
      <c r="I1259" s="38"/>
      <c r="J1259" s="60"/>
      <c r="K1259" s="56"/>
    </row>
    <row r="1260" spans="1:11" ht="20.05" customHeight="1" x14ac:dyDescent="0.2">
      <c r="A1260" s="38"/>
      <c r="B1260" s="36"/>
      <c r="C1260" s="38"/>
      <c r="D1260" s="38"/>
      <c r="E1260" s="38"/>
      <c r="F1260" s="38"/>
      <c r="G1260" s="38"/>
      <c r="H1260" s="38"/>
      <c r="I1260" s="38"/>
      <c r="J1260" s="60"/>
      <c r="K1260" s="56"/>
    </row>
    <row r="1261" spans="1:11" ht="20.05" customHeight="1" x14ac:dyDescent="0.2">
      <c r="A1261" s="38"/>
      <c r="B1261" s="36"/>
      <c r="C1261" s="38"/>
      <c r="D1261" s="38"/>
      <c r="E1261" s="38"/>
      <c r="F1261" s="38"/>
      <c r="G1261" s="38"/>
      <c r="H1261" s="38"/>
      <c r="I1261" s="38"/>
      <c r="J1261" s="60"/>
      <c r="K1261" s="56"/>
    </row>
    <row r="1262" spans="1:11" ht="20.05" customHeight="1" x14ac:dyDescent="0.2">
      <c r="A1262" s="38"/>
      <c r="B1262" s="36"/>
      <c r="C1262" s="38"/>
      <c r="D1262" s="38"/>
      <c r="E1262" s="38"/>
      <c r="F1262" s="38"/>
      <c r="G1262" s="38"/>
      <c r="H1262" s="38"/>
      <c r="I1262" s="38"/>
      <c r="J1262" s="60"/>
      <c r="K1262" s="56"/>
    </row>
    <row r="1263" spans="1:11" ht="20.05" customHeight="1" x14ac:dyDescent="0.2">
      <c r="A1263" s="38"/>
      <c r="B1263" s="36"/>
      <c r="C1263" s="38"/>
      <c r="D1263" s="38"/>
      <c r="E1263" s="38"/>
      <c r="F1263" s="38"/>
      <c r="G1263" s="38"/>
      <c r="H1263" s="38"/>
      <c r="I1263" s="38"/>
      <c r="J1263" s="60"/>
      <c r="K1263" s="56"/>
    </row>
    <row r="1264" spans="1:11" ht="20.05" customHeight="1" x14ac:dyDescent="0.2">
      <c r="A1264" s="38"/>
      <c r="B1264" s="36"/>
      <c r="C1264" s="38"/>
      <c r="D1264" s="38"/>
      <c r="E1264" s="38"/>
      <c r="F1264" s="38"/>
      <c r="G1264" s="38"/>
      <c r="H1264" s="38"/>
      <c r="I1264" s="38"/>
      <c r="J1264" s="60"/>
      <c r="K1264" s="56"/>
    </row>
    <row r="1265" spans="1:11" ht="20.05" customHeight="1" x14ac:dyDescent="0.2">
      <c r="A1265" s="38"/>
      <c r="B1265" s="36"/>
      <c r="C1265" s="38"/>
      <c r="D1265" s="38"/>
      <c r="E1265" s="38"/>
      <c r="F1265" s="38"/>
      <c r="G1265" s="38"/>
      <c r="H1265" s="38"/>
      <c r="I1265" s="38"/>
      <c r="J1265" s="60"/>
      <c r="K1265" s="56"/>
    </row>
    <row r="1266" spans="1:11" ht="20.05" customHeight="1" x14ac:dyDescent="0.2">
      <c r="A1266" s="38"/>
      <c r="B1266" s="36"/>
      <c r="C1266" s="38"/>
      <c r="D1266" s="38"/>
      <c r="E1266" s="38"/>
      <c r="F1266" s="38"/>
      <c r="G1266" s="38"/>
      <c r="H1266" s="38"/>
      <c r="I1266" s="38"/>
      <c r="J1266" s="60"/>
      <c r="K1266" s="56"/>
    </row>
    <row r="1267" spans="1:11" ht="20.05" customHeight="1" x14ac:dyDescent="0.2">
      <c r="A1267" s="38"/>
      <c r="B1267" s="36"/>
      <c r="C1267" s="38"/>
      <c r="D1267" s="38"/>
      <c r="E1267" s="38"/>
      <c r="F1267" s="38"/>
      <c r="G1267" s="38"/>
      <c r="H1267" s="38"/>
      <c r="I1267" s="38"/>
      <c r="J1267" s="60"/>
      <c r="K1267" s="56"/>
    </row>
    <row r="1268" spans="1:11" ht="20.05" customHeight="1" x14ac:dyDescent="0.2">
      <c r="A1268" s="38"/>
      <c r="B1268" s="36"/>
      <c r="C1268" s="38"/>
      <c r="D1268" s="38"/>
      <c r="E1268" s="38"/>
      <c r="F1268" s="38"/>
      <c r="G1268" s="38"/>
      <c r="H1268" s="38"/>
      <c r="I1268" s="38"/>
      <c r="J1268" s="60"/>
      <c r="K1268" s="56"/>
    </row>
    <row r="1269" spans="1:11" ht="20.05" customHeight="1" x14ac:dyDescent="0.2">
      <c r="A1269" s="38"/>
      <c r="B1269" s="36"/>
      <c r="C1269" s="38"/>
      <c r="D1269" s="38"/>
      <c r="E1269" s="38"/>
      <c r="F1269" s="38"/>
      <c r="G1269" s="38"/>
      <c r="H1269" s="38"/>
      <c r="I1269" s="38"/>
      <c r="J1269" s="60"/>
      <c r="K1269" s="56"/>
    </row>
    <row r="1270" spans="1:11" ht="20.05" customHeight="1" x14ac:dyDescent="0.2">
      <c r="A1270" s="38"/>
      <c r="B1270" s="36"/>
      <c r="C1270" s="38"/>
      <c r="D1270" s="38"/>
      <c r="E1270" s="38"/>
      <c r="F1270" s="38"/>
      <c r="G1270" s="38"/>
      <c r="H1270" s="38"/>
      <c r="I1270" s="38"/>
      <c r="J1270" s="60"/>
      <c r="K1270" s="56"/>
    </row>
    <row r="1271" spans="1:11" ht="20.05" customHeight="1" x14ac:dyDescent="0.2">
      <c r="A1271" s="38"/>
      <c r="B1271" s="36"/>
      <c r="C1271" s="38"/>
      <c r="D1271" s="38"/>
      <c r="E1271" s="38"/>
      <c r="F1271" s="38"/>
      <c r="G1271" s="38"/>
      <c r="H1271" s="38"/>
      <c r="I1271" s="38"/>
      <c r="J1271" s="60"/>
      <c r="K1271" s="56"/>
    </row>
    <row r="1272" spans="1:11" ht="20.05" customHeight="1" x14ac:dyDescent="0.2">
      <c r="A1272" s="38"/>
      <c r="B1272" s="36"/>
      <c r="C1272" s="38"/>
      <c r="D1272" s="38"/>
      <c r="E1272" s="38"/>
      <c r="F1272" s="38"/>
      <c r="G1272" s="38"/>
      <c r="H1272" s="38"/>
      <c r="I1272" s="38"/>
      <c r="J1272" s="60"/>
      <c r="K1272" s="56"/>
    </row>
    <row r="1273" spans="1:11" ht="20.05" customHeight="1" x14ac:dyDescent="0.2">
      <c r="A1273" s="38"/>
      <c r="B1273" s="36"/>
      <c r="C1273" s="38"/>
      <c r="D1273" s="38"/>
      <c r="E1273" s="38"/>
      <c r="F1273" s="38"/>
      <c r="G1273" s="38"/>
      <c r="H1273" s="38"/>
      <c r="I1273" s="38"/>
      <c r="J1273" s="60"/>
      <c r="K1273" s="56"/>
    </row>
    <row r="1274" spans="1:11" ht="20.05" customHeight="1" x14ac:dyDescent="0.2">
      <c r="A1274" s="38"/>
      <c r="B1274" s="36"/>
      <c r="C1274" s="38"/>
      <c r="D1274" s="38"/>
      <c r="E1274" s="38"/>
      <c r="F1274" s="38"/>
      <c r="G1274" s="38"/>
      <c r="H1274" s="38"/>
      <c r="I1274" s="38"/>
      <c r="J1274" s="60"/>
      <c r="K1274" s="56"/>
    </row>
    <row r="1275" spans="1:11" ht="20.05" customHeight="1" x14ac:dyDescent="0.2">
      <c r="A1275" s="38"/>
      <c r="B1275" s="36"/>
      <c r="C1275" s="38"/>
      <c r="D1275" s="38"/>
      <c r="E1275" s="38"/>
      <c r="F1275" s="38"/>
      <c r="G1275" s="38"/>
      <c r="H1275" s="38"/>
      <c r="I1275" s="38"/>
      <c r="J1275" s="60"/>
      <c r="K1275" s="56"/>
    </row>
    <row r="1276" spans="1:11" ht="20.05" customHeight="1" x14ac:dyDescent="0.2">
      <c r="A1276" s="38"/>
      <c r="B1276" s="36"/>
      <c r="C1276" s="38"/>
      <c r="D1276" s="38"/>
      <c r="E1276" s="38"/>
      <c r="F1276" s="38"/>
      <c r="G1276" s="38"/>
      <c r="H1276" s="38"/>
      <c r="I1276" s="38"/>
      <c r="J1276" s="60"/>
      <c r="K1276" s="56"/>
    </row>
    <row r="1277" spans="1:11" ht="20.05" customHeight="1" x14ac:dyDescent="0.2">
      <c r="A1277" s="38"/>
      <c r="B1277" s="36"/>
      <c r="C1277" s="38"/>
      <c r="D1277" s="38"/>
      <c r="E1277" s="38"/>
      <c r="F1277" s="38"/>
      <c r="G1277" s="38"/>
      <c r="H1277" s="38"/>
      <c r="I1277" s="38"/>
      <c r="J1277" s="60"/>
      <c r="K1277" s="56"/>
    </row>
    <row r="1278" spans="1:11" ht="20.05" customHeight="1" x14ac:dyDescent="0.2">
      <c r="A1278" s="38"/>
      <c r="B1278" s="36"/>
      <c r="C1278" s="38"/>
      <c r="D1278" s="38"/>
      <c r="E1278" s="38"/>
      <c r="F1278" s="38"/>
      <c r="G1278" s="38"/>
      <c r="H1278" s="38"/>
      <c r="I1278" s="38"/>
      <c r="J1278" s="60"/>
      <c r="K1278" s="56"/>
    </row>
    <row r="1279" spans="1:11" ht="20.05" customHeight="1" x14ac:dyDescent="0.2">
      <c r="A1279" s="38"/>
      <c r="B1279" s="36"/>
      <c r="C1279" s="38"/>
      <c r="D1279" s="38"/>
      <c r="E1279" s="38"/>
      <c r="F1279" s="38"/>
      <c r="G1279" s="38"/>
      <c r="H1279" s="38"/>
      <c r="I1279" s="38"/>
      <c r="J1279" s="60"/>
      <c r="K1279" s="56"/>
    </row>
    <row r="1280" spans="1:11" ht="20.05" customHeight="1" x14ac:dyDescent="0.2">
      <c r="A1280" s="38"/>
      <c r="B1280" s="36"/>
      <c r="C1280" s="38"/>
      <c r="D1280" s="38"/>
      <c r="E1280" s="38"/>
      <c r="F1280" s="38"/>
      <c r="G1280" s="38"/>
      <c r="H1280" s="38"/>
      <c r="I1280" s="38"/>
      <c r="J1280" s="60"/>
      <c r="K1280" s="56"/>
    </row>
    <row r="1281" spans="1:11" ht="20.05" customHeight="1" x14ac:dyDescent="0.2">
      <c r="A1281" s="38"/>
      <c r="B1281" s="36"/>
      <c r="C1281" s="38"/>
      <c r="D1281" s="38"/>
      <c r="E1281" s="38"/>
      <c r="F1281" s="38"/>
      <c r="G1281" s="38"/>
      <c r="H1281" s="38"/>
      <c r="I1281" s="38"/>
      <c r="J1281" s="60"/>
      <c r="K1281" s="56"/>
    </row>
    <row r="1282" spans="1:11" ht="20.05" customHeight="1" x14ac:dyDescent="0.2">
      <c r="A1282" s="38"/>
      <c r="B1282" s="36"/>
      <c r="C1282" s="38"/>
      <c r="D1282" s="38"/>
      <c r="E1282" s="38"/>
      <c r="F1282" s="38"/>
      <c r="G1282" s="38"/>
      <c r="H1282" s="38"/>
      <c r="I1282" s="38"/>
      <c r="J1282" s="60"/>
      <c r="K1282" s="56"/>
    </row>
    <row r="1283" spans="1:11" ht="20.05" customHeight="1" x14ac:dyDescent="0.2">
      <c r="A1283" s="38"/>
      <c r="B1283" s="36"/>
      <c r="C1283" s="38"/>
      <c r="D1283" s="38"/>
      <c r="E1283" s="38"/>
      <c r="F1283" s="38"/>
      <c r="G1283" s="38"/>
      <c r="H1283" s="38"/>
      <c r="I1283" s="38"/>
      <c r="J1283" s="60"/>
      <c r="K1283" s="56"/>
    </row>
    <row r="1284" spans="1:11" ht="20.05" customHeight="1" x14ac:dyDescent="0.2">
      <c r="A1284" s="38"/>
      <c r="B1284" s="36"/>
      <c r="C1284" s="38"/>
      <c r="D1284" s="38"/>
      <c r="E1284" s="38"/>
      <c r="F1284" s="38"/>
      <c r="G1284" s="38"/>
      <c r="H1284" s="38"/>
      <c r="I1284" s="38"/>
      <c r="J1284" s="60"/>
      <c r="K1284" s="56"/>
    </row>
    <row r="1285" spans="1:11" ht="20.05" customHeight="1" x14ac:dyDescent="0.2">
      <c r="A1285" s="38"/>
      <c r="B1285" s="36"/>
      <c r="C1285" s="38"/>
      <c r="D1285" s="38"/>
      <c r="E1285" s="38"/>
      <c r="F1285" s="38"/>
      <c r="G1285" s="38"/>
      <c r="H1285" s="38"/>
      <c r="I1285" s="38"/>
      <c r="J1285" s="60"/>
      <c r="K1285" s="56"/>
    </row>
    <row r="1286" spans="1:11" ht="20.05" customHeight="1" x14ac:dyDescent="0.2">
      <c r="A1286" s="38"/>
      <c r="B1286" s="36"/>
      <c r="C1286" s="38"/>
      <c r="D1286" s="38"/>
      <c r="E1286" s="38"/>
      <c r="F1286" s="38"/>
      <c r="G1286" s="38"/>
      <c r="H1286" s="38"/>
      <c r="I1286" s="38"/>
      <c r="J1286" s="60"/>
      <c r="K1286" s="56"/>
    </row>
    <row r="1287" spans="1:11" ht="20.05" customHeight="1" x14ac:dyDescent="0.2">
      <c r="A1287" s="38"/>
      <c r="B1287" s="36"/>
      <c r="C1287" s="38"/>
      <c r="D1287" s="38"/>
      <c r="E1287" s="38"/>
      <c r="F1287" s="38"/>
      <c r="G1287" s="38"/>
      <c r="H1287" s="38"/>
      <c r="I1287" s="38"/>
      <c r="J1287" s="60"/>
      <c r="K1287" s="56"/>
    </row>
    <row r="1288" spans="1:11" ht="20.05" customHeight="1" x14ac:dyDescent="0.2">
      <c r="A1288" s="38"/>
      <c r="B1288" s="36"/>
      <c r="C1288" s="38"/>
      <c r="D1288" s="38"/>
      <c r="E1288" s="38"/>
      <c r="F1288" s="38"/>
      <c r="G1288" s="38"/>
      <c r="H1288" s="38"/>
      <c r="I1288" s="38"/>
      <c r="J1288" s="60"/>
      <c r="K1288" s="56"/>
    </row>
    <row r="1289" spans="1:11" ht="20.05" customHeight="1" x14ac:dyDescent="0.2">
      <c r="A1289" s="38"/>
      <c r="B1289" s="36"/>
      <c r="C1289" s="38"/>
      <c r="D1289" s="38"/>
      <c r="E1289" s="38"/>
      <c r="F1289" s="38"/>
      <c r="G1289" s="38"/>
      <c r="H1289" s="38"/>
      <c r="I1289" s="38"/>
      <c r="J1289" s="60"/>
      <c r="K1289" s="56"/>
    </row>
    <row r="1290" spans="1:11" ht="20.05" customHeight="1" x14ac:dyDescent="0.2">
      <c r="A1290" s="38"/>
      <c r="B1290" s="36"/>
      <c r="C1290" s="38"/>
      <c r="D1290" s="38"/>
      <c r="E1290" s="38"/>
      <c r="F1290" s="38"/>
      <c r="G1290" s="38"/>
      <c r="H1290" s="38"/>
      <c r="I1290" s="38"/>
      <c r="J1290" s="60"/>
      <c r="K1290" s="56"/>
    </row>
    <row r="1291" spans="1:11" ht="20.05" customHeight="1" x14ac:dyDescent="0.2">
      <c r="A1291" s="38"/>
      <c r="B1291" s="36"/>
      <c r="C1291" s="38"/>
      <c r="D1291" s="38"/>
      <c r="E1291" s="38"/>
      <c r="F1291" s="38"/>
      <c r="G1291" s="38"/>
      <c r="H1291" s="38"/>
      <c r="I1291" s="38"/>
      <c r="J1291" s="60"/>
      <c r="K1291" s="56"/>
    </row>
    <row r="1292" spans="1:11" ht="20.05" customHeight="1" x14ac:dyDescent="0.2">
      <c r="A1292" s="38"/>
      <c r="B1292" s="36"/>
      <c r="C1292" s="38"/>
      <c r="D1292" s="38"/>
      <c r="E1292" s="38"/>
      <c r="F1292" s="38"/>
      <c r="G1292" s="38"/>
      <c r="H1292" s="38"/>
      <c r="I1292" s="38"/>
      <c r="J1292" s="60"/>
      <c r="K1292" s="56"/>
    </row>
    <row r="1293" spans="1:11" ht="20.05" customHeight="1" x14ac:dyDescent="0.2">
      <c r="A1293" s="38"/>
      <c r="B1293" s="36"/>
      <c r="C1293" s="38"/>
      <c r="D1293" s="38"/>
      <c r="E1293" s="38"/>
      <c r="F1293" s="38"/>
      <c r="G1293" s="38"/>
      <c r="H1293" s="38"/>
      <c r="I1293" s="38"/>
      <c r="J1293" s="60"/>
      <c r="K1293" s="56"/>
    </row>
    <row r="1294" spans="1:11" ht="20.05" customHeight="1" x14ac:dyDescent="0.2">
      <c r="A1294" s="38"/>
      <c r="B1294" s="36"/>
      <c r="C1294" s="38"/>
      <c r="D1294" s="38"/>
      <c r="E1294" s="38"/>
      <c r="F1294" s="38"/>
      <c r="G1294" s="38"/>
      <c r="H1294" s="38"/>
      <c r="I1294" s="38"/>
      <c r="J1294" s="60"/>
      <c r="K1294" s="56"/>
    </row>
    <row r="1295" spans="1:11" ht="20.05" customHeight="1" x14ac:dyDescent="0.2">
      <c r="A1295" s="38"/>
      <c r="B1295" s="36"/>
      <c r="C1295" s="38"/>
      <c r="D1295" s="38"/>
      <c r="E1295" s="38"/>
      <c r="F1295" s="38"/>
      <c r="G1295" s="38"/>
      <c r="H1295" s="38"/>
      <c r="I1295" s="38"/>
      <c r="J1295" s="60"/>
      <c r="K1295" s="56"/>
    </row>
    <row r="1296" spans="1:11" ht="20.05" customHeight="1" x14ac:dyDescent="0.2">
      <c r="A1296" s="38"/>
      <c r="B1296" s="36"/>
      <c r="C1296" s="38"/>
      <c r="D1296" s="38"/>
      <c r="E1296" s="38"/>
      <c r="F1296" s="38"/>
      <c r="G1296" s="38"/>
      <c r="H1296" s="38"/>
      <c r="I1296" s="38"/>
      <c r="J1296" s="60"/>
      <c r="K1296" s="56"/>
    </row>
    <row r="1297" spans="1:11" ht="20.05" customHeight="1" x14ac:dyDescent="0.2">
      <c r="A1297" s="38"/>
      <c r="B1297" s="36"/>
      <c r="C1297" s="38"/>
      <c r="D1297" s="38"/>
      <c r="E1297" s="38"/>
      <c r="F1297" s="38"/>
      <c r="G1297" s="38"/>
      <c r="H1297" s="38"/>
      <c r="I1297" s="38"/>
      <c r="J1297" s="60"/>
      <c r="K1297" s="56"/>
    </row>
    <row r="1298" spans="1:11" ht="20.05" customHeight="1" x14ac:dyDescent="0.2">
      <c r="A1298" s="38"/>
      <c r="B1298" s="36"/>
      <c r="C1298" s="38"/>
      <c r="D1298" s="38"/>
      <c r="E1298" s="38"/>
      <c r="F1298" s="38"/>
      <c r="G1298" s="38"/>
      <c r="H1298" s="38"/>
      <c r="I1298" s="38"/>
      <c r="J1298" s="60"/>
      <c r="K1298" s="56"/>
    </row>
    <row r="1299" spans="1:11" ht="20.05" customHeight="1" x14ac:dyDescent="0.2">
      <c r="A1299" s="38"/>
      <c r="B1299" s="36"/>
      <c r="C1299" s="38"/>
      <c r="D1299" s="38"/>
      <c r="E1299" s="38"/>
      <c r="F1299" s="38"/>
      <c r="G1299" s="38"/>
      <c r="H1299" s="38"/>
      <c r="I1299" s="38"/>
      <c r="J1299" s="60"/>
      <c r="K1299" s="56"/>
    </row>
    <row r="1300" spans="1:11" ht="20.05" customHeight="1" x14ac:dyDescent="0.2">
      <c r="A1300" s="38"/>
      <c r="B1300" s="36"/>
      <c r="C1300" s="38"/>
      <c r="D1300" s="38"/>
      <c r="E1300" s="38"/>
      <c r="F1300" s="38"/>
      <c r="G1300" s="38"/>
      <c r="H1300" s="38"/>
      <c r="I1300" s="38"/>
      <c r="J1300" s="60"/>
      <c r="K1300" s="56"/>
    </row>
    <row r="1301" spans="1:11" ht="20.05" customHeight="1" x14ac:dyDescent="0.2">
      <c r="A1301" s="38"/>
      <c r="B1301" s="36"/>
      <c r="C1301" s="38"/>
      <c r="D1301" s="38"/>
      <c r="E1301" s="38"/>
      <c r="F1301" s="38"/>
      <c r="G1301" s="38"/>
      <c r="H1301" s="38"/>
      <c r="I1301" s="38"/>
      <c r="J1301" s="60"/>
      <c r="K1301" s="56"/>
    </row>
    <row r="1302" spans="1:11" ht="20.05" customHeight="1" x14ac:dyDescent="0.2">
      <c r="A1302" s="38"/>
      <c r="B1302" s="36"/>
      <c r="C1302" s="38"/>
      <c r="D1302" s="38"/>
      <c r="E1302" s="38"/>
      <c r="F1302" s="38"/>
      <c r="G1302" s="38"/>
      <c r="H1302" s="38"/>
      <c r="I1302" s="38"/>
      <c r="J1302" s="60"/>
      <c r="K1302" s="56"/>
    </row>
    <row r="1303" spans="1:11" ht="20.05" customHeight="1" x14ac:dyDescent="0.2">
      <c r="A1303" s="38"/>
      <c r="B1303" s="36"/>
      <c r="C1303" s="38"/>
      <c r="D1303" s="38"/>
      <c r="E1303" s="38"/>
      <c r="F1303" s="38"/>
      <c r="G1303" s="38"/>
      <c r="H1303" s="38"/>
      <c r="I1303" s="38"/>
      <c r="J1303" s="60"/>
      <c r="K1303" s="56"/>
    </row>
    <row r="1304" spans="1:11" ht="20.05" customHeight="1" x14ac:dyDescent="0.2">
      <c r="A1304" s="38"/>
      <c r="B1304" s="36"/>
      <c r="C1304" s="38"/>
      <c r="D1304" s="38"/>
      <c r="E1304" s="38"/>
      <c r="F1304" s="38"/>
      <c r="G1304" s="38"/>
      <c r="H1304" s="38"/>
      <c r="I1304" s="38"/>
      <c r="J1304" s="60"/>
      <c r="K1304" s="56"/>
    </row>
    <row r="1305" spans="1:11" ht="20.05" customHeight="1" x14ac:dyDescent="0.2">
      <c r="A1305" s="38"/>
      <c r="B1305" s="36"/>
      <c r="C1305" s="38"/>
      <c r="D1305" s="38"/>
      <c r="E1305" s="38"/>
      <c r="F1305" s="38"/>
      <c r="G1305" s="38"/>
      <c r="H1305" s="38"/>
      <c r="I1305" s="38"/>
      <c r="J1305" s="60"/>
      <c r="K1305" s="56"/>
    </row>
    <row r="1306" spans="1:11" ht="20.05" customHeight="1" x14ac:dyDescent="0.2">
      <c r="A1306" s="38"/>
      <c r="B1306" s="36"/>
      <c r="C1306" s="38"/>
      <c r="D1306" s="38"/>
      <c r="E1306" s="38"/>
      <c r="F1306" s="38"/>
      <c r="G1306" s="38"/>
      <c r="H1306" s="38"/>
      <c r="I1306" s="38"/>
      <c r="J1306" s="60"/>
      <c r="K1306" s="56"/>
    </row>
    <row r="1307" spans="1:11" ht="20.05" customHeight="1" x14ac:dyDescent="0.2">
      <c r="A1307" s="38"/>
      <c r="B1307" s="36"/>
      <c r="C1307" s="38"/>
      <c r="D1307" s="38"/>
      <c r="E1307" s="38"/>
      <c r="F1307" s="38"/>
      <c r="G1307" s="38"/>
      <c r="H1307" s="38"/>
      <c r="I1307" s="38"/>
      <c r="J1307" s="60"/>
      <c r="K1307" s="56"/>
    </row>
    <row r="1308" spans="1:11" ht="20.05" customHeight="1" x14ac:dyDescent="0.2">
      <c r="A1308" s="38"/>
      <c r="B1308" s="36"/>
      <c r="C1308" s="38"/>
      <c r="D1308" s="38"/>
      <c r="E1308" s="38"/>
      <c r="F1308" s="38"/>
      <c r="G1308" s="38"/>
      <c r="H1308" s="38"/>
      <c r="I1308" s="38"/>
      <c r="J1308" s="60"/>
      <c r="K1308" s="56"/>
    </row>
    <row r="1309" spans="1:11" ht="20.05" customHeight="1" x14ac:dyDescent="0.2">
      <c r="A1309" s="38"/>
      <c r="B1309" s="36"/>
      <c r="C1309" s="38"/>
      <c r="D1309" s="38"/>
      <c r="E1309" s="38"/>
      <c r="F1309" s="38"/>
      <c r="G1309" s="38"/>
      <c r="H1309" s="38"/>
      <c r="I1309" s="38"/>
      <c r="J1309" s="60"/>
      <c r="K1309" s="56"/>
    </row>
    <row r="1310" spans="1:11" ht="20.05" customHeight="1" x14ac:dyDescent="0.2">
      <c r="A1310" s="38"/>
      <c r="B1310" s="36"/>
      <c r="C1310" s="38"/>
      <c r="D1310" s="38"/>
      <c r="E1310" s="38"/>
      <c r="F1310" s="38"/>
      <c r="G1310" s="38"/>
      <c r="H1310" s="38"/>
      <c r="I1310" s="38"/>
      <c r="J1310" s="60"/>
      <c r="K1310" s="56"/>
    </row>
    <row r="1311" spans="1:11" ht="20.05" customHeight="1" x14ac:dyDescent="0.2">
      <c r="A1311" s="38"/>
      <c r="B1311" s="36"/>
      <c r="C1311" s="38"/>
      <c r="D1311" s="38"/>
      <c r="E1311" s="38"/>
      <c r="F1311" s="38"/>
      <c r="G1311" s="38"/>
      <c r="H1311" s="38"/>
      <c r="I1311" s="38"/>
      <c r="J1311" s="60"/>
      <c r="K1311" s="56"/>
    </row>
    <row r="1312" spans="1:11" ht="20.05" customHeight="1" x14ac:dyDescent="0.2">
      <c r="A1312" s="38"/>
      <c r="B1312" s="36"/>
      <c r="C1312" s="38"/>
      <c r="D1312" s="38"/>
      <c r="E1312" s="38"/>
      <c r="F1312" s="38"/>
      <c r="G1312" s="38"/>
      <c r="H1312" s="38"/>
      <c r="I1312" s="38"/>
      <c r="J1312" s="60"/>
      <c r="K1312" s="56"/>
    </row>
    <row r="1313" spans="1:11" ht="20.05" customHeight="1" x14ac:dyDescent="0.2">
      <c r="A1313" s="38"/>
      <c r="B1313" s="36"/>
      <c r="C1313" s="38"/>
      <c r="D1313" s="38"/>
      <c r="E1313" s="38"/>
      <c r="F1313" s="38"/>
      <c r="G1313" s="38"/>
      <c r="H1313" s="38"/>
      <c r="I1313" s="38"/>
      <c r="J1313" s="60"/>
      <c r="K1313" s="56"/>
    </row>
    <row r="1314" spans="1:11" ht="20.05" customHeight="1" x14ac:dyDescent="0.2">
      <c r="A1314" s="38"/>
      <c r="B1314" s="36"/>
      <c r="C1314" s="38"/>
      <c r="D1314" s="38"/>
      <c r="E1314" s="38"/>
      <c r="F1314" s="38"/>
      <c r="G1314" s="38"/>
      <c r="H1314" s="38"/>
      <c r="I1314" s="38"/>
      <c r="J1314" s="60"/>
      <c r="K1314" s="56"/>
    </row>
    <row r="1315" spans="1:11" ht="20.05" customHeight="1" x14ac:dyDescent="0.2">
      <c r="A1315" s="38"/>
      <c r="B1315" s="36"/>
      <c r="C1315" s="38"/>
      <c r="D1315" s="38"/>
      <c r="E1315" s="38"/>
      <c r="F1315" s="38"/>
      <c r="G1315" s="38"/>
      <c r="H1315" s="38"/>
      <c r="I1315" s="38"/>
      <c r="J1315" s="60"/>
      <c r="K1315" s="56"/>
    </row>
    <row r="1316" spans="1:11" ht="20.05" customHeight="1" x14ac:dyDescent="0.2">
      <c r="A1316" s="38"/>
      <c r="B1316" s="36"/>
      <c r="C1316" s="38"/>
      <c r="D1316" s="38"/>
      <c r="E1316" s="38"/>
      <c r="F1316" s="38"/>
      <c r="G1316" s="38"/>
      <c r="H1316" s="38"/>
      <c r="I1316" s="38"/>
      <c r="J1316" s="60"/>
      <c r="K1316" s="56"/>
    </row>
    <row r="1317" spans="1:11" ht="20.05" customHeight="1" x14ac:dyDescent="0.2">
      <c r="A1317" s="38"/>
      <c r="B1317" s="36"/>
      <c r="C1317" s="38"/>
      <c r="D1317" s="38"/>
      <c r="E1317" s="38"/>
      <c r="F1317" s="38"/>
      <c r="G1317" s="38"/>
      <c r="H1317" s="38"/>
      <c r="I1317" s="38"/>
      <c r="J1317" s="60"/>
      <c r="K1317" s="56"/>
    </row>
    <row r="1318" spans="1:11" ht="20.05" customHeight="1" x14ac:dyDescent="0.2">
      <c r="A1318" s="38"/>
      <c r="B1318" s="36"/>
      <c r="C1318" s="38"/>
      <c r="D1318" s="38"/>
      <c r="E1318" s="38"/>
      <c r="F1318" s="38"/>
      <c r="G1318" s="38"/>
      <c r="H1318" s="38"/>
      <c r="I1318" s="38"/>
      <c r="J1318" s="60"/>
      <c r="K1318" s="56"/>
    </row>
    <row r="1319" spans="1:11" ht="20.05" customHeight="1" x14ac:dyDescent="0.2">
      <c r="A1319" s="38"/>
      <c r="B1319" s="36"/>
      <c r="C1319" s="38"/>
      <c r="D1319" s="38"/>
      <c r="E1319" s="38"/>
      <c r="F1319" s="38"/>
      <c r="G1319" s="38"/>
      <c r="H1319" s="38"/>
      <c r="I1319" s="38"/>
      <c r="J1319" s="60"/>
      <c r="K1319" s="56"/>
    </row>
    <row r="1320" spans="1:11" ht="20.05" customHeight="1" x14ac:dyDescent="0.2">
      <c r="A1320" s="38"/>
      <c r="B1320" s="36"/>
      <c r="C1320" s="38"/>
      <c r="D1320" s="38"/>
      <c r="E1320" s="38"/>
      <c r="F1320" s="38"/>
      <c r="G1320" s="38"/>
      <c r="H1320" s="38"/>
      <c r="I1320" s="38"/>
      <c r="J1320" s="60"/>
      <c r="K1320" s="56"/>
    </row>
    <row r="1321" spans="1:11" ht="20.05" customHeight="1" x14ac:dyDescent="0.2">
      <c r="A1321" s="38"/>
      <c r="B1321" s="36"/>
      <c r="C1321" s="38"/>
      <c r="D1321" s="38"/>
      <c r="E1321" s="38"/>
      <c r="F1321" s="38"/>
      <c r="G1321" s="38"/>
      <c r="H1321" s="38"/>
      <c r="I1321" s="38"/>
      <c r="J1321" s="60"/>
      <c r="K1321" s="56"/>
    </row>
    <row r="1322" spans="1:11" ht="20.05" customHeight="1" x14ac:dyDescent="0.2">
      <c r="A1322" s="38"/>
      <c r="B1322" s="36"/>
      <c r="C1322" s="38"/>
      <c r="D1322" s="38"/>
      <c r="E1322" s="38"/>
      <c r="F1322" s="38"/>
      <c r="G1322" s="38"/>
      <c r="H1322" s="38"/>
      <c r="I1322" s="38"/>
      <c r="J1322" s="60"/>
      <c r="K1322" s="56"/>
    </row>
    <row r="1323" spans="1:11" ht="20.05" customHeight="1" x14ac:dyDescent="0.2">
      <c r="A1323" s="38"/>
      <c r="B1323" s="36"/>
      <c r="C1323" s="38"/>
      <c r="D1323" s="38"/>
      <c r="E1323" s="38"/>
      <c r="F1323" s="38"/>
      <c r="G1323" s="38"/>
      <c r="H1323" s="38"/>
      <c r="I1323" s="38"/>
      <c r="J1323" s="60"/>
      <c r="K1323" s="56"/>
    </row>
    <row r="1324" spans="1:11" ht="20.05" customHeight="1" x14ac:dyDescent="0.2">
      <c r="A1324" s="38"/>
      <c r="B1324" s="36"/>
      <c r="C1324" s="38"/>
      <c r="D1324" s="38"/>
      <c r="E1324" s="38"/>
      <c r="F1324" s="38"/>
      <c r="G1324" s="38"/>
      <c r="H1324" s="38"/>
      <c r="I1324" s="38"/>
      <c r="J1324" s="60"/>
      <c r="K1324" s="56"/>
    </row>
    <row r="1325" spans="1:11" ht="20.05" customHeight="1" x14ac:dyDescent="0.2">
      <c r="A1325" s="38"/>
      <c r="B1325" s="36"/>
      <c r="C1325" s="38"/>
      <c r="D1325" s="38"/>
      <c r="E1325" s="38"/>
      <c r="F1325" s="38"/>
      <c r="G1325" s="38"/>
      <c r="H1325" s="38"/>
      <c r="I1325" s="38"/>
      <c r="J1325" s="60"/>
      <c r="K1325" s="56"/>
    </row>
    <row r="1326" spans="1:11" ht="20.05" customHeight="1" x14ac:dyDescent="0.2">
      <c r="A1326" s="38"/>
      <c r="B1326" s="36"/>
      <c r="C1326" s="38"/>
      <c r="D1326" s="38"/>
      <c r="E1326" s="38"/>
      <c r="F1326" s="38"/>
      <c r="G1326" s="38"/>
      <c r="H1326" s="38"/>
      <c r="I1326" s="38"/>
      <c r="J1326" s="60"/>
      <c r="K1326" s="56"/>
    </row>
    <row r="1327" spans="1:11" ht="20.05" customHeight="1" x14ac:dyDescent="0.2">
      <c r="A1327" s="38"/>
      <c r="B1327" s="36"/>
      <c r="C1327" s="38"/>
      <c r="D1327" s="38"/>
      <c r="E1327" s="38"/>
      <c r="F1327" s="38"/>
      <c r="G1327" s="38"/>
      <c r="H1327" s="38"/>
      <c r="I1327" s="38"/>
      <c r="J1327" s="60"/>
      <c r="K1327" s="56"/>
    </row>
    <row r="1328" spans="1:11" ht="20.05" customHeight="1" x14ac:dyDescent="0.2">
      <c r="A1328" s="38"/>
      <c r="B1328" s="36"/>
      <c r="C1328" s="38"/>
      <c r="D1328" s="38"/>
      <c r="E1328" s="38"/>
      <c r="F1328" s="38"/>
      <c r="G1328" s="38"/>
      <c r="H1328" s="38"/>
      <c r="I1328" s="38"/>
      <c r="J1328" s="60"/>
      <c r="K1328" s="56"/>
    </row>
    <row r="1329" spans="1:11" ht="20.05" customHeight="1" x14ac:dyDescent="0.2">
      <c r="A1329" s="38"/>
      <c r="B1329" s="36"/>
      <c r="C1329" s="38"/>
      <c r="D1329" s="38"/>
      <c r="E1329" s="38"/>
      <c r="F1329" s="38"/>
      <c r="G1329" s="38"/>
      <c r="H1329" s="38"/>
      <c r="I1329" s="38"/>
      <c r="J1329" s="60"/>
      <c r="K1329" s="56"/>
    </row>
    <row r="1330" spans="1:11" ht="20.05" customHeight="1" x14ac:dyDescent="0.2">
      <c r="A1330" s="38"/>
      <c r="B1330" s="36"/>
      <c r="C1330" s="38"/>
      <c r="D1330" s="38"/>
      <c r="E1330" s="38"/>
      <c r="F1330" s="38"/>
      <c r="G1330" s="38"/>
      <c r="H1330" s="38"/>
      <c r="I1330" s="38"/>
      <c r="J1330" s="60"/>
      <c r="K1330" s="56"/>
    </row>
    <row r="1331" spans="1:11" ht="20.05" customHeight="1" x14ac:dyDescent="0.2">
      <c r="A1331" s="38"/>
      <c r="B1331" s="36"/>
      <c r="C1331" s="38"/>
      <c r="D1331" s="38"/>
      <c r="E1331" s="38"/>
      <c r="F1331" s="38"/>
      <c r="G1331" s="38"/>
      <c r="H1331" s="38"/>
      <c r="I1331" s="38"/>
      <c r="J1331" s="60"/>
      <c r="K1331" s="56"/>
    </row>
    <row r="1332" spans="1:11" ht="20.05" customHeight="1" x14ac:dyDescent="0.2">
      <c r="A1332" s="38"/>
      <c r="B1332" s="36"/>
      <c r="C1332" s="38"/>
      <c r="D1332" s="38"/>
      <c r="E1332" s="38"/>
      <c r="F1332" s="38"/>
      <c r="G1332" s="38"/>
      <c r="H1332" s="38"/>
      <c r="I1332" s="38"/>
      <c r="J1332" s="60"/>
      <c r="K1332" s="56"/>
    </row>
    <row r="1333" spans="1:11" ht="20.05" customHeight="1" x14ac:dyDescent="0.2">
      <c r="A1333" s="38"/>
      <c r="B1333" s="36"/>
      <c r="C1333" s="38"/>
      <c r="D1333" s="38"/>
      <c r="E1333" s="38"/>
      <c r="F1333" s="38"/>
      <c r="G1333" s="38"/>
      <c r="H1333" s="38"/>
      <c r="I1333" s="38"/>
      <c r="J1333" s="60"/>
      <c r="K1333" s="56"/>
    </row>
    <row r="1334" spans="1:11" ht="20.05" customHeight="1" x14ac:dyDescent="0.2">
      <c r="A1334" s="38"/>
      <c r="B1334" s="36"/>
      <c r="C1334" s="38"/>
      <c r="D1334" s="38"/>
      <c r="E1334" s="38"/>
      <c r="F1334" s="38"/>
      <c r="G1334" s="38"/>
      <c r="H1334" s="38"/>
      <c r="I1334" s="38"/>
      <c r="J1334" s="60"/>
      <c r="K1334" s="56"/>
    </row>
    <row r="1335" spans="1:11" ht="20.05" customHeight="1" x14ac:dyDescent="0.2">
      <c r="A1335" s="38"/>
      <c r="B1335" s="36"/>
      <c r="C1335" s="38"/>
      <c r="D1335" s="38"/>
      <c r="E1335" s="38"/>
      <c r="F1335" s="38"/>
      <c r="G1335" s="38"/>
      <c r="H1335" s="38"/>
      <c r="I1335" s="38"/>
      <c r="J1335" s="60"/>
      <c r="K1335" s="56"/>
    </row>
    <row r="1336" spans="1:11" ht="20.05" customHeight="1" x14ac:dyDescent="0.2">
      <c r="A1336" s="38"/>
      <c r="B1336" s="36"/>
      <c r="C1336" s="38"/>
      <c r="D1336" s="38"/>
      <c r="E1336" s="38"/>
      <c r="F1336" s="38"/>
      <c r="G1336" s="38"/>
      <c r="H1336" s="38"/>
      <c r="I1336" s="38"/>
      <c r="J1336" s="60"/>
      <c r="K1336" s="56"/>
    </row>
    <row r="1337" spans="1:11" ht="20.05" customHeight="1" x14ac:dyDescent="0.2">
      <c r="A1337" s="38"/>
      <c r="B1337" s="36"/>
      <c r="C1337" s="38"/>
      <c r="D1337" s="38"/>
      <c r="E1337" s="38"/>
      <c r="F1337" s="38"/>
      <c r="G1337" s="38"/>
      <c r="H1337" s="38"/>
      <c r="I1337" s="38"/>
      <c r="J1337" s="60"/>
      <c r="K1337" s="56"/>
    </row>
    <row r="1338" spans="1:11" ht="20.05" customHeight="1" x14ac:dyDescent="0.2">
      <c r="A1338" s="38"/>
      <c r="B1338" s="36"/>
      <c r="C1338" s="38"/>
      <c r="D1338" s="38"/>
      <c r="E1338" s="38"/>
      <c r="F1338" s="38"/>
      <c r="G1338" s="38"/>
      <c r="H1338" s="38"/>
      <c r="I1338" s="38"/>
      <c r="J1338" s="60"/>
      <c r="K1338" s="56"/>
    </row>
    <row r="1339" spans="1:11" ht="20.05" customHeight="1" x14ac:dyDescent="0.2">
      <c r="A1339" s="38"/>
      <c r="B1339" s="36"/>
      <c r="C1339" s="38"/>
      <c r="D1339" s="38"/>
      <c r="E1339" s="38"/>
      <c r="F1339" s="38"/>
      <c r="G1339" s="38"/>
      <c r="H1339" s="38"/>
      <c r="I1339" s="38"/>
      <c r="J1339" s="60"/>
      <c r="K1339" s="56"/>
    </row>
    <row r="1340" spans="1:11" ht="20.05" customHeight="1" x14ac:dyDescent="0.2">
      <c r="A1340" s="38"/>
      <c r="B1340" s="36"/>
      <c r="C1340" s="38"/>
      <c r="D1340" s="38"/>
      <c r="E1340" s="38"/>
      <c r="F1340" s="38"/>
      <c r="G1340" s="38"/>
      <c r="H1340" s="38"/>
      <c r="I1340" s="38"/>
      <c r="J1340" s="60"/>
      <c r="K1340" s="56"/>
    </row>
    <row r="1341" spans="1:11" ht="20.05" customHeight="1" x14ac:dyDescent="0.2">
      <c r="A1341" s="38"/>
      <c r="B1341" s="36"/>
      <c r="C1341" s="38"/>
      <c r="D1341" s="38"/>
      <c r="E1341" s="38"/>
      <c r="F1341" s="38"/>
      <c r="G1341" s="38"/>
      <c r="H1341" s="38"/>
      <c r="I1341" s="38"/>
      <c r="J1341" s="60"/>
      <c r="K1341" s="56"/>
    </row>
    <row r="1342" spans="1:11" ht="20.05" customHeight="1" x14ac:dyDescent="0.2">
      <c r="A1342" s="38"/>
      <c r="B1342" s="36"/>
      <c r="C1342" s="38"/>
      <c r="D1342" s="38"/>
      <c r="E1342" s="38"/>
      <c r="F1342" s="38"/>
      <c r="G1342" s="38"/>
      <c r="H1342" s="38"/>
      <c r="I1342" s="38"/>
      <c r="J1342" s="60"/>
      <c r="K1342" s="56"/>
    </row>
    <row r="1343" spans="1:11" ht="20.05" customHeight="1" x14ac:dyDescent="0.2">
      <c r="A1343" s="38"/>
      <c r="B1343" s="36"/>
      <c r="C1343" s="38"/>
      <c r="D1343" s="38"/>
      <c r="E1343" s="38"/>
      <c r="F1343" s="38"/>
      <c r="G1343" s="38"/>
      <c r="H1343" s="38"/>
      <c r="I1343" s="38"/>
      <c r="J1343" s="60"/>
      <c r="K1343" s="56"/>
    </row>
    <row r="1344" spans="1:11" ht="20.05" customHeight="1" x14ac:dyDescent="0.2">
      <c r="A1344" s="38"/>
      <c r="B1344" s="36"/>
      <c r="C1344" s="38"/>
      <c r="D1344" s="38"/>
      <c r="E1344" s="38"/>
      <c r="F1344" s="38"/>
      <c r="G1344" s="38"/>
      <c r="H1344" s="38"/>
      <c r="I1344" s="38"/>
      <c r="J1344" s="60"/>
      <c r="K1344" s="56"/>
    </row>
    <row r="1345" spans="1:11" ht="20.05" customHeight="1" x14ac:dyDescent="0.2">
      <c r="A1345" s="38"/>
      <c r="B1345" s="36"/>
      <c r="C1345" s="38"/>
      <c r="D1345" s="38"/>
      <c r="E1345" s="38"/>
      <c r="F1345" s="38"/>
      <c r="G1345" s="38"/>
      <c r="H1345" s="38"/>
      <c r="I1345" s="38"/>
      <c r="J1345" s="60"/>
      <c r="K1345" s="56"/>
    </row>
    <row r="1346" spans="1:11" ht="20.05" customHeight="1" x14ac:dyDescent="0.2">
      <c r="A1346" s="38"/>
      <c r="B1346" s="36"/>
      <c r="C1346" s="38"/>
      <c r="D1346" s="38"/>
      <c r="E1346" s="38"/>
      <c r="F1346" s="38"/>
      <c r="G1346" s="38"/>
      <c r="H1346" s="38"/>
      <c r="I1346" s="38"/>
      <c r="J1346" s="60"/>
      <c r="K1346" s="56"/>
    </row>
    <row r="1347" spans="1:11" ht="20.05" customHeight="1" x14ac:dyDescent="0.2">
      <c r="A1347" s="38"/>
      <c r="B1347" s="36"/>
      <c r="C1347" s="38"/>
      <c r="D1347" s="38"/>
      <c r="E1347" s="38"/>
      <c r="F1347" s="38"/>
      <c r="G1347" s="38"/>
      <c r="H1347" s="38"/>
      <c r="I1347" s="38"/>
      <c r="J1347" s="60"/>
      <c r="K1347" s="56"/>
    </row>
    <row r="1348" spans="1:11" ht="20.05" customHeight="1" x14ac:dyDescent="0.2">
      <c r="A1348" s="38"/>
      <c r="B1348" s="36"/>
      <c r="C1348" s="38"/>
      <c r="D1348" s="38"/>
      <c r="E1348" s="38"/>
      <c r="F1348" s="38"/>
      <c r="G1348" s="38"/>
      <c r="H1348" s="38"/>
      <c r="I1348" s="38"/>
      <c r="J1348" s="60"/>
      <c r="K1348" s="56"/>
    </row>
    <row r="1349" spans="1:11" ht="20.05" customHeight="1" x14ac:dyDescent="0.2">
      <c r="A1349" s="38"/>
      <c r="B1349" s="36"/>
      <c r="C1349" s="38"/>
      <c r="D1349" s="38"/>
      <c r="E1349" s="38"/>
      <c r="F1349" s="38"/>
      <c r="G1349" s="38"/>
      <c r="H1349" s="38"/>
      <c r="I1349" s="38"/>
      <c r="J1349" s="60"/>
      <c r="K1349" s="56"/>
    </row>
    <row r="1350" spans="1:11" ht="20.05" customHeight="1" x14ac:dyDescent="0.2">
      <c r="A1350" s="38"/>
      <c r="B1350" s="36"/>
      <c r="C1350" s="38"/>
      <c r="D1350" s="38"/>
      <c r="E1350" s="38"/>
      <c r="F1350" s="38"/>
      <c r="G1350" s="38"/>
      <c r="H1350" s="38"/>
      <c r="I1350" s="38"/>
      <c r="J1350" s="60"/>
      <c r="K1350" s="56"/>
    </row>
    <row r="1351" spans="1:11" ht="20.05" customHeight="1" x14ac:dyDescent="0.2">
      <c r="A1351" s="38"/>
      <c r="B1351" s="36"/>
      <c r="C1351" s="38"/>
      <c r="D1351" s="38"/>
      <c r="E1351" s="38"/>
      <c r="F1351" s="38"/>
      <c r="G1351" s="38"/>
      <c r="H1351" s="38"/>
      <c r="I1351" s="38"/>
      <c r="J1351" s="60"/>
      <c r="K1351" s="56"/>
    </row>
    <row r="1352" spans="1:11" ht="20.05" customHeight="1" x14ac:dyDescent="0.2">
      <c r="A1352" s="38"/>
      <c r="B1352" s="36"/>
      <c r="C1352" s="38"/>
      <c r="D1352" s="38"/>
      <c r="E1352" s="38"/>
      <c r="F1352" s="38"/>
      <c r="G1352" s="38"/>
      <c r="H1352" s="38"/>
      <c r="I1352" s="38"/>
      <c r="J1352" s="60"/>
      <c r="K1352" s="56"/>
    </row>
    <row r="1353" spans="1:11" ht="20.05" customHeight="1" x14ac:dyDescent="0.2">
      <c r="A1353" s="38"/>
      <c r="B1353" s="36"/>
      <c r="C1353" s="38"/>
      <c r="D1353" s="38"/>
      <c r="E1353" s="38"/>
      <c r="F1353" s="38"/>
      <c r="G1353" s="38"/>
      <c r="H1353" s="38"/>
      <c r="I1353" s="38"/>
      <c r="J1353" s="60"/>
      <c r="K1353" s="56"/>
    </row>
    <row r="1354" spans="1:11" ht="20.05" customHeight="1" x14ac:dyDescent="0.2">
      <c r="A1354" s="38"/>
      <c r="B1354" s="36"/>
      <c r="C1354" s="38"/>
      <c r="D1354" s="38"/>
      <c r="E1354" s="38"/>
      <c r="F1354" s="38"/>
      <c r="G1354" s="38"/>
      <c r="H1354" s="38"/>
      <c r="I1354" s="38"/>
      <c r="J1354" s="60"/>
      <c r="K1354" s="56"/>
    </row>
    <row r="1355" spans="1:11" ht="20.05" customHeight="1" x14ac:dyDescent="0.2">
      <c r="A1355" s="38"/>
      <c r="B1355" s="36"/>
      <c r="C1355" s="38"/>
      <c r="D1355" s="38"/>
      <c r="E1355" s="38"/>
      <c r="F1355" s="38"/>
      <c r="G1355" s="38"/>
      <c r="H1355" s="38"/>
      <c r="I1355" s="38"/>
      <c r="J1355" s="60"/>
      <c r="K1355" s="56"/>
    </row>
    <row r="1356" spans="1:11" ht="20.05" customHeight="1" x14ac:dyDescent="0.2">
      <c r="A1356" s="38"/>
      <c r="B1356" s="36"/>
      <c r="C1356" s="38"/>
      <c r="D1356" s="38"/>
      <c r="E1356" s="38"/>
      <c r="F1356" s="38"/>
      <c r="G1356" s="38"/>
      <c r="H1356" s="38"/>
      <c r="I1356" s="38"/>
      <c r="J1356" s="60"/>
      <c r="K1356" s="56"/>
    </row>
    <row r="1357" spans="1:11" ht="20.05" customHeight="1" x14ac:dyDescent="0.2">
      <c r="A1357" s="38"/>
      <c r="B1357" s="36"/>
      <c r="C1357" s="38"/>
      <c r="D1357" s="38"/>
      <c r="E1357" s="38"/>
      <c r="F1357" s="38"/>
      <c r="G1357" s="38"/>
      <c r="H1357" s="38"/>
      <c r="I1357" s="38"/>
      <c r="J1357" s="60"/>
      <c r="K1357" s="56"/>
    </row>
    <row r="1358" spans="1:11" ht="20.05" customHeight="1" x14ac:dyDescent="0.2">
      <c r="A1358" s="38"/>
      <c r="B1358" s="36"/>
      <c r="C1358" s="38"/>
      <c r="D1358" s="38"/>
      <c r="E1358" s="38"/>
      <c r="F1358" s="38"/>
      <c r="G1358" s="38"/>
      <c r="H1358" s="38"/>
      <c r="I1358" s="38"/>
      <c r="J1358" s="60"/>
      <c r="K1358" s="56"/>
    </row>
    <row r="1359" spans="1:11" ht="20.05" customHeight="1" x14ac:dyDescent="0.2">
      <c r="A1359" s="38"/>
      <c r="B1359" s="36"/>
      <c r="C1359" s="38"/>
      <c r="D1359" s="38"/>
      <c r="E1359" s="38"/>
      <c r="F1359" s="38"/>
      <c r="G1359" s="38"/>
      <c r="H1359" s="38"/>
      <c r="I1359" s="38"/>
      <c r="J1359" s="60"/>
      <c r="K1359" s="56"/>
    </row>
    <row r="1360" spans="1:11" ht="20.05" customHeight="1" x14ac:dyDescent="0.2">
      <c r="A1360" s="38"/>
      <c r="B1360" s="36"/>
      <c r="C1360" s="38"/>
      <c r="D1360" s="38"/>
      <c r="E1360" s="38"/>
      <c r="F1360" s="38"/>
      <c r="G1360" s="38"/>
      <c r="H1360" s="38"/>
      <c r="I1360" s="38"/>
      <c r="J1360" s="60"/>
      <c r="K1360" s="56"/>
    </row>
    <row r="1361" spans="1:11" ht="20.05" customHeight="1" x14ac:dyDescent="0.2">
      <c r="A1361" s="38"/>
      <c r="B1361" s="36"/>
      <c r="C1361" s="38"/>
      <c r="D1361" s="38"/>
      <c r="E1361" s="38"/>
      <c r="F1361" s="38"/>
      <c r="G1361" s="38"/>
      <c r="H1361" s="38"/>
      <c r="I1361" s="38"/>
      <c r="J1361" s="60"/>
      <c r="K1361" s="56"/>
    </row>
    <row r="1362" spans="1:11" ht="20.05" customHeight="1" x14ac:dyDescent="0.2">
      <c r="A1362" s="38"/>
      <c r="B1362" s="36"/>
      <c r="C1362" s="38"/>
      <c r="D1362" s="38"/>
      <c r="E1362" s="38"/>
      <c r="F1362" s="38"/>
      <c r="G1362" s="38"/>
      <c r="H1362" s="38"/>
      <c r="I1362" s="38"/>
      <c r="J1362" s="60"/>
      <c r="K1362" s="56"/>
    </row>
    <row r="1363" spans="1:11" ht="20.05" customHeight="1" x14ac:dyDescent="0.2">
      <c r="A1363" s="38"/>
      <c r="B1363" s="36"/>
      <c r="C1363" s="38"/>
      <c r="D1363" s="38"/>
      <c r="E1363" s="38"/>
      <c r="F1363" s="38"/>
      <c r="G1363" s="38"/>
      <c r="H1363" s="38"/>
      <c r="I1363" s="38"/>
      <c r="J1363" s="60"/>
      <c r="K1363" s="56"/>
    </row>
    <row r="1364" spans="1:11" ht="20.05" customHeight="1" x14ac:dyDescent="0.2">
      <c r="A1364" s="38"/>
      <c r="B1364" s="36"/>
      <c r="C1364" s="38"/>
      <c r="D1364" s="38"/>
      <c r="E1364" s="38"/>
      <c r="F1364" s="38"/>
      <c r="G1364" s="38"/>
      <c r="H1364" s="38"/>
      <c r="I1364" s="38"/>
      <c r="J1364" s="60"/>
      <c r="K1364" s="56"/>
    </row>
    <row r="1365" spans="1:11" ht="20.05" customHeight="1" x14ac:dyDescent="0.2">
      <c r="A1365" s="38"/>
      <c r="B1365" s="36"/>
      <c r="C1365" s="38"/>
      <c r="D1365" s="38"/>
      <c r="E1365" s="38"/>
      <c r="F1365" s="38"/>
      <c r="G1365" s="38"/>
      <c r="H1365" s="38"/>
      <c r="I1365" s="38"/>
      <c r="J1365" s="60"/>
      <c r="K1365" s="56"/>
    </row>
    <row r="1366" spans="1:11" ht="20.05" customHeight="1" x14ac:dyDescent="0.2">
      <c r="A1366" s="38"/>
      <c r="B1366" s="36"/>
      <c r="C1366" s="38"/>
      <c r="D1366" s="38"/>
      <c r="E1366" s="38"/>
      <c r="F1366" s="38"/>
      <c r="G1366" s="38"/>
      <c r="H1366" s="38"/>
      <c r="I1366" s="38"/>
      <c r="J1366" s="60"/>
      <c r="K1366" s="56"/>
    </row>
    <row r="1367" spans="1:11" ht="20.05" customHeight="1" x14ac:dyDescent="0.2">
      <c r="A1367" s="38"/>
      <c r="B1367" s="36"/>
      <c r="C1367" s="38"/>
      <c r="D1367" s="38"/>
      <c r="E1367" s="38"/>
      <c r="F1367" s="38"/>
      <c r="G1367" s="38"/>
      <c r="H1367" s="38"/>
      <c r="I1367" s="38"/>
      <c r="J1367" s="60"/>
      <c r="K1367" s="56"/>
    </row>
    <row r="1368" spans="1:11" ht="20.05" customHeight="1" x14ac:dyDescent="0.2">
      <c r="A1368" s="38"/>
      <c r="B1368" s="36"/>
      <c r="C1368" s="38"/>
      <c r="D1368" s="38"/>
      <c r="E1368" s="38"/>
      <c r="F1368" s="38"/>
      <c r="G1368" s="38"/>
      <c r="H1368" s="38"/>
      <c r="I1368" s="38"/>
      <c r="J1368" s="60"/>
      <c r="K1368" s="56"/>
    </row>
    <row r="1369" spans="1:11" ht="20.05" customHeight="1" x14ac:dyDescent="0.2">
      <c r="A1369" s="38"/>
      <c r="B1369" s="36"/>
      <c r="C1369" s="38"/>
      <c r="D1369" s="38"/>
      <c r="E1369" s="38"/>
      <c r="F1369" s="38"/>
      <c r="G1369" s="38"/>
      <c r="H1369" s="38"/>
      <c r="I1369" s="38"/>
      <c r="J1369" s="60"/>
      <c r="K1369" s="56"/>
    </row>
    <row r="1370" spans="1:11" ht="20.05" customHeight="1" x14ac:dyDescent="0.2">
      <c r="A1370" s="38"/>
      <c r="B1370" s="36"/>
      <c r="C1370" s="38"/>
      <c r="D1370" s="38"/>
      <c r="E1370" s="38"/>
      <c r="F1370" s="38"/>
      <c r="G1370" s="38"/>
      <c r="H1370" s="38"/>
      <c r="I1370" s="38"/>
      <c r="J1370" s="60"/>
      <c r="K1370" s="56"/>
    </row>
    <row r="1371" spans="1:11" ht="20.05" customHeight="1" x14ac:dyDescent="0.2">
      <c r="A1371" s="38"/>
      <c r="B1371" s="36"/>
      <c r="C1371" s="38"/>
      <c r="D1371" s="38"/>
      <c r="E1371" s="38"/>
      <c r="F1371" s="38"/>
      <c r="G1371" s="38"/>
      <c r="H1371" s="38"/>
      <c r="I1371" s="38"/>
      <c r="J1371" s="60"/>
      <c r="K1371" s="56"/>
    </row>
    <row r="1372" spans="1:11" ht="20.05" customHeight="1" x14ac:dyDescent="0.2">
      <c r="A1372" s="38"/>
      <c r="B1372" s="36"/>
      <c r="C1372" s="38"/>
      <c r="D1372" s="38"/>
      <c r="E1372" s="38"/>
      <c r="F1372" s="38"/>
      <c r="G1372" s="38"/>
      <c r="H1372" s="38"/>
      <c r="I1372" s="38"/>
      <c r="J1372" s="60"/>
      <c r="K1372" s="56"/>
    </row>
    <row r="1373" spans="1:11" ht="20.05" customHeight="1" x14ac:dyDescent="0.2">
      <c r="A1373" s="38"/>
      <c r="B1373" s="36"/>
      <c r="C1373" s="38"/>
      <c r="D1373" s="38"/>
      <c r="E1373" s="38"/>
      <c r="F1373" s="38"/>
      <c r="G1373" s="38"/>
      <c r="H1373" s="38"/>
      <c r="I1373" s="38"/>
      <c r="J1373" s="60"/>
      <c r="K1373" s="56"/>
    </row>
    <row r="1374" spans="1:11" ht="20.05" customHeight="1" x14ac:dyDescent="0.2">
      <c r="A1374" s="38"/>
      <c r="B1374" s="36"/>
      <c r="C1374" s="38"/>
      <c r="D1374" s="38"/>
      <c r="E1374" s="38"/>
      <c r="F1374" s="38"/>
      <c r="G1374" s="38"/>
      <c r="H1374" s="38"/>
      <c r="I1374" s="38"/>
      <c r="J1374" s="60"/>
      <c r="K1374" s="56"/>
    </row>
    <row r="1375" spans="1:11" ht="20.05" customHeight="1" x14ac:dyDescent="0.2">
      <c r="A1375" s="38"/>
      <c r="B1375" s="36"/>
      <c r="C1375" s="38"/>
      <c r="D1375" s="38"/>
      <c r="E1375" s="38"/>
      <c r="F1375" s="38"/>
      <c r="G1375" s="38"/>
      <c r="H1375" s="38"/>
      <c r="I1375" s="38"/>
      <c r="J1375" s="60"/>
      <c r="K1375" s="56"/>
    </row>
    <row r="1376" spans="1:11" ht="20.05" customHeight="1" x14ac:dyDescent="0.2">
      <c r="A1376" s="38"/>
      <c r="B1376" s="36"/>
      <c r="C1376" s="38"/>
      <c r="D1376" s="38"/>
      <c r="E1376" s="38"/>
      <c r="F1376" s="38"/>
      <c r="G1376" s="38"/>
      <c r="H1376" s="38"/>
      <c r="I1376" s="38"/>
      <c r="J1376" s="60"/>
      <c r="K1376" s="56"/>
    </row>
    <row r="1377" spans="1:11" ht="20.05" customHeight="1" x14ac:dyDescent="0.2">
      <c r="A1377" s="38"/>
      <c r="B1377" s="36"/>
      <c r="C1377" s="38"/>
      <c r="D1377" s="38"/>
      <c r="E1377" s="38"/>
      <c r="F1377" s="38"/>
      <c r="G1377" s="38"/>
      <c r="H1377" s="38"/>
      <c r="I1377" s="38"/>
      <c r="J1377" s="60"/>
      <c r="K1377" s="56"/>
    </row>
    <row r="1378" spans="1:11" ht="20.05" customHeight="1" x14ac:dyDescent="0.2">
      <c r="A1378" s="38"/>
      <c r="B1378" s="36"/>
      <c r="C1378" s="38"/>
      <c r="D1378" s="38"/>
      <c r="E1378" s="38"/>
      <c r="F1378" s="38"/>
      <c r="G1378" s="38"/>
      <c r="H1378" s="38"/>
      <c r="I1378" s="38"/>
      <c r="J1378" s="60"/>
      <c r="K1378" s="56"/>
    </row>
    <row r="1379" spans="1:11" ht="20.05" customHeight="1" x14ac:dyDescent="0.2">
      <c r="A1379" s="38"/>
      <c r="B1379" s="36"/>
      <c r="C1379" s="38"/>
      <c r="D1379" s="38"/>
      <c r="E1379" s="38"/>
      <c r="F1379" s="38"/>
      <c r="G1379" s="38"/>
      <c r="H1379" s="38"/>
      <c r="I1379" s="38"/>
      <c r="J1379" s="60"/>
      <c r="K1379" s="56"/>
    </row>
    <row r="1380" spans="1:11" ht="20.05" customHeight="1" x14ac:dyDescent="0.2">
      <c r="A1380" s="38"/>
      <c r="B1380" s="36"/>
      <c r="C1380" s="38"/>
      <c r="D1380" s="38"/>
      <c r="E1380" s="38"/>
      <c r="F1380" s="38"/>
      <c r="G1380" s="38"/>
      <c r="H1380" s="38"/>
      <c r="I1380" s="38"/>
      <c r="J1380" s="60"/>
      <c r="K1380" s="56"/>
    </row>
    <row r="1381" spans="1:11" ht="20.05" customHeight="1" x14ac:dyDescent="0.2">
      <c r="A1381" s="38"/>
      <c r="B1381" s="36"/>
      <c r="C1381" s="38"/>
      <c r="D1381" s="38"/>
      <c r="E1381" s="38"/>
      <c r="F1381" s="38"/>
      <c r="G1381" s="38"/>
      <c r="H1381" s="38"/>
      <c r="I1381" s="38"/>
      <c r="J1381" s="60"/>
      <c r="K1381" s="56"/>
    </row>
    <row r="1382" spans="1:11" ht="20.05" customHeight="1" x14ac:dyDescent="0.2">
      <c r="A1382" s="38"/>
      <c r="B1382" s="36"/>
      <c r="C1382" s="38"/>
      <c r="D1382" s="38"/>
      <c r="E1382" s="38"/>
      <c r="F1382" s="38"/>
      <c r="G1382" s="38"/>
      <c r="H1382" s="38"/>
      <c r="I1382" s="38"/>
      <c r="J1382" s="60"/>
      <c r="K1382" s="56"/>
    </row>
    <row r="1383" spans="1:11" ht="20.05" customHeight="1" x14ac:dyDescent="0.2">
      <c r="A1383" s="38"/>
      <c r="B1383" s="36"/>
      <c r="C1383" s="38"/>
      <c r="D1383" s="38"/>
      <c r="E1383" s="38"/>
      <c r="F1383" s="38"/>
      <c r="G1383" s="38"/>
      <c r="H1383" s="38"/>
      <c r="I1383" s="38"/>
      <c r="J1383" s="60"/>
      <c r="K1383" s="56"/>
    </row>
    <row r="1384" spans="1:11" ht="20.05" customHeight="1" x14ac:dyDescent="0.2">
      <c r="A1384" s="38"/>
      <c r="B1384" s="36"/>
      <c r="C1384" s="38"/>
      <c r="D1384" s="38"/>
      <c r="E1384" s="38"/>
      <c r="F1384" s="38"/>
      <c r="G1384" s="38"/>
      <c r="H1384" s="38"/>
      <c r="I1384" s="38"/>
      <c r="J1384" s="60"/>
      <c r="K1384" s="56"/>
    </row>
    <row r="1385" spans="1:11" ht="20.05" customHeight="1" x14ac:dyDescent="0.2">
      <c r="A1385" s="38"/>
      <c r="B1385" s="36"/>
      <c r="C1385" s="38"/>
      <c r="D1385" s="38"/>
      <c r="E1385" s="38"/>
      <c r="F1385" s="38"/>
      <c r="G1385" s="38"/>
      <c r="H1385" s="38"/>
      <c r="I1385" s="38"/>
      <c r="J1385" s="60"/>
      <c r="K1385" s="56"/>
    </row>
    <row r="1386" spans="1:11" ht="20.05" customHeight="1" x14ac:dyDescent="0.2">
      <c r="A1386" s="38"/>
      <c r="B1386" s="36"/>
      <c r="C1386" s="38"/>
      <c r="D1386" s="38"/>
      <c r="E1386" s="38"/>
      <c r="F1386" s="38"/>
      <c r="G1386" s="38"/>
      <c r="H1386" s="38"/>
      <c r="I1386" s="38"/>
      <c r="J1386" s="60"/>
      <c r="K1386" s="56"/>
    </row>
    <row r="1387" spans="1:11" ht="20.05" customHeight="1" x14ac:dyDescent="0.2">
      <c r="A1387" s="38"/>
      <c r="B1387" s="36"/>
      <c r="C1387" s="38"/>
      <c r="D1387" s="38"/>
      <c r="E1387" s="38"/>
      <c r="F1387" s="38"/>
      <c r="G1387" s="38"/>
      <c r="H1387" s="38"/>
      <c r="I1387" s="38"/>
      <c r="J1387" s="60"/>
      <c r="K1387" s="56"/>
    </row>
    <row r="1388" spans="1:11" ht="20.05" customHeight="1" x14ac:dyDescent="0.2">
      <c r="A1388" s="38"/>
      <c r="B1388" s="36"/>
      <c r="C1388" s="38"/>
      <c r="D1388" s="38"/>
      <c r="E1388" s="38"/>
      <c r="F1388" s="38"/>
      <c r="G1388" s="38"/>
      <c r="H1388" s="38"/>
      <c r="I1388" s="38"/>
      <c r="J1388" s="60"/>
      <c r="K1388" s="56"/>
    </row>
    <row r="1389" spans="1:11" ht="20.05" customHeight="1" x14ac:dyDescent="0.2">
      <c r="A1389" s="38"/>
      <c r="B1389" s="36"/>
      <c r="C1389" s="38"/>
      <c r="D1389" s="38"/>
      <c r="E1389" s="38"/>
      <c r="F1389" s="38"/>
      <c r="G1389" s="38"/>
      <c r="H1389" s="38"/>
      <c r="I1389" s="38"/>
      <c r="J1389" s="60"/>
      <c r="K1389" s="56"/>
    </row>
    <row r="1390" spans="1:11" ht="20.05" customHeight="1" x14ac:dyDescent="0.2">
      <c r="A1390" s="38"/>
      <c r="B1390" s="36"/>
      <c r="C1390" s="38"/>
      <c r="D1390" s="38"/>
      <c r="E1390" s="38"/>
      <c r="F1390" s="38"/>
      <c r="G1390" s="38"/>
      <c r="H1390" s="38"/>
      <c r="I1390" s="38"/>
      <c r="J1390" s="60"/>
      <c r="K1390" s="56"/>
    </row>
    <row r="1391" spans="1:11" ht="20.05" customHeight="1" x14ac:dyDescent="0.2">
      <c r="A1391" s="38"/>
      <c r="B1391" s="36"/>
      <c r="C1391" s="38"/>
      <c r="D1391" s="38"/>
      <c r="E1391" s="38"/>
      <c r="F1391" s="38"/>
      <c r="G1391" s="38"/>
      <c r="H1391" s="38"/>
      <c r="I1391" s="38"/>
      <c r="J1391" s="60"/>
      <c r="K1391" s="56"/>
    </row>
    <row r="1392" spans="1:11" ht="20.05" customHeight="1" x14ac:dyDescent="0.2">
      <c r="A1392" s="38"/>
      <c r="B1392" s="36"/>
      <c r="C1392" s="38"/>
      <c r="D1392" s="38"/>
      <c r="E1392" s="38"/>
      <c r="F1392" s="38"/>
      <c r="G1392" s="38"/>
      <c r="H1392" s="38"/>
      <c r="I1392" s="38"/>
      <c r="J1392" s="60"/>
      <c r="K1392" s="56"/>
    </row>
    <row r="1393" spans="1:11" ht="20.05" customHeight="1" x14ac:dyDescent="0.2">
      <c r="A1393" s="38"/>
      <c r="B1393" s="36"/>
      <c r="C1393" s="38"/>
      <c r="D1393" s="38"/>
      <c r="E1393" s="38"/>
      <c r="F1393" s="38"/>
      <c r="G1393" s="38"/>
      <c r="H1393" s="38"/>
      <c r="I1393" s="38"/>
      <c r="J1393" s="60"/>
      <c r="K1393" s="56"/>
    </row>
    <row r="1394" spans="1:11" ht="20.05" customHeight="1" x14ac:dyDescent="0.2">
      <c r="A1394" s="38"/>
      <c r="B1394" s="36"/>
      <c r="C1394" s="38"/>
      <c r="D1394" s="38"/>
      <c r="E1394" s="38"/>
      <c r="F1394" s="38"/>
      <c r="G1394" s="38"/>
      <c r="H1394" s="38"/>
      <c r="I1394" s="38"/>
      <c r="J1394" s="60"/>
      <c r="K1394" s="56"/>
    </row>
    <row r="1395" spans="1:11" ht="20.05" customHeight="1" x14ac:dyDescent="0.2">
      <c r="A1395" s="38"/>
      <c r="B1395" s="36"/>
      <c r="C1395" s="38"/>
      <c r="D1395" s="38"/>
      <c r="E1395" s="38"/>
      <c r="F1395" s="38"/>
      <c r="G1395" s="38"/>
      <c r="H1395" s="38"/>
      <c r="I1395" s="38"/>
      <c r="J1395" s="60"/>
      <c r="K1395" s="56"/>
    </row>
    <row r="1396" spans="1:11" ht="20.05" customHeight="1" x14ac:dyDescent="0.2">
      <c r="A1396" s="38"/>
      <c r="B1396" s="36"/>
      <c r="C1396" s="38"/>
      <c r="D1396" s="38"/>
      <c r="E1396" s="38"/>
      <c r="F1396" s="38"/>
      <c r="G1396" s="38"/>
      <c r="H1396" s="38"/>
      <c r="I1396" s="38"/>
      <c r="J1396" s="60"/>
      <c r="K1396" s="56"/>
    </row>
    <row r="1397" spans="1:11" ht="20.05" customHeight="1" x14ac:dyDescent="0.2">
      <c r="A1397" s="38"/>
      <c r="B1397" s="36"/>
      <c r="C1397" s="38"/>
      <c r="D1397" s="38"/>
      <c r="E1397" s="38"/>
      <c r="F1397" s="38"/>
      <c r="G1397" s="38"/>
      <c r="H1397" s="38"/>
      <c r="I1397" s="38"/>
      <c r="J1397" s="60"/>
      <c r="K1397" s="56"/>
    </row>
    <row r="1398" spans="1:11" ht="20.05" customHeight="1" x14ac:dyDescent="0.2">
      <c r="A1398" s="38"/>
      <c r="B1398" s="36"/>
      <c r="C1398" s="38"/>
      <c r="D1398" s="38"/>
      <c r="E1398" s="38"/>
      <c r="F1398" s="38"/>
      <c r="G1398" s="38"/>
      <c r="H1398" s="38"/>
      <c r="I1398" s="38"/>
      <c r="J1398" s="60"/>
      <c r="K1398" s="56"/>
    </row>
    <row r="1399" spans="1:11" ht="20.05" customHeight="1" x14ac:dyDescent="0.2">
      <c r="A1399" s="38"/>
      <c r="B1399" s="36"/>
      <c r="C1399" s="38"/>
      <c r="D1399" s="38"/>
      <c r="E1399" s="38"/>
      <c r="F1399" s="38"/>
      <c r="G1399" s="38"/>
      <c r="H1399" s="38"/>
      <c r="I1399" s="38"/>
      <c r="J1399" s="60"/>
      <c r="K1399" s="56"/>
    </row>
    <row r="1400" spans="1:11" ht="20.05" customHeight="1" x14ac:dyDescent="0.2">
      <c r="A1400" s="38"/>
      <c r="B1400" s="36"/>
      <c r="C1400" s="38"/>
      <c r="D1400" s="38"/>
      <c r="E1400" s="38"/>
      <c r="F1400" s="38"/>
      <c r="G1400" s="38"/>
      <c r="H1400" s="38"/>
      <c r="I1400" s="38"/>
      <c r="J1400" s="60"/>
      <c r="K1400" s="56"/>
    </row>
    <row r="1401" spans="1:11" ht="20.05" customHeight="1" x14ac:dyDescent="0.2">
      <c r="A1401" s="38"/>
      <c r="B1401" s="36"/>
      <c r="C1401" s="38"/>
      <c r="D1401" s="38"/>
      <c r="E1401" s="38"/>
      <c r="F1401" s="38"/>
      <c r="G1401" s="38"/>
      <c r="H1401" s="38"/>
      <c r="I1401" s="38"/>
      <c r="J1401" s="60"/>
      <c r="K1401" s="56"/>
    </row>
    <row r="1402" spans="1:11" ht="20.05" customHeight="1" x14ac:dyDescent="0.2">
      <c r="A1402" s="38"/>
      <c r="B1402" s="36"/>
      <c r="C1402" s="38"/>
      <c r="D1402" s="38"/>
      <c r="E1402" s="38"/>
      <c r="F1402" s="38"/>
      <c r="G1402" s="38"/>
      <c r="H1402" s="38"/>
      <c r="I1402" s="38"/>
      <c r="J1402" s="60"/>
      <c r="K1402" s="56"/>
    </row>
    <row r="1403" spans="1:11" ht="20.05" customHeight="1" x14ac:dyDescent="0.2">
      <c r="A1403" s="38"/>
      <c r="B1403" s="36"/>
      <c r="C1403" s="38"/>
      <c r="D1403" s="38"/>
      <c r="E1403" s="38"/>
      <c r="F1403" s="38"/>
      <c r="G1403" s="38"/>
      <c r="H1403" s="38"/>
      <c r="I1403" s="38"/>
      <c r="J1403" s="60"/>
      <c r="K1403" s="56"/>
    </row>
    <row r="1404" spans="1:11" ht="20.05" customHeight="1" x14ac:dyDescent="0.2">
      <c r="A1404" s="38"/>
      <c r="B1404" s="36"/>
      <c r="C1404" s="38"/>
      <c r="D1404" s="38"/>
      <c r="E1404" s="38"/>
      <c r="F1404" s="38"/>
      <c r="G1404" s="38"/>
      <c r="H1404" s="38"/>
      <c r="I1404" s="38"/>
      <c r="J1404" s="60"/>
      <c r="K1404" s="56"/>
    </row>
    <row r="1405" spans="1:11" ht="20.05" customHeight="1" x14ac:dyDescent="0.2">
      <c r="A1405" s="38"/>
      <c r="B1405" s="36"/>
      <c r="C1405" s="38"/>
      <c r="D1405" s="38"/>
      <c r="E1405" s="38"/>
      <c r="F1405" s="38"/>
      <c r="G1405" s="38"/>
      <c r="H1405" s="38"/>
      <c r="I1405" s="38"/>
      <c r="J1405" s="60"/>
      <c r="K1405" s="56"/>
    </row>
    <row r="1406" spans="1:11" ht="20.05" customHeight="1" x14ac:dyDescent="0.2">
      <c r="A1406" s="38"/>
      <c r="B1406" s="36"/>
      <c r="C1406" s="38"/>
      <c r="D1406" s="38"/>
      <c r="E1406" s="38"/>
      <c r="F1406" s="38"/>
      <c r="G1406" s="38"/>
      <c r="H1406" s="38"/>
      <c r="I1406" s="38"/>
      <c r="J1406" s="60"/>
      <c r="K1406" s="56"/>
    </row>
    <row r="1407" spans="1:11" ht="20.05" customHeight="1" x14ac:dyDescent="0.2">
      <c r="A1407" s="38"/>
      <c r="B1407" s="36"/>
      <c r="C1407" s="38"/>
      <c r="D1407" s="38"/>
      <c r="E1407" s="38"/>
      <c r="F1407" s="38"/>
      <c r="G1407" s="38"/>
      <c r="H1407" s="38"/>
      <c r="I1407" s="38"/>
      <c r="J1407" s="60"/>
      <c r="K1407" s="56"/>
    </row>
    <row r="1408" spans="1:11" ht="20.05" customHeight="1" x14ac:dyDescent="0.2">
      <c r="A1408" s="38"/>
      <c r="B1408" s="36"/>
      <c r="C1408" s="38"/>
      <c r="D1408" s="38"/>
      <c r="E1408" s="38"/>
      <c r="F1408" s="38"/>
      <c r="G1408" s="38"/>
      <c r="H1408" s="38"/>
      <c r="I1408" s="38"/>
      <c r="J1408" s="60"/>
      <c r="K1408" s="56"/>
    </row>
    <row r="1409" spans="1:11" ht="20.05" customHeight="1" x14ac:dyDescent="0.2">
      <c r="A1409" s="38"/>
      <c r="B1409" s="36"/>
      <c r="C1409" s="38"/>
      <c r="D1409" s="38"/>
      <c r="E1409" s="38"/>
      <c r="F1409" s="38"/>
      <c r="G1409" s="38"/>
      <c r="H1409" s="38"/>
      <c r="I1409" s="38"/>
      <c r="J1409" s="60"/>
      <c r="K1409" s="56"/>
    </row>
    <row r="1410" spans="1:11" ht="20.05" customHeight="1" x14ac:dyDescent="0.2">
      <c r="A1410" s="38"/>
      <c r="B1410" s="36"/>
      <c r="C1410" s="38"/>
      <c r="D1410" s="38"/>
      <c r="E1410" s="38"/>
      <c r="F1410" s="38"/>
      <c r="G1410" s="38"/>
      <c r="H1410" s="38"/>
      <c r="I1410" s="38"/>
      <c r="J1410" s="60"/>
      <c r="K1410" s="56"/>
    </row>
    <row r="1411" spans="1:11" ht="20.05" customHeight="1" x14ac:dyDescent="0.2">
      <c r="A1411" s="38"/>
      <c r="B1411" s="36"/>
      <c r="C1411" s="38"/>
      <c r="D1411" s="38"/>
      <c r="E1411" s="38"/>
      <c r="F1411" s="38"/>
      <c r="G1411" s="38"/>
      <c r="H1411" s="38"/>
      <c r="I1411" s="38"/>
      <c r="J1411" s="60"/>
      <c r="K1411" s="56"/>
    </row>
    <row r="1412" spans="1:11" ht="20.05" customHeight="1" x14ac:dyDescent="0.2">
      <c r="A1412" s="38"/>
      <c r="B1412" s="36"/>
      <c r="C1412" s="38"/>
      <c r="D1412" s="38"/>
      <c r="E1412" s="38"/>
      <c r="F1412" s="38"/>
      <c r="G1412" s="38"/>
      <c r="H1412" s="38"/>
      <c r="I1412" s="38"/>
      <c r="J1412" s="60"/>
      <c r="K1412" s="56"/>
    </row>
    <row r="1413" spans="1:11" ht="20.05" customHeight="1" x14ac:dyDescent="0.2">
      <c r="A1413" s="38"/>
      <c r="B1413" s="36"/>
      <c r="C1413" s="38"/>
      <c r="D1413" s="38"/>
      <c r="E1413" s="38"/>
      <c r="F1413" s="38"/>
      <c r="G1413" s="38"/>
      <c r="H1413" s="38"/>
      <c r="I1413" s="38"/>
      <c r="J1413" s="60"/>
      <c r="K1413" s="56"/>
    </row>
    <row r="1414" spans="1:11" ht="20.05" customHeight="1" x14ac:dyDescent="0.2">
      <c r="A1414" s="38"/>
      <c r="B1414" s="36"/>
      <c r="C1414" s="38"/>
      <c r="D1414" s="38"/>
      <c r="E1414" s="38"/>
      <c r="F1414" s="38"/>
      <c r="G1414" s="38"/>
      <c r="H1414" s="38"/>
      <c r="I1414" s="38"/>
      <c r="J1414" s="60"/>
      <c r="K1414" s="56"/>
    </row>
    <row r="1415" spans="1:11" ht="20.05" customHeight="1" x14ac:dyDescent="0.2">
      <c r="A1415" s="38"/>
      <c r="B1415" s="36"/>
      <c r="C1415" s="38"/>
      <c r="D1415" s="38"/>
      <c r="E1415" s="38"/>
      <c r="F1415" s="38"/>
      <c r="G1415" s="38"/>
      <c r="H1415" s="38"/>
      <c r="I1415" s="38"/>
      <c r="J1415" s="60"/>
      <c r="K1415" s="56"/>
    </row>
    <row r="1416" spans="1:11" ht="20.05" customHeight="1" x14ac:dyDescent="0.2">
      <c r="A1416" s="38"/>
      <c r="B1416" s="36"/>
      <c r="C1416" s="38"/>
      <c r="D1416" s="38"/>
      <c r="E1416" s="38"/>
      <c r="F1416" s="38"/>
      <c r="G1416" s="38"/>
      <c r="H1416" s="38"/>
      <c r="I1416" s="38"/>
      <c r="J1416" s="60"/>
      <c r="K1416" s="56"/>
    </row>
    <row r="1417" spans="1:11" ht="20.05" customHeight="1" x14ac:dyDescent="0.2">
      <c r="A1417" s="38"/>
      <c r="B1417" s="36"/>
      <c r="C1417" s="38"/>
      <c r="D1417" s="38"/>
      <c r="E1417" s="38"/>
      <c r="F1417" s="38"/>
      <c r="G1417" s="38"/>
      <c r="H1417" s="38"/>
      <c r="I1417" s="38"/>
      <c r="J1417" s="60"/>
      <c r="K1417" s="56"/>
    </row>
    <row r="1418" spans="1:11" ht="20.05" customHeight="1" x14ac:dyDescent="0.2">
      <c r="A1418" s="38"/>
      <c r="B1418" s="36"/>
      <c r="C1418" s="38"/>
      <c r="D1418" s="38"/>
      <c r="E1418" s="38"/>
      <c r="F1418" s="38"/>
      <c r="G1418" s="38"/>
      <c r="H1418" s="38"/>
      <c r="I1418" s="38"/>
      <c r="J1418" s="60"/>
      <c r="K1418" s="56"/>
    </row>
    <row r="1419" spans="1:11" ht="20.05" customHeight="1" x14ac:dyDescent="0.2">
      <c r="A1419" s="38"/>
      <c r="B1419" s="36"/>
      <c r="C1419" s="38"/>
      <c r="D1419" s="38"/>
      <c r="E1419" s="38"/>
      <c r="F1419" s="38"/>
      <c r="G1419" s="38"/>
      <c r="H1419" s="38"/>
      <c r="I1419" s="38"/>
      <c r="J1419" s="60"/>
      <c r="K1419" s="56"/>
    </row>
    <row r="1420" spans="1:11" ht="20.05" customHeight="1" x14ac:dyDescent="0.2">
      <c r="A1420" s="38"/>
      <c r="B1420" s="36"/>
      <c r="C1420" s="38"/>
      <c r="D1420" s="38"/>
      <c r="E1420" s="38"/>
      <c r="F1420" s="38"/>
      <c r="G1420" s="38"/>
      <c r="H1420" s="38"/>
      <c r="I1420" s="38"/>
      <c r="J1420" s="60"/>
      <c r="K1420" s="56"/>
    </row>
    <row r="1421" spans="1:11" ht="20.05" customHeight="1" x14ac:dyDescent="0.2">
      <c r="A1421" s="38"/>
      <c r="B1421" s="36"/>
      <c r="C1421" s="38"/>
      <c r="D1421" s="38"/>
      <c r="E1421" s="38"/>
      <c r="F1421" s="38"/>
      <c r="G1421" s="38"/>
      <c r="H1421" s="38"/>
      <c r="I1421" s="38"/>
      <c r="J1421" s="60"/>
      <c r="K1421" s="56"/>
    </row>
    <row r="1422" spans="1:11" ht="20.05" customHeight="1" x14ac:dyDescent="0.2">
      <c r="A1422" s="38"/>
      <c r="B1422" s="36"/>
      <c r="C1422" s="38"/>
      <c r="D1422" s="38"/>
      <c r="E1422" s="38"/>
      <c r="F1422" s="38"/>
      <c r="G1422" s="38"/>
      <c r="H1422" s="38"/>
      <c r="I1422" s="38"/>
      <c r="J1422" s="60"/>
      <c r="K1422" s="56"/>
    </row>
    <row r="1423" spans="1:11" ht="20.05" customHeight="1" x14ac:dyDescent="0.2">
      <c r="A1423" s="38"/>
      <c r="B1423" s="36"/>
      <c r="C1423" s="38"/>
      <c r="D1423" s="38"/>
      <c r="E1423" s="38"/>
      <c r="F1423" s="38"/>
      <c r="G1423" s="38"/>
      <c r="H1423" s="38"/>
      <c r="I1423" s="38"/>
      <c r="J1423" s="60"/>
      <c r="K1423" s="56"/>
    </row>
    <row r="1424" spans="1:11" ht="20.05" customHeight="1" x14ac:dyDescent="0.2">
      <c r="A1424" s="38"/>
      <c r="B1424" s="36"/>
      <c r="C1424" s="38"/>
      <c r="D1424" s="38"/>
      <c r="E1424" s="38"/>
      <c r="F1424" s="38"/>
      <c r="G1424" s="38"/>
      <c r="H1424" s="38"/>
      <c r="I1424" s="38"/>
      <c r="J1424" s="60"/>
      <c r="K1424" s="56"/>
    </row>
    <row r="1425" spans="1:11" ht="20.05" customHeight="1" x14ac:dyDescent="0.2">
      <c r="A1425" s="38"/>
      <c r="B1425" s="36"/>
      <c r="C1425" s="38"/>
      <c r="D1425" s="38"/>
      <c r="E1425" s="38"/>
      <c r="F1425" s="38"/>
      <c r="G1425" s="38"/>
      <c r="H1425" s="38"/>
      <c r="I1425" s="38"/>
      <c r="J1425" s="60"/>
      <c r="K1425" s="56"/>
    </row>
    <row r="1426" spans="1:11" ht="20.05" customHeight="1" x14ac:dyDescent="0.2">
      <c r="A1426" s="38"/>
      <c r="B1426" s="36"/>
      <c r="C1426" s="38"/>
      <c r="D1426" s="38"/>
      <c r="E1426" s="38"/>
      <c r="F1426" s="38"/>
      <c r="G1426" s="38"/>
      <c r="H1426" s="38"/>
      <c r="I1426" s="38"/>
      <c r="J1426" s="60"/>
      <c r="K1426" s="56"/>
    </row>
    <row r="1427" spans="1:11" ht="20.05" customHeight="1" x14ac:dyDescent="0.2">
      <c r="A1427" s="38"/>
      <c r="B1427" s="36"/>
      <c r="C1427" s="38"/>
      <c r="D1427" s="38"/>
      <c r="E1427" s="38"/>
      <c r="F1427" s="38"/>
      <c r="G1427" s="38"/>
      <c r="H1427" s="38"/>
      <c r="I1427" s="38"/>
      <c r="J1427" s="60"/>
      <c r="K1427" s="56"/>
    </row>
    <row r="1428" spans="1:11" ht="20.05" customHeight="1" x14ac:dyDescent="0.2">
      <c r="A1428" s="38"/>
      <c r="B1428" s="36"/>
      <c r="C1428" s="38"/>
      <c r="D1428" s="38"/>
      <c r="E1428" s="38"/>
      <c r="F1428" s="38"/>
      <c r="G1428" s="38"/>
      <c r="H1428" s="38"/>
      <c r="I1428" s="38"/>
      <c r="J1428" s="60"/>
      <c r="K1428" s="56"/>
    </row>
    <row r="1429" spans="1:11" ht="20.05" customHeight="1" x14ac:dyDescent="0.2">
      <c r="A1429" s="38"/>
      <c r="B1429" s="36"/>
      <c r="C1429" s="38"/>
      <c r="D1429" s="38"/>
      <c r="E1429" s="38"/>
      <c r="F1429" s="38"/>
      <c r="G1429" s="38"/>
      <c r="H1429" s="38"/>
      <c r="I1429" s="38"/>
      <c r="J1429" s="60"/>
      <c r="K1429" s="56"/>
    </row>
    <row r="1430" spans="1:11" ht="20.05" customHeight="1" x14ac:dyDescent="0.2">
      <c r="A1430" s="38"/>
      <c r="B1430" s="36"/>
      <c r="C1430" s="38"/>
      <c r="D1430" s="38"/>
      <c r="E1430" s="38"/>
      <c r="F1430" s="38"/>
      <c r="G1430" s="38"/>
      <c r="H1430" s="38"/>
      <c r="I1430" s="38"/>
      <c r="J1430" s="60"/>
      <c r="K1430" s="56"/>
    </row>
    <row r="1431" spans="1:11" ht="20.05" customHeight="1" x14ac:dyDescent="0.2">
      <c r="A1431" s="38"/>
      <c r="B1431" s="36"/>
      <c r="C1431" s="38"/>
      <c r="D1431" s="38"/>
      <c r="E1431" s="38"/>
      <c r="F1431" s="38"/>
      <c r="G1431" s="38"/>
      <c r="H1431" s="38"/>
      <c r="I1431" s="38"/>
      <c r="J1431" s="60"/>
      <c r="K1431" s="56"/>
    </row>
    <row r="1432" spans="1:11" ht="20.05" customHeight="1" x14ac:dyDescent="0.2">
      <c r="A1432" s="38"/>
      <c r="B1432" s="36"/>
      <c r="C1432" s="38"/>
      <c r="D1432" s="38"/>
      <c r="E1432" s="38"/>
      <c r="F1432" s="38"/>
      <c r="G1432" s="38"/>
      <c r="H1432" s="38"/>
      <c r="I1432" s="38"/>
      <c r="J1432" s="60"/>
      <c r="K1432" s="56"/>
    </row>
    <row r="1433" spans="1:11" ht="20.05" customHeight="1" x14ac:dyDescent="0.2">
      <c r="A1433" s="38"/>
      <c r="B1433" s="36"/>
      <c r="C1433" s="38"/>
      <c r="D1433" s="38"/>
      <c r="E1433" s="38"/>
      <c r="F1433" s="38"/>
      <c r="G1433" s="38"/>
      <c r="H1433" s="38"/>
      <c r="I1433" s="38"/>
      <c r="J1433" s="60"/>
      <c r="K1433" s="56"/>
    </row>
    <row r="1434" spans="1:11" ht="20.05" customHeight="1" x14ac:dyDescent="0.2">
      <c r="A1434" s="38"/>
      <c r="B1434" s="36"/>
      <c r="C1434" s="38"/>
      <c r="D1434" s="38"/>
      <c r="E1434" s="38"/>
      <c r="F1434" s="38"/>
      <c r="G1434" s="38"/>
      <c r="H1434" s="38"/>
      <c r="I1434" s="38"/>
      <c r="J1434" s="60"/>
      <c r="K1434" s="56"/>
    </row>
  </sheetData>
  <mergeCells count="36">
    <mergeCell ref="B1057:G1057"/>
    <mergeCell ref="B1060:G1060"/>
    <mergeCell ref="B1049:G1049"/>
    <mergeCell ref="B27:G27"/>
    <mergeCell ref="B36:G36"/>
    <mergeCell ref="B852:G852"/>
    <mergeCell ref="B906:G906"/>
    <mergeCell ref="B915:G915"/>
    <mergeCell ref="B947:G947"/>
    <mergeCell ref="B1001:G1001"/>
    <mergeCell ref="B382:G382"/>
    <mergeCell ref="B602:G602"/>
    <mergeCell ref="B822:G822"/>
    <mergeCell ref="B836:G836"/>
    <mergeCell ref="B841:G841"/>
    <mergeCell ref="B44:G44"/>
    <mergeCell ref="B52:G52"/>
    <mergeCell ref="B58:G58"/>
    <mergeCell ref="B90:G90"/>
    <mergeCell ref="B375:G375"/>
    <mergeCell ref="B210:G210"/>
    <mergeCell ref="B303:G303"/>
    <mergeCell ref="B311:G311"/>
    <mergeCell ref="B327:G327"/>
    <mergeCell ref="B98:G98"/>
    <mergeCell ref="B145:G145"/>
    <mergeCell ref="B5:G5"/>
    <mergeCell ref="B32:G32"/>
    <mergeCell ref="A1:K1"/>
    <mergeCell ref="A2:K2"/>
    <mergeCell ref="A3:A4"/>
    <mergeCell ref="B3:B4"/>
    <mergeCell ref="C3:H3"/>
    <mergeCell ref="I3:J3"/>
    <mergeCell ref="K3:K4"/>
    <mergeCell ref="C4:D4"/>
  </mergeCells>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01"/>
  <sheetViews>
    <sheetView topLeftCell="A395" workbookViewId="0">
      <selection activeCell="M494" sqref="M494"/>
    </sheetView>
  </sheetViews>
  <sheetFormatPr defaultRowHeight="14.3" x14ac:dyDescent="0.25"/>
  <cols>
    <col min="1" max="2" width="4.5" style="93" customWidth="1"/>
    <col min="3" max="3" width="24.625" style="94" bestFit="1" customWidth="1"/>
    <col min="4" max="8" width="7.5" style="94" customWidth="1"/>
    <col min="9" max="9" width="10" style="95" customWidth="1"/>
  </cols>
  <sheetData>
    <row r="1" spans="1:9" ht="17.7" customHeight="1" x14ac:dyDescent="0.25">
      <c r="A1" s="142" t="s">
        <v>509</v>
      </c>
      <c r="B1" s="143"/>
      <c r="C1" s="143"/>
      <c r="D1" s="143"/>
      <c r="E1" s="143"/>
      <c r="F1" s="143"/>
      <c r="G1" s="143"/>
      <c r="H1" s="143"/>
      <c r="I1" s="144"/>
    </row>
    <row r="2" spans="1:9" ht="101.25" customHeight="1" x14ac:dyDescent="0.25">
      <c r="A2" s="4">
        <v>1</v>
      </c>
      <c r="B2" s="4"/>
      <c r="C2" s="148" t="s">
        <v>206</v>
      </c>
      <c r="D2" s="148"/>
      <c r="E2" s="148"/>
      <c r="F2" s="148"/>
      <c r="G2" s="148"/>
      <c r="H2" s="148"/>
      <c r="I2" s="148"/>
    </row>
    <row r="3" spans="1:9" x14ac:dyDescent="0.25">
      <c r="A3" s="4"/>
      <c r="B3" s="4"/>
      <c r="C3" s="10" t="s">
        <v>202</v>
      </c>
      <c r="D3" s="10">
        <v>1</v>
      </c>
      <c r="E3" s="10" t="s">
        <v>203</v>
      </c>
      <c r="F3" s="10">
        <v>777</v>
      </c>
      <c r="G3" s="10">
        <v>1</v>
      </c>
      <c r="H3" s="10" t="s">
        <v>203</v>
      </c>
      <c r="I3" s="46">
        <v>777</v>
      </c>
    </row>
    <row r="4" spans="1:9" x14ac:dyDescent="0.25">
      <c r="A4" s="4"/>
      <c r="B4" s="4"/>
      <c r="C4" s="10" t="s">
        <v>204</v>
      </c>
      <c r="D4" s="10">
        <v>0.13614999999999999</v>
      </c>
      <c r="E4" s="10"/>
      <c r="F4" s="10">
        <v>777</v>
      </c>
      <c r="G4" s="10"/>
      <c r="H4" s="10"/>
      <c r="I4" s="46">
        <v>105.78855</v>
      </c>
    </row>
    <row r="5" spans="1:9" x14ac:dyDescent="0.25">
      <c r="A5" s="4"/>
      <c r="B5" s="4"/>
      <c r="C5" s="10"/>
      <c r="D5" s="10"/>
      <c r="E5" s="10"/>
      <c r="F5" s="10"/>
      <c r="G5" s="10"/>
      <c r="H5" s="10"/>
      <c r="I5" s="46">
        <v>882.78854999999999</v>
      </c>
    </row>
    <row r="6" spans="1:9" x14ac:dyDescent="0.25">
      <c r="A6" s="4"/>
      <c r="B6" s="4"/>
      <c r="C6" s="10"/>
      <c r="D6" s="10"/>
      <c r="E6" s="10"/>
      <c r="F6" s="10"/>
      <c r="G6" s="10"/>
      <c r="H6" s="10" t="s">
        <v>205</v>
      </c>
      <c r="I6" s="11">
        <v>883</v>
      </c>
    </row>
    <row r="7" spans="1:9" x14ac:dyDescent="0.25">
      <c r="A7" s="4"/>
      <c r="B7" s="4"/>
      <c r="C7" s="10"/>
      <c r="D7" s="10"/>
      <c r="E7" s="10"/>
      <c r="F7" s="10"/>
      <c r="G7" s="10"/>
      <c r="H7" s="10"/>
      <c r="I7" s="46"/>
    </row>
    <row r="8" spans="1:9" ht="76.099999999999994" customHeight="1" x14ac:dyDescent="0.25">
      <c r="A8" s="4">
        <v>2</v>
      </c>
      <c r="B8" s="4"/>
      <c r="C8" s="139" t="s">
        <v>214</v>
      </c>
      <c r="D8" s="140"/>
      <c r="E8" s="140"/>
      <c r="F8" s="140"/>
      <c r="G8" s="140"/>
      <c r="H8" s="140"/>
      <c r="I8" s="141"/>
    </row>
    <row r="9" spans="1:9" x14ac:dyDescent="0.25">
      <c r="A9" s="4"/>
      <c r="B9" s="4"/>
      <c r="C9" s="27" t="s">
        <v>207</v>
      </c>
      <c r="D9" s="4">
        <v>1</v>
      </c>
      <c r="E9" s="4" t="s">
        <v>203</v>
      </c>
      <c r="F9" s="4">
        <v>2138</v>
      </c>
      <c r="G9" s="4">
        <v>1</v>
      </c>
      <c r="H9" s="4" t="s">
        <v>203</v>
      </c>
      <c r="I9" s="46">
        <v>2138</v>
      </c>
    </row>
    <row r="10" spans="1:9" ht="32.6" customHeight="1" x14ac:dyDescent="0.25">
      <c r="A10" s="4"/>
      <c r="B10" s="4"/>
      <c r="C10" s="30" t="s">
        <v>208</v>
      </c>
      <c r="D10" s="4">
        <v>1</v>
      </c>
      <c r="E10" s="4" t="s">
        <v>173</v>
      </c>
      <c r="F10" s="4">
        <v>70</v>
      </c>
      <c r="G10" s="4"/>
      <c r="H10" s="4" t="s">
        <v>209</v>
      </c>
      <c r="I10" s="46">
        <v>70</v>
      </c>
    </row>
    <row r="11" spans="1:9" ht="42.8" x14ac:dyDescent="0.25">
      <c r="A11" s="4"/>
      <c r="B11" s="4"/>
      <c r="C11" s="27" t="s">
        <v>210</v>
      </c>
      <c r="D11" s="4">
        <v>3</v>
      </c>
      <c r="E11" s="4" t="s">
        <v>211</v>
      </c>
      <c r="F11" s="4">
        <v>98</v>
      </c>
      <c r="G11" s="4"/>
      <c r="H11" s="4" t="s">
        <v>209</v>
      </c>
      <c r="I11" s="46">
        <v>294</v>
      </c>
    </row>
    <row r="12" spans="1:9" ht="28.55" x14ac:dyDescent="0.25">
      <c r="A12" s="4"/>
      <c r="B12" s="4"/>
      <c r="C12" s="27" t="s">
        <v>212</v>
      </c>
      <c r="D12" s="4">
        <v>1</v>
      </c>
      <c r="E12" s="4" t="s">
        <v>173</v>
      </c>
      <c r="F12" s="4">
        <v>202</v>
      </c>
      <c r="G12" s="4"/>
      <c r="H12" s="4" t="s">
        <v>209</v>
      </c>
      <c r="I12" s="46">
        <v>202</v>
      </c>
    </row>
    <row r="13" spans="1:9" ht="28.55" x14ac:dyDescent="0.25">
      <c r="A13" s="4"/>
      <c r="B13" s="4"/>
      <c r="C13" s="27" t="s">
        <v>213</v>
      </c>
      <c r="D13" s="4">
        <v>2</v>
      </c>
      <c r="E13" s="4" t="s">
        <v>211</v>
      </c>
      <c r="F13" s="4">
        <v>78</v>
      </c>
      <c r="G13" s="4"/>
      <c r="H13" s="4" t="s">
        <v>209</v>
      </c>
      <c r="I13" s="46">
        <v>156</v>
      </c>
    </row>
    <row r="14" spans="1:9" x14ac:dyDescent="0.25">
      <c r="A14" s="4"/>
      <c r="B14" s="4"/>
      <c r="C14" s="10"/>
      <c r="D14" s="4"/>
      <c r="E14" s="4"/>
      <c r="F14" s="4"/>
      <c r="G14" s="4"/>
      <c r="H14" s="4"/>
      <c r="I14" s="46">
        <v>2860</v>
      </c>
    </row>
    <row r="15" spans="1:9" x14ac:dyDescent="0.25">
      <c r="A15" s="4"/>
      <c r="B15" s="4"/>
      <c r="C15" s="10" t="s">
        <v>204</v>
      </c>
      <c r="D15" s="4">
        <v>0.13614999999999999</v>
      </c>
      <c r="E15" s="4"/>
      <c r="F15" s="4">
        <v>2860</v>
      </c>
      <c r="G15" s="4"/>
      <c r="H15" s="4"/>
      <c r="I15" s="46">
        <v>389.38899999999995</v>
      </c>
    </row>
    <row r="16" spans="1:9" x14ac:dyDescent="0.25">
      <c r="A16" s="4"/>
      <c r="B16" s="4"/>
      <c r="C16" s="10"/>
      <c r="D16" s="10"/>
      <c r="E16" s="10"/>
      <c r="F16" s="10"/>
      <c r="G16" s="10"/>
      <c r="H16" s="10"/>
      <c r="I16" s="46">
        <v>3249.3890000000001</v>
      </c>
    </row>
    <row r="17" spans="1:9" x14ac:dyDescent="0.25">
      <c r="A17" s="4"/>
      <c r="B17" s="4"/>
      <c r="C17" s="10"/>
      <c r="D17" s="10"/>
      <c r="E17" s="10"/>
      <c r="F17" s="10"/>
      <c r="G17" s="10"/>
      <c r="H17" s="10" t="s">
        <v>205</v>
      </c>
      <c r="I17" s="11">
        <v>3249</v>
      </c>
    </row>
    <row r="18" spans="1:9" x14ac:dyDescent="0.25">
      <c r="A18" s="4"/>
      <c r="B18" s="4"/>
      <c r="C18" s="10"/>
      <c r="D18" s="10"/>
      <c r="E18" s="10"/>
      <c r="F18" s="10"/>
      <c r="G18" s="10"/>
      <c r="H18" s="10"/>
      <c r="I18" s="46"/>
    </row>
    <row r="19" spans="1:9" ht="257.45" customHeight="1" x14ac:dyDescent="0.25">
      <c r="A19" s="4">
        <v>78</v>
      </c>
      <c r="B19" s="4"/>
      <c r="C19" s="139" t="s">
        <v>262</v>
      </c>
      <c r="D19" s="140"/>
      <c r="E19" s="140"/>
      <c r="F19" s="140"/>
      <c r="G19" s="140"/>
      <c r="H19" s="140"/>
      <c r="I19" s="141"/>
    </row>
    <row r="20" spans="1:9" x14ac:dyDescent="0.25">
      <c r="A20" s="4"/>
      <c r="B20" s="4"/>
      <c r="C20" s="30" t="s">
        <v>219</v>
      </c>
      <c r="D20" s="10"/>
      <c r="E20" s="10"/>
      <c r="F20" s="10"/>
      <c r="G20" s="10"/>
      <c r="H20" s="10"/>
      <c r="I20" s="46"/>
    </row>
    <row r="21" spans="1:9" x14ac:dyDescent="0.25">
      <c r="A21" s="4"/>
      <c r="B21" s="4"/>
      <c r="C21" s="30"/>
      <c r="D21" s="10" t="s">
        <v>220</v>
      </c>
      <c r="E21" s="10" t="s">
        <v>221</v>
      </c>
      <c r="F21" s="10"/>
      <c r="G21" s="10">
        <v>4.6800000000000006</v>
      </c>
      <c r="H21" s="10"/>
      <c r="I21" s="46" t="s">
        <v>222</v>
      </c>
    </row>
    <row r="22" spans="1:9" x14ac:dyDescent="0.25">
      <c r="A22" s="4"/>
      <c r="B22" s="4"/>
      <c r="C22" s="30" t="s">
        <v>223</v>
      </c>
      <c r="D22" s="10"/>
      <c r="E22" s="10"/>
      <c r="F22" s="10"/>
      <c r="G22" s="10"/>
      <c r="H22" s="10"/>
      <c r="I22" s="46"/>
    </row>
    <row r="23" spans="1:9" x14ac:dyDescent="0.25">
      <c r="A23" s="4"/>
      <c r="B23" s="4"/>
      <c r="C23" s="30" t="s">
        <v>224</v>
      </c>
      <c r="D23" s="10" t="s">
        <v>225</v>
      </c>
      <c r="E23" s="10"/>
      <c r="F23" s="10"/>
      <c r="G23" s="10"/>
      <c r="H23" s="10"/>
      <c r="I23" s="46"/>
    </row>
    <row r="24" spans="1:9" x14ac:dyDescent="0.25">
      <c r="A24" s="4"/>
      <c r="B24" s="4"/>
      <c r="C24" s="30"/>
      <c r="D24" s="10" t="s">
        <v>226</v>
      </c>
      <c r="E24" s="10"/>
      <c r="F24" s="10"/>
      <c r="G24" s="10">
        <v>3.3930000000000002E-2</v>
      </c>
      <c r="H24" s="10"/>
      <c r="I24" s="46" t="s">
        <v>227</v>
      </c>
    </row>
    <row r="25" spans="1:9" x14ac:dyDescent="0.25">
      <c r="A25" s="4"/>
      <c r="B25" s="4"/>
      <c r="C25" s="30" t="s">
        <v>228</v>
      </c>
      <c r="D25" s="10" t="s">
        <v>229</v>
      </c>
      <c r="E25" s="10"/>
      <c r="F25" s="10"/>
      <c r="G25" s="10"/>
      <c r="H25" s="10"/>
      <c r="I25" s="46"/>
    </row>
    <row r="26" spans="1:9" x14ac:dyDescent="0.25">
      <c r="A26" s="4"/>
      <c r="B26" s="4"/>
      <c r="C26" s="30"/>
      <c r="D26" s="10" t="s">
        <v>230</v>
      </c>
      <c r="E26" s="10"/>
      <c r="F26" s="10"/>
      <c r="G26" s="10">
        <v>2.665E-2</v>
      </c>
      <c r="H26" s="10"/>
      <c r="I26" s="46" t="s">
        <v>227</v>
      </c>
    </row>
    <row r="27" spans="1:9" x14ac:dyDescent="0.25">
      <c r="A27" s="4"/>
      <c r="B27" s="4"/>
      <c r="C27" s="30"/>
      <c r="D27" s="10"/>
      <c r="E27" s="10"/>
      <c r="F27" s="10"/>
      <c r="G27" s="10">
        <v>6.0580000000000002E-2</v>
      </c>
      <c r="H27" s="10"/>
      <c r="I27" s="46" t="s">
        <v>227</v>
      </c>
    </row>
    <row r="28" spans="1:9" x14ac:dyDescent="0.25">
      <c r="A28" s="4"/>
      <c r="B28" s="4"/>
      <c r="C28" s="30" t="s">
        <v>231</v>
      </c>
      <c r="D28" s="10" t="s">
        <v>232</v>
      </c>
      <c r="E28" s="10"/>
      <c r="F28" s="10"/>
      <c r="G28" s="10">
        <v>0.9</v>
      </c>
      <c r="H28" s="10"/>
      <c r="I28" s="46" t="s">
        <v>222</v>
      </c>
    </row>
    <row r="29" spans="1:9" x14ac:dyDescent="0.25">
      <c r="A29" s="4"/>
      <c r="B29" s="4"/>
      <c r="C29" s="30" t="s">
        <v>233</v>
      </c>
      <c r="D29" s="10" t="s">
        <v>234</v>
      </c>
      <c r="E29" s="10"/>
      <c r="F29" s="10"/>
      <c r="G29" s="10">
        <v>5.6</v>
      </c>
      <c r="H29" s="10"/>
      <c r="I29" s="46" t="s">
        <v>235</v>
      </c>
    </row>
    <row r="30" spans="1:9" x14ac:dyDescent="0.25">
      <c r="A30" s="4"/>
      <c r="B30" s="4"/>
      <c r="C30" s="30" t="s">
        <v>236</v>
      </c>
      <c r="D30" s="10" t="s">
        <v>237</v>
      </c>
      <c r="E30" s="10"/>
      <c r="F30" s="10"/>
      <c r="G30" s="10">
        <v>3.4849999999999999</v>
      </c>
      <c r="H30" s="10"/>
      <c r="I30" s="46" t="s">
        <v>222</v>
      </c>
    </row>
    <row r="31" spans="1:9" x14ac:dyDescent="0.25">
      <c r="A31" s="4"/>
      <c r="B31" s="4"/>
      <c r="C31" s="30" t="s">
        <v>238</v>
      </c>
      <c r="D31" s="10" t="s">
        <v>239</v>
      </c>
      <c r="E31" s="10"/>
      <c r="F31" s="10"/>
      <c r="G31" s="10">
        <v>2.8260000000000001</v>
      </c>
      <c r="H31" s="10"/>
      <c r="I31" s="46" t="s">
        <v>240</v>
      </c>
    </row>
    <row r="32" spans="1:9" x14ac:dyDescent="0.25">
      <c r="A32" s="4"/>
      <c r="B32" s="4"/>
      <c r="C32" s="30" t="s">
        <v>241</v>
      </c>
      <c r="D32" s="10"/>
      <c r="E32" s="10"/>
      <c r="F32" s="10"/>
      <c r="G32" s="10"/>
      <c r="H32" s="10"/>
      <c r="I32" s="46"/>
    </row>
    <row r="33" spans="1:9" ht="28.55" x14ac:dyDescent="0.25">
      <c r="A33" s="4"/>
      <c r="B33" s="4"/>
      <c r="C33" s="30" t="s">
        <v>242</v>
      </c>
      <c r="D33" s="4">
        <v>3.3930000000000002E-2</v>
      </c>
      <c r="E33" s="4" t="s">
        <v>227</v>
      </c>
      <c r="F33" s="4">
        <v>94794</v>
      </c>
      <c r="G33" s="4">
        <v>1</v>
      </c>
      <c r="H33" s="4" t="s">
        <v>227</v>
      </c>
      <c r="I33" s="46">
        <v>3216.36042</v>
      </c>
    </row>
    <row r="34" spans="1:9" ht="28.55" x14ac:dyDescent="0.25">
      <c r="A34" s="4"/>
      <c r="B34" s="4"/>
      <c r="C34" s="30" t="s">
        <v>243</v>
      </c>
      <c r="D34" s="4">
        <v>2.665E-2</v>
      </c>
      <c r="E34" s="4" t="s">
        <v>227</v>
      </c>
      <c r="F34" s="4">
        <v>85314</v>
      </c>
      <c r="G34" s="4">
        <v>1</v>
      </c>
      <c r="H34" s="4" t="s">
        <v>227</v>
      </c>
      <c r="I34" s="46">
        <v>2273.6181000000001</v>
      </c>
    </row>
    <row r="35" spans="1:9" ht="28.55" x14ac:dyDescent="0.25">
      <c r="A35" s="4"/>
      <c r="B35" s="4"/>
      <c r="C35" s="30" t="s">
        <v>244</v>
      </c>
      <c r="D35" s="4">
        <v>0.9</v>
      </c>
      <c r="E35" s="4" t="s">
        <v>222</v>
      </c>
      <c r="F35" s="4">
        <v>349</v>
      </c>
      <c r="G35" s="4">
        <v>1</v>
      </c>
      <c r="H35" s="4" t="s">
        <v>222</v>
      </c>
      <c r="I35" s="46">
        <v>314.10000000000002</v>
      </c>
    </row>
    <row r="36" spans="1:9" ht="28.55" x14ac:dyDescent="0.25">
      <c r="A36" s="4"/>
      <c r="B36" s="4"/>
      <c r="C36" s="30" t="s">
        <v>245</v>
      </c>
      <c r="D36" s="4">
        <v>5.6</v>
      </c>
      <c r="E36" s="4" t="s">
        <v>235</v>
      </c>
      <c r="F36" s="4">
        <v>24</v>
      </c>
      <c r="G36" s="4">
        <v>1</v>
      </c>
      <c r="H36" s="4" t="s">
        <v>203</v>
      </c>
      <c r="I36" s="46">
        <v>134.39999999999998</v>
      </c>
    </row>
    <row r="37" spans="1:9" ht="28.55" x14ac:dyDescent="0.25">
      <c r="A37" s="4"/>
      <c r="B37" s="4"/>
      <c r="C37" s="30" t="s">
        <v>246</v>
      </c>
      <c r="D37" s="4">
        <v>3.4849999999999999</v>
      </c>
      <c r="E37" s="4" t="s">
        <v>222</v>
      </c>
      <c r="F37" s="4">
        <v>1383</v>
      </c>
      <c r="G37" s="4">
        <v>1</v>
      </c>
      <c r="H37" s="4" t="s">
        <v>222</v>
      </c>
      <c r="I37" s="46">
        <v>4819.7550000000001</v>
      </c>
    </row>
    <row r="38" spans="1:9" ht="28.55" x14ac:dyDescent="0.25">
      <c r="A38" s="4"/>
      <c r="B38" s="4"/>
      <c r="C38" s="30" t="s">
        <v>247</v>
      </c>
      <c r="D38" s="4">
        <v>6</v>
      </c>
      <c r="E38" s="4" t="s">
        <v>211</v>
      </c>
      <c r="F38" s="4">
        <v>39</v>
      </c>
      <c r="G38" s="4"/>
      <c r="H38" s="4" t="s">
        <v>209</v>
      </c>
      <c r="I38" s="46">
        <v>234</v>
      </c>
    </row>
    <row r="39" spans="1:9" ht="31.95" customHeight="1" x14ac:dyDescent="0.25">
      <c r="A39" s="4"/>
      <c r="B39" s="4"/>
      <c r="C39" s="30" t="s">
        <v>248</v>
      </c>
      <c r="D39" s="4">
        <v>2</v>
      </c>
      <c r="E39" s="4" t="s">
        <v>211</v>
      </c>
      <c r="F39" s="4">
        <v>94</v>
      </c>
      <c r="G39" s="4"/>
      <c r="H39" s="4" t="s">
        <v>209</v>
      </c>
      <c r="I39" s="46">
        <v>188</v>
      </c>
    </row>
    <row r="40" spans="1:9" ht="42.8" x14ac:dyDescent="0.25">
      <c r="A40" s="4"/>
      <c r="B40" s="4"/>
      <c r="C40" s="30" t="s">
        <v>210</v>
      </c>
      <c r="D40" s="4">
        <v>6</v>
      </c>
      <c r="E40" s="4" t="s">
        <v>211</v>
      </c>
      <c r="F40" s="4">
        <v>110</v>
      </c>
      <c r="G40" s="4"/>
      <c r="H40" s="4" t="s">
        <v>209</v>
      </c>
      <c r="I40" s="46">
        <v>660</v>
      </c>
    </row>
    <row r="41" spans="1:9" ht="28.55" x14ac:dyDescent="0.25">
      <c r="A41" s="4"/>
      <c r="B41" s="4"/>
      <c r="C41" s="30" t="s">
        <v>249</v>
      </c>
      <c r="D41" s="4">
        <v>1</v>
      </c>
      <c r="E41" s="4" t="s">
        <v>173</v>
      </c>
      <c r="F41" s="4">
        <v>248</v>
      </c>
      <c r="G41" s="4"/>
      <c r="H41" s="4" t="s">
        <v>209</v>
      </c>
      <c r="I41" s="46">
        <v>248</v>
      </c>
    </row>
    <row r="42" spans="1:9" ht="28.55" x14ac:dyDescent="0.25">
      <c r="A42" s="4"/>
      <c r="B42" s="4"/>
      <c r="C42" s="30" t="s">
        <v>250</v>
      </c>
      <c r="D42" s="4">
        <v>2</v>
      </c>
      <c r="E42" s="4" t="s">
        <v>211</v>
      </c>
      <c r="F42" s="4">
        <v>104</v>
      </c>
      <c r="G42" s="4"/>
      <c r="H42" s="4" t="s">
        <v>209</v>
      </c>
      <c r="I42" s="46">
        <v>208</v>
      </c>
    </row>
    <row r="43" spans="1:9" ht="28.55" x14ac:dyDescent="0.25">
      <c r="A43" s="4"/>
      <c r="B43" s="4"/>
      <c r="C43" s="30" t="s">
        <v>251</v>
      </c>
      <c r="D43" s="4">
        <v>2</v>
      </c>
      <c r="E43" s="4" t="s">
        <v>211</v>
      </c>
      <c r="F43" s="4">
        <v>69</v>
      </c>
      <c r="G43" s="4"/>
      <c r="H43" s="4" t="s">
        <v>209</v>
      </c>
      <c r="I43" s="46">
        <v>138</v>
      </c>
    </row>
    <row r="44" spans="1:9" ht="28.55" x14ac:dyDescent="0.25">
      <c r="A44" s="4"/>
      <c r="B44" s="4"/>
      <c r="C44" s="30" t="s">
        <v>252</v>
      </c>
      <c r="D44" s="4">
        <v>2</v>
      </c>
      <c r="E44" s="4" t="s">
        <v>211</v>
      </c>
      <c r="F44" s="4">
        <v>13</v>
      </c>
      <c r="G44" s="4"/>
      <c r="H44" s="4" t="s">
        <v>209</v>
      </c>
      <c r="I44" s="46">
        <v>26</v>
      </c>
    </row>
    <row r="45" spans="1:9" ht="28.55" x14ac:dyDescent="0.25">
      <c r="A45" s="4"/>
      <c r="B45" s="4"/>
      <c r="C45" s="30" t="s">
        <v>253</v>
      </c>
      <c r="D45" s="4">
        <v>2.8260000000000001</v>
      </c>
      <c r="E45" s="4" t="s">
        <v>240</v>
      </c>
      <c r="F45" s="4">
        <v>60000</v>
      </c>
      <c r="G45" s="4">
        <v>1000</v>
      </c>
      <c r="H45" s="4" t="s">
        <v>240</v>
      </c>
      <c r="I45" s="46">
        <v>169.56</v>
      </c>
    </row>
    <row r="46" spans="1:9" ht="28.55" x14ac:dyDescent="0.25">
      <c r="A46" s="4"/>
      <c r="B46" s="4"/>
      <c r="C46" s="30" t="s">
        <v>254</v>
      </c>
      <c r="D46" s="4">
        <v>6.0580000000000002E-2</v>
      </c>
      <c r="E46" s="4" t="s">
        <v>227</v>
      </c>
      <c r="F46" s="4">
        <v>15805.400000000001</v>
      </c>
      <c r="G46" s="4">
        <v>1</v>
      </c>
      <c r="H46" s="4" t="s">
        <v>227</v>
      </c>
      <c r="I46" s="46">
        <v>957.49113200000011</v>
      </c>
    </row>
    <row r="47" spans="1:9" x14ac:dyDescent="0.25">
      <c r="A47" s="4"/>
      <c r="B47" s="4"/>
      <c r="C47" s="30" t="s">
        <v>255</v>
      </c>
      <c r="D47" s="4">
        <v>0.4</v>
      </c>
      <c r="E47" s="4"/>
      <c r="F47" s="4">
        <v>957.49113200000011</v>
      </c>
      <c r="G47" s="4"/>
      <c r="H47" s="4"/>
      <c r="I47" s="46">
        <v>382.99645280000004</v>
      </c>
    </row>
    <row r="48" spans="1:9" ht="57.1" x14ac:dyDescent="0.25">
      <c r="A48" s="4"/>
      <c r="B48" s="4"/>
      <c r="C48" s="30" t="s">
        <v>256</v>
      </c>
      <c r="D48" s="4">
        <v>3.4849999999999999</v>
      </c>
      <c r="E48" s="4" t="s">
        <v>222</v>
      </c>
      <c r="F48" s="4">
        <v>578</v>
      </c>
      <c r="G48" s="4">
        <v>1</v>
      </c>
      <c r="H48" s="4" t="s">
        <v>222</v>
      </c>
      <c r="I48" s="46">
        <v>2014.33</v>
      </c>
    </row>
    <row r="49" spans="1:9" x14ac:dyDescent="0.25">
      <c r="A49" s="4"/>
      <c r="B49" s="4"/>
      <c r="C49" s="30" t="s">
        <v>255</v>
      </c>
      <c r="D49" s="4">
        <v>0.4</v>
      </c>
      <c r="E49" s="4"/>
      <c r="F49" s="4">
        <v>2014.33</v>
      </c>
      <c r="G49" s="4"/>
      <c r="H49" s="4"/>
      <c r="I49" s="46">
        <v>805.73199999999997</v>
      </c>
    </row>
    <row r="50" spans="1:9" ht="28.55" x14ac:dyDescent="0.25">
      <c r="A50" s="4"/>
      <c r="B50" s="4"/>
      <c r="C50" s="30" t="s">
        <v>257</v>
      </c>
      <c r="D50" s="4">
        <v>0.9</v>
      </c>
      <c r="E50" s="4" t="s">
        <v>222</v>
      </c>
      <c r="F50" s="4">
        <v>431</v>
      </c>
      <c r="G50" s="4">
        <v>1</v>
      </c>
      <c r="H50" s="4" t="s">
        <v>222</v>
      </c>
      <c r="I50" s="46">
        <v>387.90000000000003</v>
      </c>
    </row>
    <row r="51" spans="1:9" x14ac:dyDescent="0.25">
      <c r="A51" s="4"/>
      <c r="B51" s="4"/>
      <c r="C51" s="30" t="s">
        <v>255</v>
      </c>
      <c r="D51" s="4">
        <v>0.4</v>
      </c>
      <c r="E51" s="4"/>
      <c r="F51" s="4">
        <v>387.90000000000003</v>
      </c>
      <c r="G51" s="4"/>
      <c r="H51" s="4"/>
      <c r="I51" s="46">
        <v>155.16000000000003</v>
      </c>
    </row>
    <row r="52" spans="1:9" x14ac:dyDescent="0.25">
      <c r="A52" s="4"/>
      <c r="B52" s="4"/>
      <c r="C52" s="30" t="s">
        <v>258</v>
      </c>
      <c r="D52" s="4"/>
      <c r="E52" s="4"/>
      <c r="F52" s="4"/>
      <c r="G52" s="4"/>
      <c r="H52" s="4"/>
      <c r="I52" s="46"/>
    </row>
    <row r="53" spans="1:9" x14ac:dyDescent="0.25">
      <c r="A53" s="4"/>
      <c r="B53" s="4"/>
      <c r="C53" s="30" t="s">
        <v>259</v>
      </c>
      <c r="D53" s="4"/>
      <c r="E53" s="4"/>
      <c r="F53" s="4"/>
      <c r="G53" s="4"/>
      <c r="H53" s="4"/>
      <c r="I53" s="46">
        <v>17333.403104800003</v>
      </c>
    </row>
    <row r="54" spans="1:9" ht="28.55" x14ac:dyDescent="0.25">
      <c r="A54" s="4"/>
      <c r="B54" s="4"/>
      <c r="C54" s="30" t="s">
        <v>216</v>
      </c>
      <c r="D54" s="4">
        <v>0.13614999999999999</v>
      </c>
      <c r="E54" s="4"/>
      <c r="F54" s="4">
        <v>17333.403104800003</v>
      </c>
      <c r="G54" s="4"/>
      <c r="H54" s="4"/>
      <c r="I54" s="46">
        <v>2359.9428327185205</v>
      </c>
    </row>
    <row r="55" spans="1:9" x14ac:dyDescent="0.25">
      <c r="A55" s="4"/>
      <c r="B55" s="4"/>
      <c r="C55" s="10"/>
      <c r="D55" s="4"/>
      <c r="E55" s="4"/>
      <c r="F55" s="4"/>
      <c r="G55" s="4"/>
      <c r="H55" s="4"/>
      <c r="I55" s="46">
        <v>19693.345937518523</v>
      </c>
    </row>
    <row r="56" spans="1:9" x14ac:dyDescent="0.25">
      <c r="A56" s="4"/>
      <c r="B56" s="4"/>
      <c r="C56" s="10" t="s">
        <v>260</v>
      </c>
      <c r="D56" s="4"/>
      <c r="E56" s="4"/>
      <c r="F56" s="4"/>
      <c r="G56" s="4"/>
      <c r="H56" s="4"/>
      <c r="I56" s="46">
        <v>4207.9799011791711</v>
      </c>
    </row>
    <row r="57" spans="1:9" x14ac:dyDescent="0.25">
      <c r="A57" s="4"/>
      <c r="B57" s="4"/>
      <c r="C57" s="10"/>
      <c r="D57" s="4"/>
      <c r="E57" s="4"/>
      <c r="F57" s="4"/>
      <c r="G57" s="4" t="s">
        <v>261</v>
      </c>
      <c r="H57" s="4"/>
      <c r="I57" s="11">
        <v>4208</v>
      </c>
    </row>
    <row r="58" spans="1:9" x14ac:dyDescent="0.25">
      <c r="A58" s="4"/>
      <c r="B58" s="4"/>
      <c r="C58" s="10"/>
      <c r="D58" s="10"/>
      <c r="E58" s="10"/>
      <c r="F58" s="10"/>
      <c r="G58" s="10"/>
      <c r="H58" s="10"/>
      <c r="I58" s="46"/>
    </row>
    <row r="59" spans="1:9" ht="245.9" customHeight="1" x14ac:dyDescent="0.25">
      <c r="A59" s="4">
        <v>81</v>
      </c>
      <c r="B59" s="4"/>
      <c r="C59" s="139" t="s">
        <v>275</v>
      </c>
      <c r="D59" s="140"/>
      <c r="E59" s="140"/>
      <c r="F59" s="140"/>
      <c r="G59" s="140"/>
      <c r="H59" s="140"/>
      <c r="I59" s="141"/>
    </row>
    <row r="60" spans="1:9" x14ac:dyDescent="0.25">
      <c r="A60" s="4"/>
      <c r="B60" s="4"/>
      <c r="C60" s="10" t="s">
        <v>274</v>
      </c>
      <c r="D60" s="10"/>
      <c r="E60" s="10"/>
      <c r="F60" s="10"/>
      <c r="G60" s="10"/>
      <c r="H60" s="10"/>
      <c r="I60" s="46"/>
    </row>
    <row r="61" spans="1:9" x14ac:dyDescent="0.25">
      <c r="A61" s="4"/>
      <c r="B61" s="4"/>
      <c r="C61" s="30" t="s">
        <v>219</v>
      </c>
      <c r="D61" s="10"/>
      <c r="E61" s="10"/>
      <c r="F61" s="10"/>
      <c r="G61" s="10"/>
      <c r="H61" s="10"/>
      <c r="I61" s="46"/>
    </row>
    <row r="62" spans="1:9" x14ac:dyDescent="0.25">
      <c r="A62" s="4"/>
      <c r="B62" s="4"/>
      <c r="C62" s="30"/>
      <c r="D62" s="10" t="s">
        <v>220</v>
      </c>
      <c r="E62" s="10" t="s">
        <v>264</v>
      </c>
      <c r="F62" s="10"/>
      <c r="G62" s="10"/>
      <c r="H62" s="10">
        <v>2.6</v>
      </c>
      <c r="I62" s="46" t="s">
        <v>222</v>
      </c>
    </row>
    <row r="63" spans="1:9" x14ac:dyDescent="0.25">
      <c r="A63" s="4"/>
      <c r="B63" s="4"/>
      <c r="C63" s="30" t="s">
        <v>223</v>
      </c>
      <c r="D63" s="10"/>
      <c r="E63" s="10"/>
      <c r="F63" s="10"/>
      <c r="G63" s="10"/>
      <c r="H63" s="10"/>
      <c r="I63" s="46"/>
    </row>
    <row r="64" spans="1:9" x14ac:dyDescent="0.25">
      <c r="A64" s="4"/>
      <c r="B64" s="4"/>
      <c r="C64" s="30" t="s">
        <v>224</v>
      </c>
      <c r="D64" s="10" t="s">
        <v>225</v>
      </c>
      <c r="E64" s="10"/>
      <c r="F64" s="10"/>
      <c r="G64" s="10"/>
      <c r="H64" s="10"/>
      <c r="I64" s="46"/>
    </row>
    <row r="65" spans="1:9" x14ac:dyDescent="0.25">
      <c r="A65" s="4"/>
      <c r="B65" s="4"/>
      <c r="C65" s="30"/>
      <c r="D65" s="10" t="s">
        <v>226</v>
      </c>
      <c r="E65" s="10"/>
      <c r="F65" s="10"/>
      <c r="G65" s="10">
        <v>3.3930000000000002E-2</v>
      </c>
      <c r="H65" s="10"/>
      <c r="I65" s="46" t="s">
        <v>227</v>
      </c>
    </row>
    <row r="66" spans="1:9" x14ac:dyDescent="0.25">
      <c r="A66" s="4"/>
      <c r="B66" s="4"/>
      <c r="C66" s="30" t="s">
        <v>228</v>
      </c>
      <c r="D66" s="10" t="s">
        <v>265</v>
      </c>
      <c r="E66" s="10"/>
      <c r="F66" s="10"/>
      <c r="G66" s="10"/>
      <c r="H66" s="10"/>
      <c r="I66" s="46"/>
    </row>
    <row r="67" spans="1:9" x14ac:dyDescent="0.25">
      <c r="A67" s="4"/>
      <c r="B67" s="4"/>
      <c r="C67" s="30"/>
      <c r="D67" s="10" t="s">
        <v>266</v>
      </c>
      <c r="E67" s="10"/>
      <c r="F67" s="10"/>
      <c r="G67" s="10">
        <v>1.2999999999999999E-2</v>
      </c>
      <c r="H67" s="10"/>
      <c r="I67" s="46" t="s">
        <v>227</v>
      </c>
    </row>
    <row r="68" spans="1:9" x14ac:dyDescent="0.25">
      <c r="A68" s="4"/>
      <c r="B68" s="4"/>
      <c r="C68" s="30"/>
      <c r="D68" s="10"/>
      <c r="E68" s="10"/>
      <c r="F68" s="10"/>
      <c r="G68" s="10">
        <v>4.6929999999999999E-2</v>
      </c>
      <c r="H68" s="10"/>
      <c r="I68" s="46" t="s">
        <v>227</v>
      </c>
    </row>
    <row r="69" spans="1:9" x14ac:dyDescent="0.25">
      <c r="A69" s="4"/>
      <c r="B69" s="4"/>
      <c r="C69" s="30" t="s">
        <v>231</v>
      </c>
      <c r="D69" s="10" t="s">
        <v>267</v>
      </c>
      <c r="E69" s="10"/>
      <c r="F69" s="10"/>
      <c r="G69" s="10">
        <v>0.5</v>
      </c>
      <c r="H69" s="10"/>
      <c r="I69" s="46" t="s">
        <v>222</v>
      </c>
    </row>
    <row r="70" spans="1:9" x14ac:dyDescent="0.25">
      <c r="A70" s="4"/>
      <c r="B70" s="4"/>
      <c r="C70" s="30" t="s">
        <v>233</v>
      </c>
      <c r="D70" s="10" t="s">
        <v>268</v>
      </c>
      <c r="E70" s="10"/>
      <c r="F70" s="10"/>
      <c r="G70" s="10">
        <v>3</v>
      </c>
      <c r="H70" s="10"/>
      <c r="I70" s="46" t="s">
        <v>235</v>
      </c>
    </row>
    <row r="71" spans="1:9" x14ac:dyDescent="0.25">
      <c r="A71" s="4"/>
      <c r="B71" s="4"/>
      <c r="C71" s="30" t="s">
        <v>236</v>
      </c>
      <c r="D71" s="10" t="s">
        <v>269</v>
      </c>
      <c r="E71" s="10"/>
      <c r="F71" s="10"/>
      <c r="G71" s="10">
        <v>1.845</v>
      </c>
      <c r="H71" s="10"/>
      <c r="I71" s="46" t="s">
        <v>222</v>
      </c>
    </row>
    <row r="72" spans="1:9" x14ac:dyDescent="0.25">
      <c r="A72" s="4"/>
      <c r="B72" s="4"/>
      <c r="C72" s="30" t="s">
        <v>238</v>
      </c>
      <c r="D72" s="10" t="s">
        <v>270</v>
      </c>
      <c r="E72" s="10"/>
      <c r="F72" s="10"/>
      <c r="G72" s="10">
        <v>1.57</v>
      </c>
      <c r="H72" s="10"/>
      <c r="I72" s="46" t="s">
        <v>240</v>
      </c>
    </row>
    <row r="73" spans="1:9" x14ac:dyDescent="0.25">
      <c r="A73" s="4"/>
      <c r="B73" s="4"/>
      <c r="C73" s="30" t="s">
        <v>241</v>
      </c>
      <c r="D73" s="10"/>
      <c r="E73" s="10"/>
      <c r="F73" s="10"/>
      <c r="G73" s="10"/>
      <c r="H73" s="10"/>
      <c r="I73" s="46"/>
    </row>
    <row r="74" spans="1:9" ht="28.55" x14ac:dyDescent="0.25">
      <c r="A74" s="4"/>
      <c r="B74" s="4"/>
      <c r="C74" s="30" t="s">
        <v>242</v>
      </c>
      <c r="D74" s="4">
        <v>3.3930000000000002E-2</v>
      </c>
      <c r="E74" s="4" t="s">
        <v>227</v>
      </c>
      <c r="F74" s="4">
        <v>94794</v>
      </c>
      <c r="G74" s="4">
        <v>1</v>
      </c>
      <c r="H74" s="4" t="s">
        <v>227</v>
      </c>
      <c r="I74" s="46">
        <v>3216.36042</v>
      </c>
    </row>
    <row r="75" spans="1:9" ht="28.55" x14ac:dyDescent="0.25">
      <c r="A75" s="4"/>
      <c r="B75" s="4"/>
      <c r="C75" s="30" t="s">
        <v>243</v>
      </c>
      <c r="D75" s="4">
        <v>1.2999999999999999E-2</v>
      </c>
      <c r="E75" s="4" t="s">
        <v>227</v>
      </c>
      <c r="F75" s="4">
        <v>85314</v>
      </c>
      <c r="G75" s="4">
        <v>1</v>
      </c>
      <c r="H75" s="4" t="s">
        <v>227</v>
      </c>
      <c r="I75" s="46">
        <v>1109.0819999999999</v>
      </c>
    </row>
    <row r="76" spans="1:9" ht="28.55" x14ac:dyDescent="0.25">
      <c r="A76" s="4"/>
      <c r="B76" s="4"/>
      <c r="C76" s="30" t="s">
        <v>244</v>
      </c>
      <c r="D76" s="4">
        <v>0.5</v>
      </c>
      <c r="E76" s="4" t="s">
        <v>222</v>
      </c>
      <c r="F76" s="4">
        <v>349</v>
      </c>
      <c r="G76" s="4">
        <v>1</v>
      </c>
      <c r="H76" s="4" t="s">
        <v>222</v>
      </c>
      <c r="I76" s="46">
        <v>174.5</v>
      </c>
    </row>
    <row r="77" spans="1:9" ht="28.55" x14ac:dyDescent="0.25">
      <c r="A77" s="4"/>
      <c r="B77" s="4"/>
      <c r="C77" s="30" t="s">
        <v>245</v>
      </c>
      <c r="D77" s="4">
        <v>3</v>
      </c>
      <c r="E77" s="4" t="s">
        <v>235</v>
      </c>
      <c r="F77" s="4">
        <v>24</v>
      </c>
      <c r="G77" s="4">
        <v>1</v>
      </c>
      <c r="H77" s="4" t="s">
        <v>203</v>
      </c>
      <c r="I77" s="46">
        <v>72</v>
      </c>
    </row>
    <row r="78" spans="1:9" ht="28.55" x14ac:dyDescent="0.25">
      <c r="A78" s="4"/>
      <c r="B78" s="4"/>
      <c r="C78" s="30" t="s">
        <v>246</v>
      </c>
      <c r="D78" s="4">
        <v>1.845</v>
      </c>
      <c r="E78" s="4" t="s">
        <v>222</v>
      </c>
      <c r="F78" s="4">
        <v>1383</v>
      </c>
      <c r="G78" s="4">
        <v>1</v>
      </c>
      <c r="H78" s="4" t="s">
        <v>222</v>
      </c>
      <c r="I78" s="46">
        <v>2551.6349999999998</v>
      </c>
    </row>
    <row r="79" spans="1:9" ht="28.55" x14ac:dyDescent="0.25">
      <c r="A79" s="4"/>
      <c r="B79" s="4"/>
      <c r="C79" s="30" t="s">
        <v>247</v>
      </c>
      <c r="D79" s="4">
        <v>6</v>
      </c>
      <c r="E79" s="4" t="s">
        <v>211</v>
      </c>
      <c r="F79" s="4">
        <v>39</v>
      </c>
      <c r="G79" s="4"/>
      <c r="H79" s="4" t="s">
        <v>209</v>
      </c>
      <c r="I79" s="46">
        <v>234</v>
      </c>
    </row>
    <row r="80" spans="1:9" ht="31.95" customHeight="1" x14ac:dyDescent="0.25">
      <c r="A80" s="4"/>
      <c r="B80" s="4"/>
      <c r="C80" s="30" t="s">
        <v>248</v>
      </c>
      <c r="D80" s="4">
        <v>1</v>
      </c>
      <c r="E80" s="4" t="s">
        <v>173</v>
      </c>
      <c r="F80" s="4">
        <v>94</v>
      </c>
      <c r="G80" s="4"/>
      <c r="H80" s="4" t="s">
        <v>209</v>
      </c>
      <c r="I80" s="46">
        <v>94</v>
      </c>
    </row>
    <row r="81" spans="1:9" ht="42.8" x14ac:dyDescent="0.25">
      <c r="A81" s="4"/>
      <c r="B81" s="4"/>
      <c r="C81" s="30" t="s">
        <v>210</v>
      </c>
      <c r="D81" s="4">
        <v>3</v>
      </c>
      <c r="E81" s="4" t="s">
        <v>211</v>
      </c>
      <c r="F81" s="4">
        <v>110</v>
      </c>
      <c r="G81" s="4"/>
      <c r="H81" s="4" t="s">
        <v>209</v>
      </c>
      <c r="I81" s="46">
        <v>330</v>
      </c>
    </row>
    <row r="82" spans="1:9" ht="28.55" x14ac:dyDescent="0.25">
      <c r="A82" s="4"/>
      <c r="B82" s="4"/>
      <c r="C82" s="30" t="s">
        <v>249</v>
      </c>
      <c r="D82" s="4">
        <v>1</v>
      </c>
      <c r="E82" s="4" t="s">
        <v>173</v>
      </c>
      <c r="F82" s="4">
        <v>248</v>
      </c>
      <c r="G82" s="4"/>
      <c r="H82" s="4" t="s">
        <v>209</v>
      </c>
      <c r="I82" s="46">
        <v>248</v>
      </c>
    </row>
    <row r="83" spans="1:9" ht="28.55" x14ac:dyDescent="0.25">
      <c r="A83" s="4"/>
      <c r="B83" s="4"/>
      <c r="C83" s="30" t="s">
        <v>250</v>
      </c>
      <c r="D83" s="4">
        <v>2</v>
      </c>
      <c r="E83" s="4" t="s">
        <v>211</v>
      </c>
      <c r="F83" s="4">
        <v>104</v>
      </c>
      <c r="G83" s="4"/>
      <c r="H83" s="4" t="s">
        <v>209</v>
      </c>
      <c r="I83" s="46">
        <v>208</v>
      </c>
    </row>
    <row r="84" spans="1:9" ht="28.55" x14ac:dyDescent="0.25">
      <c r="A84" s="4"/>
      <c r="B84" s="4"/>
      <c r="C84" s="30" t="s">
        <v>251</v>
      </c>
      <c r="D84" s="4">
        <v>1</v>
      </c>
      <c r="E84" s="4" t="s">
        <v>173</v>
      </c>
      <c r="F84" s="4">
        <v>69</v>
      </c>
      <c r="G84" s="4"/>
      <c r="H84" s="4" t="s">
        <v>209</v>
      </c>
      <c r="I84" s="46">
        <v>69</v>
      </c>
    </row>
    <row r="85" spans="1:9" ht="28.55" x14ac:dyDescent="0.25">
      <c r="A85" s="4"/>
      <c r="B85" s="4"/>
      <c r="C85" s="30" t="s">
        <v>252</v>
      </c>
      <c r="D85" s="4">
        <v>1</v>
      </c>
      <c r="E85" s="4" t="s">
        <v>173</v>
      </c>
      <c r="F85" s="4">
        <v>13</v>
      </c>
      <c r="G85" s="4"/>
      <c r="H85" s="4" t="s">
        <v>209</v>
      </c>
      <c r="I85" s="46">
        <v>13</v>
      </c>
    </row>
    <row r="86" spans="1:9" ht="28.55" x14ac:dyDescent="0.25">
      <c r="A86" s="4"/>
      <c r="B86" s="4"/>
      <c r="C86" s="30" t="s">
        <v>253</v>
      </c>
      <c r="D86" s="4">
        <v>1.57</v>
      </c>
      <c r="E86" s="4" t="s">
        <v>240</v>
      </c>
      <c r="F86" s="4">
        <v>60000</v>
      </c>
      <c r="G86" s="4">
        <v>1000</v>
      </c>
      <c r="H86" s="4" t="s">
        <v>240</v>
      </c>
      <c r="I86" s="46">
        <v>94.2</v>
      </c>
    </row>
    <row r="87" spans="1:9" ht="28.55" x14ac:dyDescent="0.25">
      <c r="A87" s="4"/>
      <c r="B87" s="4"/>
      <c r="C87" s="30" t="s">
        <v>254</v>
      </c>
      <c r="D87" s="4">
        <v>4.6929999999999999E-2</v>
      </c>
      <c r="E87" s="4" t="s">
        <v>227</v>
      </c>
      <c r="F87" s="4">
        <v>15805.400000000001</v>
      </c>
      <c r="G87" s="4">
        <v>1</v>
      </c>
      <c r="H87" s="4" t="s">
        <v>227</v>
      </c>
      <c r="I87" s="46">
        <v>741.74742200000003</v>
      </c>
    </row>
    <row r="88" spans="1:9" x14ac:dyDescent="0.25">
      <c r="A88" s="4"/>
      <c r="B88" s="4"/>
      <c r="C88" s="30" t="s">
        <v>255</v>
      </c>
      <c r="D88" s="4">
        <v>0.4</v>
      </c>
      <c r="E88" s="4"/>
      <c r="F88" s="4">
        <v>741.74742200000003</v>
      </c>
      <c r="G88" s="4"/>
      <c r="H88" s="4"/>
      <c r="I88" s="46">
        <v>296.69896880000005</v>
      </c>
    </row>
    <row r="89" spans="1:9" ht="57.1" x14ac:dyDescent="0.25">
      <c r="A89" s="4"/>
      <c r="B89" s="4"/>
      <c r="C89" s="30" t="s">
        <v>271</v>
      </c>
      <c r="D89" s="4">
        <v>1.845</v>
      </c>
      <c r="E89" s="4" t="s">
        <v>222</v>
      </c>
      <c r="F89" s="4">
        <v>578</v>
      </c>
      <c r="G89" s="4">
        <v>1</v>
      </c>
      <c r="H89" s="4" t="s">
        <v>222</v>
      </c>
      <c r="I89" s="46">
        <v>1066.4100000000001</v>
      </c>
    </row>
    <row r="90" spans="1:9" x14ac:dyDescent="0.25">
      <c r="A90" s="4"/>
      <c r="B90" s="4"/>
      <c r="C90" s="30" t="s">
        <v>255</v>
      </c>
      <c r="D90" s="4">
        <v>0.4</v>
      </c>
      <c r="E90" s="4"/>
      <c r="F90" s="4">
        <v>1066.4100000000001</v>
      </c>
      <c r="G90" s="4"/>
      <c r="H90" s="4"/>
      <c r="I90" s="46">
        <v>426.56400000000008</v>
      </c>
    </row>
    <row r="91" spans="1:9" ht="28.55" x14ac:dyDescent="0.25">
      <c r="A91" s="4"/>
      <c r="B91" s="4"/>
      <c r="C91" s="30" t="s">
        <v>272</v>
      </c>
      <c r="D91" s="4">
        <v>0.5</v>
      </c>
      <c r="E91" s="4" t="s">
        <v>222</v>
      </c>
      <c r="F91" s="4">
        <v>431</v>
      </c>
      <c r="G91" s="4">
        <v>1</v>
      </c>
      <c r="H91" s="4" t="s">
        <v>222</v>
      </c>
      <c r="I91" s="46">
        <v>215.5</v>
      </c>
    </row>
    <row r="92" spans="1:9" x14ac:dyDescent="0.25">
      <c r="A92" s="4"/>
      <c r="B92" s="4"/>
      <c r="C92" s="30" t="s">
        <v>255</v>
      </c>
      <c r="D92" s="4">
        <v>0.4</v>
      </c>
      <c r="E92" s="4"/>
      <c r="F92" s="4">
        <v>215.5</v>
      </c>
      <c r="G92" s="4"/>
      <c r="H92" s="4"/>
      <c r="I92" s="46">
        <v>86.2</v>
      </c>
    </row>
    <row r="93" spans="1:9" x14ac:dyDescent="0.25">
      <c r="A93" s="4"/>
      <c r="B93" s="4"/>
      <c r="C93" s="30" t="s">
        <v>258</v>
      </c>
      <c r="D93" s="4"/>
      <c r="E93" s="4"/>
      <c r="F93" s="4"/>
      <c r="G93" s="4"/>
      <c r="H93" s="4"/>
      <c r="I93" s="46"/>
    </row>
    <row r="94" spans="1:9" x14ac:dyDescent="0.25">
      <c r="A94" s="4"/>
      <c r="B94" s="4"/>
      <c r="C94" s="30" t="s">
        <v>273</v>
      </c>
      <c r="D94" s="4"/>
      <c r="E94" s="4"/>
      <c r="F94" s="4"/>
      <c r="G94" s="4"/>
      <c r="H94" s="4"/>
      <c r="I94" s="46">
        <v>11246.897810800001</v>
      </c>
    </row>
    <row r="95" spans="1:9" ht="28.55" x14ac:dyDescent="0.25">
      <c r="A95" s="4" t="s">
        <v>274</v>
      </c>
      <c r="B95" s="4"/>
      <c r="C95" s="30" t="s">
        <v>216</v>
      </c>
      <c r="D95" s="4">
        <v>0.13614999999999999</v>
      </c>
      <c r="E95" s="4"/>
      <c r="F95" s="4">
        <v>11246.897810800001</v>
      </c>
      <c r="G95" s="4"/>
      <c r="H95" s="4"/>
      <c r="I95" s="46">
        <v>1531.26513694042</v>
      </c>
    </row>
    <row r="96" spans="1:9" x14ac:dyDescent="0.25">
      <c r="A96" s="4"/>
      <c r="B96" s="4"/>
      <c r="C96" s="10"/>
      <c r="D96" s="10"/>
      <c r="E96" s="10"/>
      <c r="F96" s="10"/>
      <c r="G96" s="10"/>
      <c r="H96" s="10"/>
      <c r="I96" s="46">
        <v>12778.16294774042</v>
      </c>
    </row>
    <row r="97" spans="1:9" x14ac:dyDescent="0.25">
      <c r="A97" s="4"/>
      <c r="B97" s="4"/>
      <c r="C97" s="10" t="s">
        <v>260</v>
      </c>
      <c r="D97" s="10"/>
      <c r="E97" s="10"/>
      <c r="F97" s="10"/>
      <c r="G97" s="10"/>
      <c r="H97" s="10"/>
      <c r="I97" s="46">
        <v>4914.6780568232389</v>
      </c>
    </row>
    <row r="98" spans="1:9" x14ac:dyDescent="0.25">
      <c r="A98" s="4"/>
      <c r="B98" s="4"/>
      <c r="C98" s="10"/>
      <c r="D98" s="10"/>
      <c r="E98" s="10"/>
      <c r="F98" s="10"/>
      <c r="G98" s="10" t="s">
        <v>261</v>
      </c>
      <c r="H98" s="10"/>
      <c r="I98" s="11">
        <v>4915</v>
      </c>
    </row>
    <row r="99" spans="1:9" x14ac:dyDescent="0.25">
      <c r="A99" s="4"/>
      <c r="B99" s="4"/>
      <c r="C99" s="10"/>
      <c r="D99" s="10"/>
      <c r="E99" s="10"/>
      <c r="F99" s="10"/>
      <c r="G99" s="10"/>
      <c r="H99" s="10"/>
      <c r="I99" s="46"/>
    </row>
    <row r="100" spans="1:9" ht="244.55" customHeight="1" x14ac:dyDescent="0.25">
      <c r="A100" s="4">
        <v>82</v>
      </c>
      <c r="B100" s="4"/>
      <c r="C100" s="139" t="s">
        <v>293</v>
      </c>
      <c r="D100" s="140"/>
      <c r="E100" s="140"/>
      <c r="F100" s="140"/>
      <c r="G100" s="140"/>
      <c r="H100" s="140"/>
      <c r="I100" s="141"/>
    </row>
    <row r="101" spans="1:9" x14ac:dyDescent="0.25">
      <c r="A101" s="4"/>
      <c r="B101" s="4"/>
      <c r="C101" s="10"/>
      <c r="D101" s="10"/>
      <c r="E101" s="10"/>
      <c r="F101" s="10"/>
      <c r="G101" s="10"/>
      <c r="H101" s="10"/>
      <c r="I101" s="46"/>
    </row>
    <row r="102" spans="1:9" x14ac:dyDescent="0.25">
      <c r="A102" s="4"/>
      <c r="B102" s="4"/>
      <c r="C102" s="10" t="s">
        <v>219</v>
      </c>
      <c r="D102" s="10"/>
      <c r="E102" s="10"/>
      <c r="F102" s="10"/>
      <c r="G102" s="10"/>
      <c r="H102" s="10"/>
      <c r="I102" s="46"/>
    </row>
    <row r="103" spans="1:9" x14ac:dyDescent="0.25">
      <c r="A103" s="4"/>
      <c r="B103" s="4"/>
      <c r="C103" s="10"/>
      <c r="D103" s="10" t="s">
        <v>220</v>
      </c>
      <c r="E103" s="10" t="s">
        <v>277</v>
      </c>
      <c r="F103" s="10"/>
      <c r="G103" s="10">
        <v>2.3400000000000003</v>
      </c>
      <c r="H103" s="10"/>
      <c r="I103" s="46" t="s">
        <v>222</v>
      </c>
    </row>
    <row r="104" spans="1:9" x14ac:dyDescent="0.25">
      <c r="A104" s="4"/>
      <c r="B104" s="4"/>
      <c r="C104" s="10" t="s">
        <v>223</v>
      </c>
      <c r="D104" s="10"/>
      <c r="E104" s="10"/>
      <c r="F104" s="10"/>
      <c r="G104" s="10"/>
      <c r="H104" s="10"/>
      <c r="I104" s="46"/>
    </row>
    <row r="105" spans="1:9" x14ac:dyDescent="0.25">
      <c r="A105" s="4"/>
      <c r="B105" s="4"/>
      <c r="C105" s="10" t="s">
        <v>224</v>
      </c>
      <c r="D105" s="10" t="s">
        <v>225</v>
      </c>
      <c r="E105" s="10"/>
      <c r="F105" s="10"/>
      <c r="G105" s="10"/>
      <c r="H105" s="10"/>
      <c r="I105" s="46"/>
    </row>
    <row r="106" spans="1:9" x14ac:dyDescent="0.25">
      <c r="A106" s="4"/>
      <c r="B106" s="4"/>
      <c r="C106" s="10"/>
      <c r="D106" s="10" t="s">
        <v>278</v>
      </c>
      <c r="E106" s="10"/>
      <c r="F106" s="10"/>
      <c r="G106" s="10">
        <v>3.3930000000000002E-2</v>
      </c>
      <c r="H106" s="10"/>
      <c r="I106" s="46" t="s">
        <v>227</v>
      </c>
    </row>
    <row r="107" spans="1:9" x14ac:dyDescent="0.25">
      <c r="A107" s="4"/>
      <c r="B107" s="4"/>
      <c r="C107" s="10" t="s">
        <v>228</v>
      </c>
      <c r="D107" s="10" t="s">
        <v>279</v>
      </c>
      <c r="E107" s="10"/>
      <c r="F107" s="10"/>
      <c r="G107" s="10"/>
      <c r="H107" s="10"/>
      <c r="I107" s="46"/>
    </row>
    <row r="108" spans="1:9" x14ac:dyDescent="0.25">
      <c r="A108" s="4"/>
      <c r="B108" s="4"/>
      <c r="C108" s="10"/>
      <c r="D108" s="10" t="s">
        <v>280</v>
      </c>
      <c r="E108" s="10"/>
      <c r="F108" s="10"/>
      <c r="G108" s="10">
        <v>1.17E-2</v>
      </c>
      <c r="H108" s="10"/>
      <c r="I108" s="46" t="s">
        <v>227</v>
      </c>
    </row>
    <row r="109" spans="1:9" x14ac:dyDescent="0.25">
      <c r="A109" s="4"/>
      <c r="B109" s="4"/>
      <c r="C109" s="10"/>
      <c r="D109" s="10"/>
      <c r="E109" s="10"/>
      <c r="F109" s="10"/>
      <c r="G109" s="10">
        <v>4.5630000000000004E-2</v>
      </c>
      <c r="H109" s="10"/>
      <c r="I109" s="46" t="s">
        <v>227</v>
      </c>
    </row>
    <row r="110" spans="1:9" x14ac:dyDescent="0.25">
      <c r="A110" s="4"/>
      <c r="B110" s="4"/>
      <c r="C110" s="30" t="s">
        <v>231</v>
      </c>
      <c r="D110" s="10" t="s">
        <v>281</v>
      </c>
      <c r="E110" s="10"/>
      <c r="F110" s="10"/>
      <c r="G110" s="10">
        <v>0.45</v>
      </c>
      <c r="H110" s="10"/>
      <c r="I110" s="46" t="s">
        <v>222</v>
      </c>
    </row>
    <row r="111" spans="1:9" x14ac:dyDescent="0.25">
      <c r="A111" s="4"/>
      <c r="B111" s="4"/>
      <c r="C111" s="30" t="s">
        <v>233</v>
      </c>
      <c r="D111" s="10" t="s">
        <v>282</v>
      </c>
      <c r="E111" s="10"/>
      <c r="F111" s="10"/>
      <c r="G111" s="10">
        <v>2.8</v>
      </c>
      <c r="H111" s="10"/>
      <c r="I111" s="46" t="s">
        <v>235</v>
      </c>
    </row>
    <row r="112" spans="1:9" x14ac:dyDescent="0.25">
      <c r="A112" s="4"/>
      <c r="B112" s="4"/>
      <c r="C112" s="30" t="s">
        <v>236</v>
      </c>
      <c r="D112" s="10" t="s">
        <v>283</v>
      </c>
      <c r="E112" s="10"/>
      <c r="F112" s="10"/>
      <c r="G112" s="10">
        <v>1.64</v>
      </c>
      <c r="H112" s="10"/>
      <c r="I112" s="46" t="s">
        <v>222</v>
      </c>
    </row>
    <row r="113" spans="1:9" x14ac:dyDescent="0.25">
      <c r="A113" s="4"/>
      <c r="B113" s="4"/>
      <c r="C113" s="30" t="s">
        <v>238</v>
      </c>
      <c r="D113" s="10" t="s">
        <v>284</v>
      </c>
      <c r="E113" s="10"/>
      <c r="F113" s="10"/>
      <c r="G113" s="10">
        <v>1.413</v>
      </c>
      <c r="H113" s="10"/>
      <c r="I113" s="46" t="s">
        <v>240</v>
      </c>
    </row>
    <row r="114" spans="1:9" x14ac:dyDescent="0.25">
      <c r="A114" s="4"/>
      <c r="B114" s="4"/>
      <c r="C114" s="30" t="s">
        <v>241</v>
      </c>
      <c r="D114" s="10"/>
      <c r="E114" s="10"/>
      <c r="F114" s="10"/>
      <c r="G114" s="10"/>
      <c r="H114" s="10"/>
      <c r="I114" s="46"/>
    </row>
    <row r="115" spans="1:9" ht="28.55" x14ac:dyDescent="0.25">
      <c r="A115" s="4"/>
      <c r="B115" s="4"/>
      <c r="C115" s="30" t="s">
        <v>242</v>
      </c>
      <c r="D115" s="4">
        <v>3.3930000000000002E-2</v>
      </c>
      <c r="E115" s="4" t="s">
        <v>227</v>
      </c>
      <c r="F115" s="4">
        <v>94794</v>
      </c>
      <c r="G115" s="4">
        <v>1</v>
      </c>
      <c r="H115" s="4" t="s">
        <v>227</v>
      </c>
      <c r="I115" s="46">
        <v>3216.36042</v>
      </c>
    </row>
    <row r="116" spans="1:9" ht="28.55" x14ac:dyDescent="0.25">
      <c r="A116" s="4"/>
      <c r="B116" s="4"/>
      <c r="C116" s="30" t="s">
        <v>243</v>
      </c>
      <c r="D116" s="4">
        <v>1.17E-2</v>
      </c>
      <c r="E116" s="4" t="s">
        <v>227</v>
      </c>
      <c r="F116" s="4">
        <v>85314</v>
      </c>
      <c r="G116" s="4">
        <v>1</v>
      </c>
      <c r="H116" s="4" t="s">
        <v>227</v>
      </c>
      <c r="I116" s="46">
        <v>998.17380000000003</v>
      </c>
    </row>
    <row r="117" spans="1:9" ht="28.55" x14ac:dyDescent="0.25">
      <c r="A117" s="4"/>
      <c r="B117" s="4"/>
      <c r="C117" s="30" t="s">
        <v>285</v>
      </c>
      <c r="D117" s="4">
        <v>0.45</v>
      </c>
      <c r="E117" s="4" t="s">
        <v>222</v>
      </c>
      <c r="F117" s="4">
        <v>349</v>
      </c>
      <c r="G117" s="4">
        <v>1</v>
      </c>
      <c r="H117" s="4" t="s">
        <v>222</v>
      </c>
      <c r="I117" s="46">
        <v>157.05000000000001</v>
      </c>
    </row>
    <row r="118" spans="1:9" ht="28.55" x14ac:dyDescent="0.25">
      <c r="A118" s="4"/>
      <c r="B118" s="4"/>
      <c r="C118" s="30" t="s">
        <v>286</v>
      </c>
      <c r="D118" s="4">
        <v>2.8</v>
      </c>
      <c r="E118" s="4" t="s">
        <v>235</v>
      </c>
      <c r="F118" s="4">
        <v>24</v>
      </c>
      <c r="G118" s="4">
        <v>1</v>
      </c>
      <c r="H118" s="4" t="s">
        <v>203</v>
      </c>
      <c r="I118" s="46">
        <v>67.199999999999989</v>
      </c>
    </row>
    <row r="119" spans="1:9" ht="28.55" x14ac:dyDescent="0.25">
      <c r="A119" s="4"/>
      <c r="B119" s="4"/>
      <c r="C119" s="30" t="s">
        <v>287</v>
      </c>
      <c r="D119" s="4">
        <v>1.64</v>
      </c>
      <c r="E119" s="4" t="s">
        <v>222</v>
      </c>
      <c r="F119" s="4">
        <v>1383</v>
      </c>
      <c r="G119" s="4">
        <v>1</v>
      </c>
      <c r="H119" s="4" t="s">
        <v>222</v>
      </c>
      <c r="I119" s="46">
        <v>2268.12</v>
      </c>
    </row>
    <row r="120" spans="1:9" ht="28.55" x14ac:dyDescent="0.25">
      <c r="A120" s="4"/>
      <c r="B120" s="4"/>
      <c r="C120" s="30" t="s">
        <v>288</v>
      </c>
      <c r="D120" s="4">
        <v>6</v>
      </c>
      <c r="E120" s="4" t="s">
        <v>211</v>
      </c>
      <c r="F120" s="4">
        <v>39</v>
      </c>
      <c r="G120" s="4"/>
      <c r="H120" s="4" t="s">
        <v>209</v>
      </c>
      <c r="I120" s="46">
        <v>234</v>
      </c>
    </row>
    <row r="121" spans="1:9" ht="29.25" customHeight="1" x14ac:dyDescent="0.25">
      <c r="A121" s="4"/>
      <c r="B121" s="4"/>
      <c r="C121" s="30" t="s">
        <v>248</v>
      </c>
      <c r="D121" s="4">
        <v>1</v>
      </c>
      <c r="E121" s="4" t="s">
        <v>173</v>
      </c>
      <c r="F121" s="4">
        <v>94</v>
      </c>
      <c r="G121" s="4"/>
      <c r="H121" s="4" t="s">
        <v>209</v>
      </c>
      <c r="I121" s="46">
        <v>94</v>
      </c>
    </row>
    <row r="122" spans="1:9" ht="42.8" x14ac:dyDescent="0.25">
      <c r="A122" s="4"/>
      <c r="B122" s="4"/>
      <c r="C122" s="30" t="s">
        <v>210</v>
      </c>
      <c r="D122" s="4">
        <v>3</v>
      </c>
      <c r="E122" s="4" t="s">
        <v>211</v>
      </c>
      <c r="F122" s="4">
        <v>110</v>
      </c>
      <c r="G122" s="4"/>
      <c r="H122" s="4" t="s">
        <v>209</v>
      </c>
      <c r="I122" s="46">
        <v>330</v>
      </c>
    </row>
    <row r="123" spans="1:9" ht="28.55" x14ac:dyDescent="0.25">
      <c r="A123" s="4"/>
      <c r="B123" s="4"/>
      <c r="C123" s="30" t="s">
        <v>289</v>
      </c>
      <c r="D123" s="4">
        <v>1</v>
      </c>
      <c r="E123" s="4" t="s">
        <v>173</v>
      </c>
      <c r="F123" s="4">
        <v>248</v>
      </c>
      <c r="G123" s="4"/>
      <c r="H123" s="4" t="s">
        <v>209</v>
      </c>
      <c r="I123" s="46">
        <v>248</v>
      </c>
    </row>
    <row r="124" spans="1:9" ht="28.55" x14ac:dyDescent="0.25">
      <c r="A124" s="4"/>
      <c r="B124" s="4"/>
      <c r="C124" s="30" t="s">
        <v>290</v>
      </c>
      <c r="D124" s="4">
        <v>2</v>
      </c>
      <c r="E124" s="4" t="s">
        <v>211</v>
      </c>
      <c r="F124" s="4">
        <v>104</v>
      </c>
      <c r="G124" s="4"/>
      <c r="H124" s="4" t="s">
        <v>209</v>
      </c>
      <c r="I124" s="46">
        <v>208</v>
      </c>
    </row>
    <row r="125" spans="1:9" ht="28.55" x14ac:dyDescent="0.25">
      <c r="A125" s="4"/>
      <c r="B125" s="4"/>
      <c r="C125" s="30" t="s">
        <v>294</v>
      </c>
      <c r="D125" s="4">
        <v>1</v>
      </c>
      <c r="E125" s="4" t="s">
        <v>173</v>
      </c>
      <c r="F125" s="4">
        <v>69</v>
      </c>
      <c r="G125" s="4"/>
      <c r="H125" s="4" t="s">
        <v>209</v>
      </c>
      <c r="I125" s="46">
        <v>69</v>
      </c>
    </row>
    <row r="126" spans="1:9" ht="28.55" x14ac:dyDescent="0.25">
      <c r="A126" s="4"/>
      <c r="B126" s="4"/>
      <c r="C126" s="30" t="s">
        <v>291</v>
      </c>
      <c r="D126" s="4">
        <v>1</v>
      </c>
      <c r="E126" s="4" t="s">
        <v>173</v>
      </c>
      <c r="F126" s="4">
        <v>13</v>
      </c>
      <c r="G126" s="4"/>
      <c r="H126" s="4" t="s">
        <v>209</v>
      </c>
      <c r="I126" s="46">
        <v>13</v>
      </c>
    </row>
    <row r="127" spans="1:9" ht="28.55" x14ac:dyDescent="0.25">
      <c r="A127" s="4"/>
      <c r="B127" s="4"/>
      <c r="C127" s="30" t="s">
        <v>253</v>
      </c>
      <c r="D127" s="4">
        <v>1.413</v>
      </c>
      <c r="E127" s="4" t="s">
        <v>240</v>
      </c>
      <c r="F127" s="4">
        <v>60000</v>
      </c>
      <c r="G127" s="4">
        <v>1000</v>
      </c>
      <c r="H127" s="4" t="s">
        <v>240</v>
      </c>
      <c r="I127" s="46">
        <v>84.78</v>
      </c>
    </row>
    <row r="128" spans="1:9" ht="28.55" x14ac:dyDescent="0.25">
      <c r="A128" s="4"/>
      <c r="B128" s="4"/>
      <c r="C128" s="30" t="s">
        <v>254</v>
      </c>
      <c r="D128" s="4">
        <v>4.5630000000000004E-2</v>
      </c>
      <c r="E128" s="4" t="s">
        <v>227</v>
      </c>
      <c r="F128" s="4">
        <v>15805.400000000001</v>
      </c>
      <c r="G128" s="4">
        <v>1</v>
      </c>
      <c r="H128" s="4" t="s">
        <v>227</v>
      </c>
      <c r="I128" s="46">
        <v>721.20040200000017</v>
      </c>
    </row>
    <row r="129" spans="1:9" x14ac:dyDescent="0.25">
      <c r="A129" s="4"/>
      <c r="B129" s="4"/>
      <c r="C129" s="30" t="s">
        <v>255</v>
      </c>
      <c r="D129" s="4">
        <v>0.4</v>
      </c>
      <c r="E129" s="4"/>
      <c r="F129" s="4">
        <v>721.20040200000017</v>
      </c>
      <c r="G129" s="4"/>
      <c r="H129" s="4"/>
      <c r="I129" s="46">
        <v>288.48016080000008</v>
      </c>
    </row>
    <row r="130" spans="1:9" ht="57.1" x14ac:dyDescent="0.25">
      <c r="A130" s="4"/>
      <c r="B130" s="4"/>
      <c r="C130" s="30" t="s">
        <v>271</v>
      </c>
      <c r="D130" s="4">
        <v>1.64</v>
      </c>
      <c r="E130" s="4" t="s">
        <v>222</v>
      </c>
      <c r="F130" s="4">
        <v>578</v>
      </c>
      <c r="G130" s="4">
        <v>1</v>
      </c>
      <c r="H130" s="4" t="s">
        <v>222</v>
      </c>
      <c r="I130" s="46">
        <v>947.92</v>
      </c>
    </row>
    <row r="131" spans="1:9" x14ac:dyDescent="0.25">
      <c r="A131" s="4"/>
      <c r="B131" s="4"/>
      <c r="C131" s="30" t="s">
        <v>255</v>
      </c>
      <c r="D131" s="4">
        <v>0.4</v>
      </c>
      <c r="E131" s="4"/>
      <c r="F131" s="4">
        <v>947.92</v>
      </c>
      <c r="G131" s="4"/>
      <c r="H131" s="4"/>
      <c r="I131" s="46">
        <v>379.16800000000001</v>
      </c>
    </row>
    <row r="132" spans="1:9" ht="28.55" x14ac:dyDescent="0.25">
      <c r="A132" s="4"/>
      <c r="B132" s="4"/>
      <c r="C132" s="30" t="s">
        <v>272</v>
      </c>
      <c r="D132" s="4">
        <v>0.45</v>
      </c>
      <c r="E132" s="4" t="s">
        <v>222</v>
      </c>
      <c r="F132" s="4">
        <v>431</v>
      </c>
      <c r="G132" s="4">
        <v>1</v>
      </c>
      <c r="H132" s="4" t="s">
        <v>222</v>
      </c>
      <c r="I132" s="46">
        <v>193.95000000000002</v>
      </c>
    </row>
    <row r="133" spans="1:9" x14ac:dyDescent="0.25">
      <c r="A133" s="4"/>
      <c r="B133" s="4"/>
      <c r="C133" s="30" t="s">
        <v>255</v>
      </c>
      <c r="D133" s="4">
        <v>0.4</v>
      </c>
      <c r="E133" s="4"/>
      <c r="F133" s="4">
        <v>193.95000000000002</v>
      </c>
      <c r="G133" s="4"/>
      <c r="H133" s="4"/>
      <c r="I133" s="46">
        <v>77.580000000000013</v>
      </c>
    </row>
    <row r="134" spans="1:9" x14ac:dyDescent="0.25">
      <c r="A134" s="4"/>
      <c r="B134" s="4"/>
      <c r="C134" s="30" t="s">
        <v>258</v>
      </c>
      <c r="D134" s="4"/>
      <c r="E134" s="4"/>
      <c r="F134" s="4"/>
      <c r="G134" s="4"/>
      <c r="H134" s="4"/>
      <c r="I134" s="46"/>
    </row>
    <row r="135" spans="1:9" x14ac:dyDescent="0.25">
      <c r="A135" s="4"/>
      <c r="B135" s="4"/>
      <c r="C135" s="30" t="s">
        <v>292</v>
      </c>
      <c r="D135" s="4"/>
      <c r="E135" s="4"/>
      <c r="F135" s="4"/>
      <c r="G135" s="4"/>
      <c r="H135" s="4"/>
      <c r="I135" s="46">
        <v>10595.9827828</v>
      </c>
    </row>
    <row r="136" spans="1:9" ht="28.55" x14ac:dyDescent="0.25">
      <c r="A136" s="4"/>
      <c r="B136" s="4"/>
      <c r="C136" s="30" t="s">
        <v>216</v>
      </c>
      <c r="D136" s="4">
        <v>0.13614999999999999</v>
      </c>
      <c r="E136" s="4"/>
      <c r="F136" s="4">
        <v>10595.9827828</v>
      </c>
      <c r="G136" s="4"/>
      <c r="H136" s="4"/>
      <c r="I136" s="46">
        <v>1442.6430558782199</v>
      </c>
    </row>
    <row r="137" spans="1:9" x14ac:dyDescent="0.25">
      <c r="A137" s="4"/>
      <c r="B137" s="4"/>
      <c r="C137" s="10"/>
      <c r="D137" s="10"/>
      <c r="E137" s="10"/>
      <c r="F137" s="10"/>
      <c r="G137" s="10"/>
      <c r="H137" s="10"/>
      <c r="I137" s="46">
        <v>12038.625838678219</v>
      </c>
    </row>
    <row r="138" spans="1:9" x14ac:dyDescent="0.25">
      <c r="A138" s="4"/>
      <c r="B138" s="4"/>
      <c r="C138" s="10" t="s">
        <v>260</v>
      </c>
      <c r="D138" s="10"/>
      <c r="E138" s="10"/>
      <c r="F138" s="10"/>
      <c r="G138" s="10"/>
      <c r="H138" s="10"/>
      <c r="I138" s="46">
        <v>5144.7118968710329</v>
      </c>
    </row>
    <row r="139" spans="1:9" x14ac:dyDescent="0.25">
      <c r="A139" s="4"/>
      <c r="B139" s="4"/>
      <c r="C139" s="10"/>
      <c r="D139" s="10"/>
      <c r="E139" s="10"/>
      <c r="F139" s="10"/>
      <c r="G139" s="10" t="s">
        <v>261</v>
      </c>
      <c r="H139" s="10"/>
      <c r="I139" s="11">
        <v>5145</v>
      </c>
    </row>
    <row r="140" spans="1:9" x14ac:dyDescent="0.25">
      <c r="A140" s="4"/>
      <c r="B140" s="4"/>
      <c r="C140" s="10"/>
      <c r="D140" s="10"/>
      <c r="E140" s="10"/>
      <c r="F140" s="10"/>
      <c r="G140" s="10"/>
      <c r="H140" s="10"/>
      <c r="I140" s="46"/>
    </row>
    <row r="141" spans="1:9" ht="258.8" customHeight="1" x14ac:dyDescent="0.25">
      <c r="A141" s="4">
        <v>84</v>
      </c>
      <c r="B141" s="4"/>
      <c r="C141" s="139" t="s">
        <v>299</v>
      </c>
      <c r="D141" s="140"/>
      <c r="E141" s="140"/>
      <c r="F141" s="140"/>
      <c r="G141" s="140"/>
      <c r="H141" s="140"/>
      <c r="I141" s="141"/>
    </row>
    <row r="142" spans="1:9" x14ac:dyDescent="0.25">
      <c r="A142" s="4"/>
      <c r="B142" s="4"/>
      <c r="C142" s="10" t="s">
        <v>297</v>
      </c>
      <c r="D142" s="10">
        <v>1</v>
      </c>
      <c r="E142" s="10" t="s">
        <v>154</v>
      </c>
      <c r="F142" s="10">
        <v>13438</v>
      </c>
      <c r="G142" s="10">
        <v>1</v>
      </c>
      <c r="H142" s="10" t="s">
        <v>154</v>
      </c>
      <c r="I142" s="46">
        <v>13438</v>
      </c>
    </row>
    <row r="143" spans="1:9" x14ac:dyDescent="0.25">
      <c r="A143" s="4"/>
      <c r="B143" s="4"/>
      <c r="C143" s="10" t="s">
        <v>216</v>
      </c>
      <c r="D143" s="10">
        <v>0.13614999999999999</v>
      </c>
      <c r="E143" s="10"/>
      <c r="F143" s="10">
        <v>13438</v>
      </c>
      <c r="G143" s="10"/>
      <c r="H143" s="10"/>
      <c r="I143" s="46">
        <v>1829.5836999999999</v>
      </c>
    </row>
    <row r="144" spans="1:9" x14ac:dyDescent="0.25">
      <c r="A144" s="4"/>
      <c r="B144" s="4"/>
      <c r="C144" s="10" t="s">
        <v>217</v>
      </c>
      <c r="D144" s="10"/>
      <c r="E144" s="10"/>
      <c r="F144" s="10"/>
      <c r="G144" s="10"/>
      <c r="H144" s="10"/>
      <c r="I144" s="46">
        <v>15267.583699999999</v>
      </c>
    </row>
    <row r="145" spans="1:9" x14ac:dyDescent="0.25">
      <c r="A145" s="4"/>
      <c r="B145" s="4"/>
      <c r="C145" s="10"/>
      <c r="D145" s="10"/>
      <c r="E145" s="10"/>
      <c r="F145" s="10"/>
      <c r="G145" s="10" t="s">
        <v>298</v>
      </c>
      <c r="H145" s="10"/>
      <c r="I145" s="11">
        <v>15268</v>
      </c>
    </row>
    <row r="146" spans="1:9" x14ac:dyDescent="0.25">
      <c r="A146" s="4"/>
      <c r="B146" s="4"/>
      <c r="C146" s="10"/>
      <c r="D146" s="10"/>
      <c r="E146" s="10"/>
      <c r="F146" s="10"/>
      <c r="G146" s="10"/>
      <c r="H146" s="10"/>
      <c r="I146" s="46"/>
    </row>
    <row r="147" spans="1:9" ht="231.65" customHeight="1" x14ac:dyDescent="0.25">
      <c r="A147" s="4">
        <v>86</v>
      </c>
      <c r="B147" s="4"/>
      <c r="C147" s="139" t="s">
        <v>301</v>
      </c>
      <c r="D147" s="140"/>
      <c r="E147" s="140"/>
      <c r="F147" s="140"/>
      <c r="G147" s="140"/>
      <c r="H147" s="140"/>
      <c r="I147" s="141"/>
    </row>
    <row r="148" spans="1:9" x14ac:dyDescent="0.25">
      <c r="A148" s="4"/>
      <c r="B148" s="4"/>
      <c r="C148" s="10" t="s">
        <v>215</v>
      </c>
      <c r="D148" s="10">
        <v>1</v>
      </c>
      <c r="E148" s="10" t="s">
        <v>154</v>
      </c>
      <c r="F148" s="10">
        <v>7119</v>
      </c>
      <c r="G148" s="10">
        <v>1</v>
      </c>
      <c r="H148" s="10" t="s">
        <v>154</v>
      </c>
      <c r="I148" s="46">
        <v>7119</v>
      </c>
    </row>
    <row r="149" spans="1:9" x14ac:dyDescent="0.25">
      <c r="A149" s="4"/>
      <c r="B149" s="4"/>
      <c r="C149" s="10" t="s">
        <v>216</v>
      </c>
      <c r="D149" s="10">
        <v>0.13614999999999999</v>
      </c>
      <c r="E149" s="10"/>
      <c r="F149" s="10">
        <v>7119</v>
      </c>
      <c r="G149" s="10"/>
      <c r="H149" s="10"/>
      <c r="I149" s="46">
        <v>969.25184999999999</v>
      </c>
    </row>
    <row r="150" spans="1:9" x14ac:dyDescent="0.25">
      <c r="A150" s="4"/>
      <c r="B150" s="4"/>
      <c r="C150" s="10" t="s">
        <v>217</v>
      </c>
      <c r="D150" s="10"/>
      <c r="E150" s="10"/>
      <c r="F150" s="10"/>
      <c r="G150" s="10"/>
      <c r="H150" s="10"/>
      <c r="I150" s="46">
        <v>8088.2518499999996</v>
      </c>
    </row>
    <row r="151" spans="1:9" x14ac:dyDescent="0.25">
      <c r="A151" s="4"/>
      <c r="B151" s="4"/>
      <c r="C151" s="10"/>
      <c r="D151" s="10"/>
      <c r="E151" s="10"/>
      <c r="F151" s="10"/>
      <c r="G151" s="10"/>
      <c r="H151" s="10" t="s">
        <v>205</v>
      </c>
      <c r="I151" s="11">
        <v>8088</v>
      </c>
    </row>
    <row r="152" spans="1:9" x14ac:dyDescent="0.25">
      <c r="A152" s="4"/>
      <c r="B152" s="4"/>
      <c r="C152" s="10"/>
      <c r="D152" s="10"/>
      <c r="E152" s="10"/>
      <c r="F152" s="10"/>
      <c r="G152" s="10"/>
      <c r="H152" s="10"/>
      <c r="I152" s="46"/>
    </row>
    <row r="153" spans="1:9" ht="158.94999999999999" customHeight="1" x14ac:dyDescent="0.25">
      <c r="A153" s="4">
        <v>88</v>
      </c>
      <c r="B153" s="4"/>
      <c r="C153" s="139" t="s">
        <v>304</v>
      </c>
      <c r="D153" s="140"/>
      <c r="E153" s="140"/>
      <c r="F153" s="140"/>
      <c r="G153" s="140"/>
      <c r="H153" s="140"/>
      <c r="I153" s="141"/>
    </row>
    <row r="154" spans="1:9" ht="28.55" x14ac:dyDescent="0.25">
      <c r="A154" s="4"/>
      <c r="B154" s="4"/>
      <c r="C154" s="27" t="s">
        <v>303</v>
      </c>
      <c r="D154" s="10">
        <v>1</v>
      </c>
      <c r="E154" s="10" t="s">
        <v>154</v>
      </c>
      <c r="F154" s="10">
        <v>6407</v>
      </c>
      <c r="G154" s="10">
        <v>1</v>
      </c>
      <c r="H154" s="10" t="s">
        <v>154</v>
      </c>
      <c r="I154" s="46">
        <v>6407</v>
      </c>
    </row>
    <row r="155" spans="1:9" ht="28.55" x14ac:dyDescent="0.25">
      <c r="A155" s="4"/>
      <c r="B155" s="4"/>
      <c r="C155" s="27" t="s">
        <v>216</v>
      </c>
      <c r="D155" s="10">
        <v>0.13614999999999999</v>
      </c>
      <c r="E155" s="10"/>
      <c r="F155" s="10">
        <v>6407</v>
      </c>
      <c r="G155" s="10"/>
      <c r="H155" s="10"/>
      <c r="I155" s="46">
        <v>872.31304999999998</v>
      </c>
    </row>
    <row r="156" spans="1:9" x14ac:dyDescent="0.25">
      <c r="A156" s="4"/>
      <c r="B156" s="4"/>
      <c r="C156" s="27" t="s">
        <v>217</v>
      </c>
      <c r="D156" s="10"/>
      <c r="E156" s="10"/>
      <c r="F156" s="10"/>
      <c r="G156" s="10"/>
      <c r="H156" s="10"/>
      <c r="I156" s="46">
        <v>7279.3130499999997</v>
      </c>
    </row>
    <row r="157" spans="1:9" x14ac:dyDescent="0.25">
      <c r="A157" s="4"/>
      <c r="B157" s="4"/>
      <c r="C157" s="10"/>
      <c r="D157" s="10"/>
      <c r="E157" s="10"/>
      <c r="F157" s="10"/>
      <c r="G157" s="10"/>
      <c r="H157" s="10" t="s">
        <v>205</v>
      </c>
      <c r="I157" s="11">
        <v>7279</v>
      </c>
    </row>
    <row r="158" spans="1:9" x14ac:dyDescent="0.25">
      <c r="A158" s="4"/>
      <c r="B158" s="4"/>
      <c r="C158" s="10"/>
      <c r="D158" s="10"/>
      <c r="E158" s="10"/>
      <c r="F158" s="10"/>
      <c r="G158" s="10"/>
      <c r="H158" s="10"/>
      <c r="I158" s="46"/>
    </row>
    <row r="159" spans="1:9" ht="187.5" customHeight="1" x14ac:dyDescent="0.25">
      <c r="A159" s="4">
        <v>35</v>
      </c>
      <c r="B159" s="4"/>
      <c r="C159" s="139" t="s">
        <v>333</v>
      </c>
      <c r="D159" s="140"/>
      <c r="E159" s="140"/>
      <c r="F159" s="140"/>
      <c r="G159" s="140"/>
      <c r="H159" s="140"/>
      <c r="I159" s="141"/>
    </row>
    <row r="160" spans="1:9" x14ac:dyDescent="0.25">
      <c r="A160" s="4"/>
      <c r="B160" s="4"/>
      <c r="C160" s="27" t="s">
        <v>306</v>
      </c>
      <c r="D160" s="10"/>
      <c r="E160" s="10"/>
      <c r="F160" s="10"/>
      <c r="G160" s="10"/>
      <c r="H160" s="10"/>
      <c r="I160" s="46"/>
    </row>
    <row r="161" spans="1:9" x14ac:dyDescent="0.25">
      <c r="A161" s="4"/>
      <c r="B161" s="4"/>
      <c r="C161" s="27" t="s">
        <v>307</v>
      </c>
      <c r="D161" s="10"/>
      <c r="E161" s="10"/>
      <c r="F161" s="10"/>
      <c r="G161" s="10"/>
      <c r="H161" s="10"/>
      <c r="I161" s="46"/>
    </row>
    <row r="162" spans="1:9" x14ac:dyDescent="0.25">
      <c r="A162" s="4"/>
      <c r="B162" s="4"/>
      <c r="C162" s="27" t="s">
        <v>308</v>
      </c>
      <c r="D162" s="10"/>
      <c r="E162" s="10"/>
      <c r="F162" s="10"/>
      <c r="G162" s="10"/>
      <c r="H162" s="10"/>
      <c r="I162" s="46"/>
    </row>
    <row r="163" spans="1:9" ht="42.8" x14ac:dyDescent="0.25">
      <c r="A163" s="4"/>
      <c r="B163" s="4"/>
      <c r="C163" s="27" t="s">
        <v>309</v>
      </c>
      <c r="D163" s="4">
        <v>10.5</v>
      </c>
      <c r="E163" s="4" t="s">
        <v>222</v>
      </c>
      <c r="F163" s="4">
        <v>578</v>
      </c>
      <c r="G163" s="4">
        <v>1</v>
      </c>
      <c r="H163" s="4" t="s">
        <v>154</v>
      </c>
      <c r="I163" s="46">
        <v>6069</v>
      </c>
    </row>
    <row r="164" spans="1:9" ht="42.8" x14ac:dyDescent="0.25">
      <c r="A164" s="4"/>
      <c r="B164" s="4"/>
      <c r="C164" s="27" t="s">
        <v>310</v>
      </c>
      <c r="D164" s="4">
        <v>21.6</v>
      </c>
      <c r="E164" s="4" t="s">
        <v>240</v>
      </c>
      <c r="F164" s="4">
        <v>5000</v>
      </c>
      <c r="G164" s="4">
        <v>1000</v>
      </c>
      <c r="H164" s="4" t="s">
        <v>240</v>
      </c>
      <c r="I164" s="46">
        <v>108</v>
      </c>
    </row>
    <row r="165" spans="1:9" x14ac:dyDescent="0.25">
      <c r="A165" s="4"/>
      <c r="B165" s="4"/>
      <c r="C165" s="27" t="s">
        <v>311</v>
      </c>
      <c r="D165" s="4">
        <v>33</v>
      </c>
      <c r="E165" s="4" t="s">
        <v>240</v>
      </c>
      <c r="F165" s="4">
        <v>5000</v>
      </c>
      <c r="G165" s="4">
        <v>1000</v>
      </c>
      <c r="H165" s="4" t="s">
        <v>240</v>
      </c>
      <c r="I165" s="46">
        <v>165</v>
      </c>
    </row>
    <row r="166" spans="1:9" x14ac:dyDescent="0.25">
      <c r="A166" s="4"/>
      <c r="B166" s="4"/>
      <c r="C166" s="27" t="s">
        <v>312</v>
      </c>
      <c r="D166" s="4">
        <v>6</v>
      </c>
      <c r="E166" s="4" t="s">
        <v>240</v>
      </c>
      <c r="F166" s="4">
        <v>36</v>
      </c>
      <c r="G166" s="4">
        <v>1</v>
      </c>
      <c r="H166" s="4" t="s">
        <v>313</v>
      </c>
      <c r="I166" s="46">
        <v>216</v>
      </c>
    </row>
    <row r="167" spans="1:9" x14ac:dyDescent="0.25">
      <c r="A167" s="4"/>
      <c r="B167" s="4"/>
      <c r="C167" s="27" t="s">
        <v>314</v>
      </c>
      <c r="D167" s="4">
        <v>0.12</v>
      </c>
      <c r="E167" s="4" t="s">
        <v>201</v>
      </c>
      <c r="F167" s="4">
        <v>2531.1999999999998</v>
      </c>
      <c r="G167" s="4">
        <v>1</v>
      </c>
      <c r="H167" s="4" t="s">
        <v>201</v>
      </c>
      <c r="I167" s="46">
        <v>303.74399999999997</v>
      </c>
    </row>
    <row r="168" spans="1:9" x14ac:dyDescent="0.25">
      <c r="A168" s="4"/>
      <c r="B168" s="4"/>
      <c r="C168" s="27" t="s">
        <v>315</v>
      </c>
      <c r="D168" s="4"/>
      <c r="E168" s="4"/>
      <c r="F168" s="4"/>
      <c r="G168" s="4"/>
      <c r="H168" s="4"/>
      <c r="I168" s="46"/>
    </row>
    <row r="169" spans="1:9" x14ac:dyDescent="0.25">
      <c r="A169" s="4"/>
      <c r="B169" s="4"/>
      <c r="C169" s="27" t="s">
        <v>316</v>
      </c>
      <c r="D169" s="4">
        <v>0.96</v>
      </c>
      <c r="E169" s="4" t="s">
        <v>155</v>
      </c>
      <c r="F169" s="4">
        <v>610</v>
      </c>
      <c r="G169" s="4">
        <v>1</v>
      </c>
      <c r="H169" s="4" t="s">
        <v>209</v>
      </c>
      <c r="I169" s="46">
        <v>585.6</v>
      </c>
    </row>
    <row r="170" spans="1:9" x14ac:dyDescent="0.25">
      <c r="A170" s="4"/>
      <c r="B170" s="4"/>
      <c r="C170" s="27" t="s">
        <v>317</v>
      </c>
      <c r="D170" s="4">
        <v>2.2400000000000002</v>
      </c>
      <c r="E170" s="4" t="s">
        <v>155</v>
      </c>
      <c r="F170" s="4">
        <v>580</v>
      </c>
      <c r="G170" s="4">
        <v>1</v>
      </c>
      <c r="H170" s="4" t="s">
        <v>209</v>
      </c>
      <c r="I170" s="46">
        <v>1299.2</v>
      </c>
    </row>
    <row r="171" spans="1:9" x14ac:dyDescent="0.25">
      <c r="A171" s="4"/>
      <c r="B171" s="4"/>
      <c r="C171" s="27" t="s">
        <v>318</v>
      </c>
      <c r="D171" s="4">
        <v>3.3</v>
      </c>
      <c r="E171" s="4" t="s">
        <v>155</v>
      </c>
      <c r="F171" s="4">
        <v>545</v>
      </c>
      <c r="G171" s="4">
        <v>1</v>
      </c>
      <c r="H171" s="4" t="s">
        <v>209</v>
      </c>
      <c r="I171" s="46">
        <v>1798.5</v>
      </c>
    </row>
    <row r="172" spans="1:9" x14ac:dyDescent="0.25">
      <c r="A172" s="4"/>
      <c r="B172" s="4"/>
      <c r="C172" s="27" t="s">
        <v>255</v>
      </c>
      <c r="D172" s="4">
        <v>0.4</v>
      </c>
      <c r="E172" s="4"/>
      <c r="F172" s="4">
        <v>3683.3</v>
      </c>
      <c r="G172" s="4"/>
      <c r="H172" s="4"/>
      <c r="I172" s="46">
        <v>1473.3200000000002</v>
      </c>
    </row>
    <row r="173" spans="1:9" x14ac:dyDescent="0.25">
      <c r="A173" s="4"/>
      <c r="B173" s="4"/>
      <c r="C173" s="27" t="s">
        <v>319</v>
      </c>
      <c r="D173" s="4">
        <v>0.01</v>
      </c>
      <c r="E173" s="4"/>
      <c r="F173" s="4">
        <v>12018.364</v>
      </c>
      <c r="G173" s="4"/>
      <c r="H173" s="4"/>
      <c r="I173" s="46">
        <v>120.18364</v>
      </c>
    </row>
    <row r="174" spans="1:9" x14ac:dyDescent="0.25">
      <c r="A174" s="4"/>
      <c r="B174" s="4"/>
      <c r="C174" s="27" t="s">
        <v>320</v>
      </c>
      <c r="D174" s="4"/>
      <c r="E174" s="4"/>
      <c r="F174" s="4"/>
      <c r="G174" s="4"/>
      <c r="H174" s="4"/>
      <c r="I174" s="46">
        <v>12138.547639999999</v>
      </c>
    </row>
    <row r="175" spans="1:9" x14ac:dyDescent="0.25">
      <c r="A175" s="4"/>
      <c r="B175" s="4"/>
      <c r="C175" s="27"/>
      <c r="D175" s="4"/>
      <c r="E175" s="4"/>
      <c r="F175" s="4"/>
      <c r="G175" s="4"/>
      <c r="H175" s="4"/>
      <c r="I175" s="46"/>
    </row>
    <row r="176" spans="1:9" x14ac:dyDescent="0.25">
      <c r="A176" s="4"/>
      <c r="B176" s="4"/>
      <c r="C176" s="27" t="s">
        <v>321</v>
      </c>
      <c r="D176" s="43" t="s">
        <v>322</v>
      </c>
      <c r="E176" s="43" t="s">
        <v>323</v>
      </c>
      <c r="F176" s="43" t="s">
        <v>324</v>
      </c>
      <c r="G176" s="43" t="s">
        <v>325</v>
      </c>
      <c r="H176" s="43" t="s">
        <v>326</v>
      </c>
      <c r="I176" s="11" t="s">
        <v>327</v>
      </c>
    </row>
    <row r="177" spans="1:9" x14ac:dyDescent="0.25">
      <c r="A177" s="4"/>
      <c r="B177" s="4"/>
      <c r="C177" s="27" t="s">
        <v>328</v>
      </c>
      <c r="D177" s="4">
        <v>12138.547639999999</v>
      </c>
      <c r="E177" s="4">
        <v>12138.547639999999</v>
      </c>
      <c r="F177" s="4">
        <v>12138.547639999999</v>
      </c>
      <c r="G177" s="4">
        <v>12138.547639999999</v>
      </c>
      <c r="H177" s="4">
        <v>12138.547639999999</v>
      </c>
      <c r="I177" s="46">
        <v>12138.547639999999</v>
      </c>
    </row>
    <row r="178" spans="1:9" ht="28.55" x14ac:dyDescent="0.25">
      <c r="A178" s="4"/>
      <c r="B178" s="4"/>
      <c r="C178" s="27" t="s">
        <v>329</v>
      </c>
      <c r="D178" s="4">
        <v>0</v>
      </c>
      <c r="E178" s="4">
        <v>368.33</v>
      </c>
      <c r="F178" s="4">
        <v>736.66</v>
      </c>
      <c r="G178" s="4">
        <v>1104.99</v>
      </c>
      <c r="H178" s="4">
        <v>1473.32</v>
      </c>
      <c r="I178" s="46">
        <v>1841.65</v>
      </c>
    </row>
    <row r="179" spans="1:9" x14ac:dyDescent="0.25">
      <c r="A179" s="4"/>
      <c r="B179" s="4"/>
      <c r="C179" s="27" t="s">
        <v>330</v>
      </c>
      <c r="D179" s="4">
        <v>0</v>
      </c>
      <c r="E179" s="4">
        <v>147.33199999999999</v>
      </c>
      <c r="F179" s="4">
        <v>294.66399999999999</v>
      </c>
      <c r="G179" s="4">
        <v>441.99600000000004</v>
      </c>
      <c r="H179" s="4">
        <v>589.32799999999997</v>
      </c>
      <c r="I179" s="46">
        <v>736.66000000000008</v>
      </c>
    </row>
    <row r="180" spans="1:9" x14ac:dyDescent="0.25">
      <c r="A180" s="4"/>
      <c r="B180" s="4"/>
      <c r="C180" s="27"/>
      <c r="D180" s="4">
        <v>12138.547639999999</v>
      </c>
      <c r="E180" s="4">
        <v>12654.209639999999</v>
      </c>
      <c r="F180" s="4">
        <v>13169.871639999999</v>
      </c>
      <c r="G180" s="4">
        <v>13685.533639999998</v>
      </c>
      <c r="H180" s="4">
        <v>14201.195639999998</v>
      </c>
      <c r="I180" s="46">
        <v>14716.857639999998</v>
      </c>
    </row>
    <row r="181" spans="1:9" ht="28.55" x14ac:dyDescent="0.25">
      <c r="A181" s="4"/>
      <c r="B181" s="4"/>
      <c r="C181" s="27" t="s">
        <v>216</v>
      </c>
      <c r="D181" s="4">
        <v>1652.66</v>
      </c>
      <c r="E181" s="4">
        <v>1722.87</v>
      </c>
      <c r="F181" s="4">
        <v>1793.08</v>
      </c>
      <c r="G181" s="4">
        <v>1863.29</v>
      </c>
      <c r="H181" s="4">
        <v>1933.49</v>
      </c>
      <c r="I181" s="46">
        <v>2003.7</v>
      </c>
    </row>
    <row r="182" spans="1:9" x14ac:dyDescent="0.25">
      <c r="A182" s="4"/>
      <c r="B182" s="4"/>
      <c r="C182" s="10" t="s">
        <v>331</v>
      </c>
      <c r="D182" s="4">
        <v>13791.207639999999</v>
      </c>
      <c r="E182" s="4">
        <v>14377.07964</v>
      </c>
      <c r="F182" s="4">
        <v>14962.951639999999</v>
      </c>
      <c r="G182" s="4">
        <v>15548.823639999999</v>
      </c>
      <c r="H182" s="4">
        <v>16134.685639999998</v>
      </c>
      <c r="I182" s="46">
        <v>16720.557639999999</v>
      </c>
    </row>
    <row r="183" spans="1:9" x14ac:dyDescent="0.25">
      <c r="A183" s="4"/>
      <c r="B183" s="4"/>
      <c r="C183" s="10" t="s">
        <v>332</v>
      </c>
      <c r="D183" s="4">
        <v>1379.1207639999998</v>
      </c>
      <c r="E183" s="4">
        <v>1437.7079639999999</v>
      </c>
      <c r="F183" s="4">
        <v>1496.2951639999999</v>
      </c>
      <c r="G183" s="4">
        <v>1554.8823639999998</v>
      </c>
      <c r="H183" s="4">
        <v>1613.4685639999998</v>
      </c>
      <c r="I183" s="46">
        <v>1672.055764</v>
      </c>
    </row>
    <row r="184" spans="1:9" x14ac:dyDescent="0.25">
      <c r="A184" s="4"/>
      <c r="B184" s="4"/>
      <c r="C184" s="10" t="s">
        <v>298</v>
      </c>
      <c r="D184" s="4">
        <v>1379</v>
      </c>
      <c r="E184" s="4">
        <v>1438</v>
      </c>
      <c r="F184" s="4">
        <v>1496</v>
      </c>
      <c r="G184" s="4">
        <v>1555</v>
      </c>
      <c r="H184" s="4">
        <v>1613</v>
      </c>
      <c r="I184" s="11">
        <v>1672</v>
      </c>
    </row>
    <row r="185" spans="1:9" x14ac:dyDescent="0.25">
      <c r="A185" s="4"/>
      <c r="B185" s="4"/>
      <c r="C185" s="10"/>
      <c r="D185" s="10"/>
      <c r="E185" s="10"/>
      <c r="F185" s="10"/>
      <c r="G185" s="10"/>
      <c r="H185" s="10"/>
      <c r="I185" s="46"/>
    </row>
    <row r="186" spans="1:9" ht="126.35" customHeight="1" x14ac:dyDescent="0.25">
      <c r="A186" s="4">
        <v>45</v>
      </c>
      <c r="B186" s="4"/>
      <c r="C186" s="139" t="s">
        <v>344</v>
      </c>
      <c r="D186" s="140"/>
      <c r="E186" s="140"/>
      <c r="F186" s="140"/>
      <c r="G186" s="140"/>
      <c r="H186" s="140"/>
      <c r="I186" s="141"/>
    </row>
    <row r="187" spans="1:9" x14ac:dyDescent="0.25">
      <c r="A187" s="4"/>
      <c r="B187" s="4"/>
      <c r="C187" s="27" t="s">
        <v>334</v>
      </c>
      <c r="D187" s="10"/>
      <c r="E187" s="10"/>
      <c r="F187" s="10"/>
      <c r="G187" s="10"/>
      <c r="H187" s="10"/>
      <c r="I187" s="46"/>
    </row>
    <row r="188" spans="1:9" x14ac:dyDescent="0.25">
      <c r="A188" s="4"/>
      <c r="B188" s="4"/>
      <c r="C188" s="27" t="s">
        <v>335</v>
      </c>
      <c r="D188" s="10"/>
      <c r="E188" s="10"/>
      <c r="F188" s="10"/>
      <c r="G188" s="10"/>
      <c r="H188" s="10"/>
      <c r="I188" s="46"/>
    </row>
    <row r="189" spans="1:9" ht="28.55" x14ac:dyDescent="0.25">
      <c r="A189" s="4"/>
      <c r="B189" s="4"/>
      <c r="C189" s="27" t="s">
        <v>336</v>
      </c>
      <c r="D189" s="4">
        <v>10.5</v>
      </c>
      <c r="E189" s="4" t="s">
        <v>222</v>
      </c>
      <c r="F189" s="4">
        <v>443</v>
      </c>
      <c r="G189" s="4">
        <v>1</v>
      </c>
      <c r="H189" s="4" t="s">
        <v>222</v>
      </c>
      <c r="I189" s="64">
        <v>4651.5</v>
      </c>
    </row>
    <row r="190" spans="1:9" x14ac:dyDescent="0.25">
      <c r="A190" s="4"/>
      <c r="B190" s="4"/>
      <c r="C190" s="27" t="s">
        <v>337</v>
      </c>
      <c r="D190" s="4">
        <v>0.12</v>
      </c>
      <c r="E190" s="4" t="s">
        <v>227</v>
      </c>
      <c r="F190" s="4">
        <v>2531.1999999999998</v>
      </c>
      <c r="G190" s="4">
        <v>1</v>
      </c>
      <c r="H190" s="4" t="s">
        <v>227</v>
      </c>
      <c r="I190" s="64">
        <v>303.74399999999997</v>
      </c>
    </row>
    <row r="191" spans="1:9" ht="28.55" x14ac:dyDescent="0.25">
      <c r="A191" s="4"/>
      <c r="B191" s="4"/>
      <c r="C191" s="27" t="s">
        <v>338</v>
      </c>
      <c r="D191" s="4">
        <v>34.56</v>
      </c>
      <c r="E191" s="4" t="s">
        <v>240</v>
      </c>
      <c r="F191" s="4">
        <v>5000</v>
      </c>
      <c r="G191" s="4">
        <v>1000</v>
      </c>
      <c r="H191" s="4" t="s">
        <v>240</v>
      </c>
      <c r="I191" s="64">
        <v>172.8</v>
      </c>
    </row>
    <row r="192" spans="1:9" x14ac:dyDescent="0.25">
      <c r="A192" s="4"/>
      <c r="B192" s="4"/>
      <c r="C192" s="27" t="s">
        <v>311</v>
      </c>
      <c r="D192" s="4">
        <v>33</v>
      </c>
      <c r="E192" s="4" t="s">
        <v>240</v>
      </c>
      <c r="F192" s="4">
        <v>5000</v>
      </c>
      <c r="G192" s="4">
        <v>1000</v>
      </c>
      <c r="H192" s="4" t="s">
        <v>240</v>
      </c>
      <c r="I192" s="64">
        <v>165</v>
      </c>
    </row>
    <row r="193" spans="1:9" ht="28.55" x14ac:dyDescent="0.25">
      <c r="A193" s="4"/>
      <c r="B193" s="4"/>
      <c r="C193" s="27" t="s">
        <v>339</v>
      </c>
      <c r="D193" s="4">
        <v>2</v>
      </c>
      <c r="E193" s="4" t="s">
        <v>240</v>
      </c>
      <c r="F193" s="4">
        <v>36</v>
      </c>
      <c r="G193" s="4">
        <v>1</v>
      </c>
      <c r="H193" s="4" t="s">
        <v>313</v>
      </c>
      <c r="I193" s="64">
        <v>72</v>
      </c>
    </row>
    <row r="194" spans="1:9" x14ac:dyDescent="0.25">
      <c r="A194" s="4"/>
      <c r="B194" s="4"/>
      <c r="C194" s="27" t="s">
        <v>340</v>
      </c>
      <c r="D194" s="4"/>
      <c r="E194" s="4"/>
      <c r="F194" s="4"/>
      <c r="G194" s="4"/>
      <c r="H194" s="4"/>
      <c r="I194" s="64"/>
    </row>
    <row r="195" spans="1:9" x14ac:dyDescent="0.25">
      <c r="A195" s="4"/>
      <c r="B195" s="4"/>
      <c r="C195" s="27" t="s">
        <v>316</v>
      </c>
      <c r="D195" s="4">
        <v>0.96</v>
      </c>
      <c r="E195" s="4" t="s">
        <v>211</v>
      </c>
      <c r="F195" s="4">
        <v>610</v>
      </c>
      <c r="G195" s="4">
        <v>1</v>
      </c>
      <c r="H195" s="4" t="s">
        <v>209</v>
      </c>
      <c r="I195" s="64">
        <v>585.6</v>
      </c>
    </row>
    <row r="196" spans="1:9" x14ac:dyDescent="0.25">
      <c r="A196" s="4"/>
      <c r="B196" s="4"/>
      <c r="C196" s="27" t="s">
        <v>317</v>
      </c>
      <c r="D196" s="4">
        <v>2.2400000000000002</v>
      </c>
      <c r="E196" s="4" t="s">
        <v>211</v>
      </c>
      <c r="F196" s="4">
        <v>580</v>
      </c>
      <c r="G196" s="4">
        <v>1</v>
      </c>
      <c r="H196" s="4" t="s">
        <v>209</v>
      </c>
      <c r="I196" s="64">
        <v>1299.2</v>
      </c>
    </row>
    <row r="197" spans="1:9" x14ac:dyDescent="0.25">
      <c r="A197" s="4"/>
      <c r="B197" s="4"/>
      <c r="C197" s="27" t="s">
        <v>341</v>
      </c>
      <c r="D197" s="4">
        <v>3.3</v>
      </c>
      <c r="E197" s="4" t="s">
        <v>211</v>
      </c>
      <c r="F197" s="4">
        <v>545</v>
      </c>
      <c r="G197" s="4">
        <v>1</v>
      </c>
      <c r="H197" s="4" t="s">
        <v>209</v>
      </c>
      <c r="I197" s="64">
        <v>1798.5</v>
      </c>
    </row>
    <row r="198" spans="1:9" x14ac:dyDescent="0.25">
      <c r="A198" s="4"/>
      <c r="B198" s="4"/>
      <c r="C198" s="27" t="s">
        <v>255</v>
      </c>
      <c r="D198" s="4">
        <v>0.4</v>
      </c>
      <c r="E198" s="4"/>
      <c r="F198" s="4">
        <v>3683.3</v>
      </c>
      <c r="G198" s="4"/>
      <c r="H198" s="4"/>
      <c r="I198" s="64">
        <v>1473.3200000000002</v>
      </c>
    </row>
    <row r="199" spans="1:9" x14ac:dyDescent="0.25">
      <c r="A199" s="4"/>
      <c r="B199" s="4"/>
      <c r="C199" s="27" t="s">
        <v>319</v>
      </c>
      <c r="D199" s="4">
        <v>0.01</v>
      </c>
      <c r="E199" s="4"/>
      <c r="F199" s="4">
        <v>10521.664000000001</v>
      </c>
      <c r="G199" s="4"/>
      <c r="H199" s="4"/>
      <c r="I199" s="64">
        <v>105.21664000000001</v>
      </c>
    </row>
    <row r="200" spans="1:9" x14ac:dyDescent="0.25">
      <c r="A200" s="4"/>
      <c r="B200" s="4"/>
      <c r="C200" s="27" t="s">
        <v>342</v>
      </c>
      <c r="D200" s="4"/>
      <c r="E200" s="4"/>
      <c r="F200" s="4"/>
      <c r="G200" s="4"/>
      <c r="H200" s="4"/>
      <c r="I200" s="64">
        <v>10626.880640000001</v>
      </c>
    </row>
    <row r="201" spans="1:9" x14ac:dyDescent="0.25">
      <c r="A201" s="4"/>
      <c r="B201" s="4"/>
      <c r="C201" s="27"/>
      <c r="D201" s="4"/>
      <c r="E201" s="4"/>
      <c r="F201" s="4"/>
      <c r="G201" s="4"/>
      <c r="H201" s="4"/>
      <c r="I201" s="64"/>
    </row>
    <row r="202" spans="1:9" x14ac:dyDescent="0.25">
      <c r="A202" s="4"/>
      <c r="B202" s="4"/>
      <c r="C202" s="27" t="s">
        <v>321</v>
      </c>
      <c r="D202" s="43" t="s">
        <v>322</v>
      </c>
      <c r="E202" s="43" t="s">
        <v>323</v>
      </c>
      <c r="F202" s="43" t="s">
        <v>324</v>
      </c>
      <c r="G202" s="43" t="s">
        <v>325</v>
      </c>
      <c r="H202" s="43" t="s">
        <v>326</v>
      </c>
      <c r="I202" s="65" t="s">
        <v>327</v>
      </c>
    </row>
    <row r="203" spans="1:9" x14ac:dyDescent="0.25">
      <c r="A203" s="4"/>
      <c r="B203" s="4"/>
      <c r="C203" s="27" t="s">
        <v>328</v>
      </c>
      <c r="D203" s="4">
        <v>10626.880640000001</v>
      </c>
      <c r="E203" s="4">
        <v>10626.880640000001</v>
      </c>
      <c r="F203" s="4">
        <v>10626.880640000001</v>
      </c>
      <c r="G203" s="4">
        <v>10626.880640000001</v>
      </c>
      <c r="H203" s="4">
        <v>10626.880640000001</v>
      </c>
      <c r="I203" s="64">
        <v>10626.880640000001</v>
      </c>
    </row>
    <row r="204" spans="1:9" ht="28.55" x14ac:dyDescent="0.25">
      <c r="A204" s="4"/>
      <c r="B204" s="4"/>
      <c r="C204" s="27" t="s">
        <v>329</v>
      </c>
      <c r="D204" s="4">
        <v>0</v>
      </c>
      <c r="E204" s="4">
        <v>368.33</v>
      </c>
      <c r="F204" s="4">
        <v>736.66</v>
      </c>
      <c r="G204" s="4">
        <v>1104.99</v>
      </c>
      <c r="H204" s="4">
        <v>1473.32</v>
      </c>
      <c r="I204" s="64">
        <v>1841.65</v>
      </c>
    </row>
    <row r="205" spans="1:9" x14ac:dyDescent="0.25">
      <c r="A205" s="4"/>
      <c r="B205" s="4"/>
      <c r="C205" s="27" t="s">
        <v>255</v>
      </c>
      <c r="D205" s="4">
        <v>0</v>
      </c>
      <c r="E205" s="4">
        <v>147.33199999999999</v>
      </c>
      <c r="F205" s="4">
        <v>294.66399999999999</v>
      </c>
      <c r="G205" s="4">
        <v>441.99600000000004</v>
      </c>
      <c r="H205" s="4">
        <v>589.32799999999997</v>
      </c>
      <c r="I205" s="64">
        <v>736.66000000000008</v>
      </c>
    </row>
    <row r="206" spans="1:9" x14ac:dyDescent="0.25">
      <c r="A206" s="4"/>
      <c r="B206" s="4"/>
      <c r="C206" s="27"/>
      <c r="D206" s="4">
        <v>10626.880640000001</v>
      </c>
      <c r="E206" s="4">
        <v>11142.542640000001</v>
      </c>
      <c r="F206" s="4">
        <v>11658.204640000002</v>
      </c>
      <c r="G206" s="4">
        <v>12173.86664</v>
      </c>
      <c r="H206" s="4">
        <v>12689.52864</v>
      </c>
      <c r="I206" s="64">
        <v>13205.190640000001</v>
      </c>
    </row>
    <row r="207" spans="1:9" ht="28.55" x14ac:dyDescent="0.25">
      <c r="A207" s="4"/>
      <c r="B207" s="4"/>
      <c r="C207" s="27" t="s">
        <v>216</v>
      </c>
      <c r="D207" s="4">
        <v>1446.85</v>
      </c>
      <c r="E207" s="4">
        <v>1517.06</v>
      </c>
      <c r="F207" s="4">
        <v>1587.26</v>
      </c>
      <c r="G207" s="4">
        <v>1657.47</v>
      </c>
      <c r="H207" s="4">
        <v>1727.68</v>
      </c>
      <c r="I207" s="64">
        <v>1797.89</v>
      </c>
    </row>
    <row r="208" spans="1:9" x14ac:dyDescent="0.25">
      <c r="A208" s="4"/>
      <c r="B208" s="4"/>
      <c r="C208" s="27" t="s">
        <v>331</v>
      </c>
      <c r="D208" s="4">
        <v>12073.730640000002</v>
      </c>
      <c r="E208" s="4">
        <v>12659.602640000001</v>
      </c>
      <c r="F208" s="4">
        <v>13245.464640000002</v>
      </c>
      <c r="G208" s="4">
        <v>13831.33664</v>
      </c>
      <c r="H208" s="4">
        <v>14417.208640000001</v>
      </c>
      <c r="I208" s="64">
        <v>15003.08064</v>
      </c>
    </row>
    <row r="209" spans="1:9" x14ac:dyDescent="0.25">
      <c r="A209" s="4"/>
      <c r="B209" s="4"/>
      <c r="C209" s="27" t="s">
        <v>343</v>
      </c>
      <c r="D209" s="4">
        <v>120.73730640000002</v>
      </c>
      <c r="E209" s="4">
        <v>126.59602640000001</v>
      </c>
      <c r="F209" s="4">
        <v>132.45464640000003</v>
      </c>
      <c r="G209" s="4">
        <v>138.31336640000001</v>
      </c>
      <c r="H209" s="4">
        <v>144.17208640000001</v>
      </c>
      <c r="I209" s="64">
        <v>150.03080640000002</v>
      </c>
    </row>
    <row r="210" spans="1:9" x14ac:dyDescent="0.25">
      <c r="A210" s="4"/>
      <c r="B210" s="4"/>
      <c r="C210" s="27" t="s">
        <v>298</v>
      </c>
      <c r="D210" s="4">
        <v>121</v>
      </c>
      <c r="E210" s="4">
        <v>127</v>
      </c>
      <c r="F210" s="4">
        <v>132</v>
      </c>
      <c r="G210" s="4">
        <v>138</v>
      </c>
      <c r="H210" s="4">
        <v>144</v>
      </c>
      <c r="I210" s="65">
        <v>150</v>
      </c>
    </row>
    <row r="211" spans="1:9" x14ac:dyDescent="0.25">
      <c r="A211" s="4"/>
      <c r="B211" s="4"/>
      <c r="C211" s="10"/>
      <c r="D211" s="10"/>
      <c r="E211" s="10"/>
      <c r="F211" s="10"/>
      <c r="G211" s="10"/>
      <c r="H211" s="10"/>
      <c r="I211" s="46"/>
    </row>
    <row r="212" spans="1:9" ht="142.65" customHeight="1" x14ac:dyDescent="0.25">
      <c r="A212" s="4">
        <v>44</v>
      </c>
      <c r="B212" s="4"/>
      <c r="C212" s="139" t="s">
        <v>513</v>
      </c>
      <c r="D212" s="140"/>
      <c r="E212" s="140"/>
      <c r="F212" s="140"/>
      <c r="G212" s="140"/>
      <c r="H212" s="140"/>
      <c r="I212" s="141"/>
    </row>
    <row r="213" spans="1:9" x14ac:dyDescent="0.25">
      <c r="A213" s="4"/>
      <c r="B213" s="4"/>
      <c r="C213" s="10" t="s">
        <v>511</v>
      </c>
      <c r="D213" s="10"/>
      <c r="E213" s="10"/>
      <c r="F213" s="10"/>
      <c r="G213" s="10"/>
      <c r="H213" s="10"/>
      <c r="I213" s="46"/>
    </row>
    <row r="214" spans="1:9" x14ac:dyDescent="0.25">
      <c r="A214" s="4"/>
      <c r="B214" s="4"/>
      <c r="C214" s="27" t="s">
        <v>335</v>
      </c>
      <c r="D214" s="10"/>
      <c r="E214" s="10"/>
      <c r="F214" s="10"/>
      <c r="G214" s="10"/>
      <c r="H214" s="10"/>
      <c r="I214" s="46"/>
    </row>
    <row r="215" spans="1:9" x14ac:dyDescent="0.25">
      <c r="A215" s="4"/>
      <c r="B215" s="4"/>
      <c r="C215" s="27" t="s">
        <v>444</v>
      </c>
      <c r="D215" s="4"/>
      <c r="E215" s="4"/>
      <c r="F215" s="4"/>
      <c r="G215" s="4"/>
      <c r="H215" s="4"/>
      <c r="I215" s="63"/>
    </row>
    <row r="216" spans="1:9" ht="42.8" x14ac:dyDescent="0.25">
      <c r="A216" s="4"/>
      <c r="B216" s="4"/>
      <c r="C216" s="27" t="s">
        <v>512</v>
      </c>
      <c r="D216" s="4">
        <v>10.5</v>
      </c>
      <c r="E216" s="4" t="s">
        <v>222</v>
      </c>
      <c r="F216" s="4">
        <v>750</v>
      </c>
      <c r="G216" s="4">
        <v>1</v>
      </c>
      <c r="H216" s="4" t="s">
        <v>222</v>
      </c>
      <c r="I216" s="63">
        <v>7875</v>
      </c>
    </row>
    <row r="217" spans="1:9" x14ac:dyDescent="0.25">
      <c r="A217" s="4"/>
      <c r="B217" s="4"/>
      <c r="C217" s="27" t="s">
        <v>337</v>
      </c>
      <c r="D217" s="4">
        <v>0.12</v>
      </c>
      <c r="E217" s="4" t="s">
        <v>227</v>
      </c>
      <c r="F217" s="4">
        <v>2531.1999999999998</v>
      </c>
      <c r="G217" s="4">
        <v>1</v>
      </c>
      <c r="H217" s="4" t="s">
        <v>227</v>
      </c>
      <c r="I217" s="63">
        <v>303.74399999999997</v>
      </c>
    </row>
    <row r="218" spans="1:9" ht="28.55" x14ac:dyDescent="0.25">
      <c r="A218" s="4"/>
      <c r="B218" s="4"/>
      <c r="C218" s="27" t="s">
        <v>338</v>
      </c>
      <c r="D218" s="4">
        <v>34.56</v>
      </c>
      <c r="E218" s="4" t="s">
        <v>240</v>
      </c>
      <c r="F218" s="4">
        <v>5000</v>
      </c>
      <c r="G218" s="4">
        <v>1000</v>
      </c>
      <c r="H218" s="4" t="s">
        <v>240</v>
      </c>
      <c r="I218" s="63">
        <v>172.8</v>
      </c>
    </row>
    <row r="219" spans="1:9" x14ac:dyDescent="0.25">
      <c r="A219" s="4"/>
      <c r="B219" s="4"/>
      <c r="C219" s="27" t="s">
        <v>311</v>
      </c>
      <c r="D219" s="4">
        <v>33</v>
      </c>
      <c r="E219" s="4" t="s">
        <v>240</v>
      </c>
      <c r="F219" s="4">
        <v>5000</v>
      </c>
      <c r="G219" s="4">
        <v>1000</v>
      </c>
      <c r="H219" s="4" t="s">
        <v>240</v>
      </c>
      <c r="I219" s="63">
        <v>165</v>
      </c>
    </row>
    <row r="220" spans="1:9" ht="28.55" x14ac:dyDescent="0.25">
      <c r="A220" s="4"/>
      <c r="B220" s="4"/>
      <c r="C220" s="27" t="s">
        <v>339</v>
      </c>
      <c r="D220" s="4">
        <v>6</v>
      </c>
      <c r="E220" s="4" t="s">
        <v>240</v>
      </c>
      <c r="F220" s="4">
        <v>36</v>
      </c>
      <c r="G220" s="4">
        <v>1</v>
      </c>
      <c r="H220" s="4" t="s">
        <v>313</v>
      </c>
      <c r="I220" s="63">
        <v>216</v>
      </c>
    </row>
    <row r="221" spans="1:9" x14ac:dyDescent="0.25">
      <c r="A221" s="4"/>
      <c r="B221" s="4"/>
      <c r="C221" s="27" t="s">
        <v>340</v>
      </c>
      <c r="D221" s="4"/>
      <c r="E221" s="4"/>
      <c r="F221" s="4"/>
      <c r="G221" s="4"/>
      <c r="H221" s="4"/>
      <c r="I221" s="63"/>
    </row>
    <row r="222" spans="1:9" x14ac:dyDescent="0.25">
      <c r="A222" s="4"/>
      <c r="B222" s="4"/>
      <c r="C222" s="27" t="s">
        <v>316</v>
      </c>
      <c r="D222" s="4">
        <v>0.77</v>
      </c>
      <c r="E222" s="4" t="s">
        <v>211</v>
      </c>
      <c r="F222" s="4">
        <v>610</v>
      </c>
      <c r="G222" s="4">
        <v>1</v>
      </c>
      <c r="H222" s="4" t="s">
        <v>209</v>
      </c>
      <c r="I222" s="63">
        <v>469.7</v>
      </c>
    </row>
    <row r="223" spans="1:9" x14ac:dyDescent="0.25">
      <c r="A223" s="4"/>
      <c r="B223" s="4"/>
      <c r="C223" s="27" t="s">
        <v>341</v>
      </c>
      <c r="D223" s="4">
        <v>0.8</v>
      </c>
      <c r="E223" s="4" t="s">
        <v>211</v>
      </c>
      <c r="F223" s="4">
        <v>545</v>
      </c>
      <c r="G223" s="4">
        <v>1</v>
      </c>
      <c r="H223" s="4" t="s">
        <v>209</v>
      </c>
      <c r="I223" s="63">
        <v>436</v>
      </c>
    </row>
    <row r="224" spans="1:9" x14ac:dyDescent="0.25">
      <c r="A224" s="4"/>
      <c r="B224" s="4"/>
      <c r="C224" s="27" t="s">
        <v>255</v>
      </c>
      <c r="D224" s="4">
        <v>0.4</v>
      </c>
      <c r="E224" s="4"/>
      <c r="F224" s="4">
        <v>905.7</v>
      </c>
      <c r="G224" s="4"/>
      <c r="H224" s="4"/>
      <c r="I224" s="63">
        <v>362.28000000000003</v>
      </c>
    </row>
    <row r="225" spans="1:9" x14ac:dyDescent="0.25">
      <c r="A225" s="4"/>
      <c r="B225" s="4"/>
      <c r="C225" s="27" t="s">
        <v>319</v>
      </c>
      <c r="D225" s="4">
        <v>0.01</v>
      </c>
      <c r="E225" s="4"/>
      <c r="F225" s="4">
        <v>10000.524000000001</v>
      </c>
      <c r="G225" s="4"/>
      <c r="H225" s="4"/>
      <c r="I225" s="63">
        <v>100.00524000000001</v>
      </c>
    </row>
    <row r="226" spans="1:9" x14ac:dyDescent="0.25">
      <c r="A226" s="4"/>
      <c r="B226" s="4"/>
      <c r="C226" s="27" t="s">
        <v>342</v>
      </c>
      <c r="D226" s="4"/>
      <c r="E226" s="4"/>
      <c r="F226" s="4"/>
      <c r="G226" s="4"/>
      <c r="H226" s="4"/>
      <c r="I226" s="63">
        <v>10100.529240000002</v>
      </c>
    </row>
    <row r="227" spans="1:9" x14ac:dyDescent="0.25">
      <c r="A227" s="4"/>
      <c r="B227" s="4"/>
      <c r="C227" s="27"/>
      <c r="D227" s="4"/>
      <c r="E227" s="4"/>
      <c r="F227" s="4"/>
      <c r="G227" s="4"/>
      <c r="H227" s="4"/>
      <c r="I227" s="63"/>
    </row>
    <row r="228" spans="1:9" x14ac:dyDescent="0.25">
      <c r="A228" s="4"/>
      <c r="B228" s="4"/>
      <c r="C228" s="27"/>
      <c r="D228" s="68"/>
      <c r="E228" s="68"/>
      <c r="F228" s="68"/>
      <c r="G228" s="68"/>
      <c r="H228" s="68"/>
      <c r="I228" s="17"/>
    </row>
    <row r="229" spans="1:9" x14ac:dyDescent="0.25">
      <c r="A229" s="4"/>
      <c r="B229" s="4"/>
      <c r="C229" s="27"/>
      <c r="D229" s="68"/>
      <c r="E229" s="68"/>
      <c r="F229" s="68"/>
      <c r="G229" s="68"/>
      <c r="H229" s="68"/>
      <c r="I229" s="17"/>
    </row>
    <row r="230" spans="1:9" x14ac:dyDescent="0.25">
      <c r="A230" s="4"/>
      <c r="B230" s="4"/>
      <c r="C230" s="27" t="s">
        <v>321</v>
      </c>
      <c r="D230" s="68" t="s">
        <v>322</v>
      </c>
      <c r="E230" s="68" t="s">
        <v>323</v>
      </c>
      <c r="F230" s="68" t="s">
        <v>324</v>
      </c>
      <c r="G230" s="68" t="s">
        <v>325</v>
      </c>
      <c r="H230" s="68" t="s">
        <v>326</v>
      </c>
      <c r="I230" s="17" t="s">
        <v>327</v>
      </c>
    </row>
    <row r="231" spans="1:9" x14ac:dyDescent="0.25">
      <c r="A231" s="4"/>
      <c r="B231" s="4"/>
      <c r="C231" s="27" t="s">
        <v>328</v>
      </c>
      <c r="D231" s="82">
        <v>10100.529240000002</v>
      </c>
      <c r="E231" s="82">
        <v>10100.529240000002</v>
      </c>
      <c r="F231" s="82">
        <v>10100.529240000002</v>
      </c>
      <c r="G231" s="82">
        <v>10100.529240000002</v>
      </c>
      <c r="H231" s="82">
        <v>10100.529240000002</v>
      </c>
      <c r="I231" s="83">
        <v>10100.529240000002</v>
      </c>
    </row>
    <row r="232" spans="1:9" ht="28.55" x14ac:dyDescent="0.25">
      <c r="A232" s="4"/>
      <c r="B232" s="4"/>
      <c r="C232" s="27" t="s">
        <v>329</v>
      </c>
      <c r="D232" s="82">
        <v>0</v>
      </c>
      <c r="E232" s="82">
        <v>90.57</v>
      </c>
      <c r="F232" s="82">
        <v>181.14</v>
      </c>
      <c r="G232" s="82">
        <v>271.70999999999998</v>
      </c>
      <c r="H232" s="82">
        <v>362.28</v>
      </c>
      <c r="I232" s="83">
        <v>452.85</v>
      </c>
    </row>
    <row r="233" spans="1:9" x14ac:dyDescent="0.25">
      <c r="A233" s="4"/>
      <c r="B233" s="4"/>
      <c r="C233" s="27" t="s">
        <v>255</v>
      </c>
      <c r="D233" s="82">
        <v>0</v>
      </c>
      <c r="E233" s="82">
        <v>36.228000000000002</v>
      </c>
      <c r="F233" s="82">
        <v>72.456000000000003</v>
      </c>
      <c r="G233" s="82">
        <v>108.684</v>
      </c>
      <c r="H233" s="82">
        <v>144.91200000000001</v>
      </c>
      <c r="I233" s="83">
        <v>181.14000000000001</v>
      </c>
    </row>
    <row r="234" spans="1:9" x14ac:dyDescent="0.25">
      <c r="A234" s="4"/>
      <c r="B234" s="4"/>
      <c r="C234" s="27"/>
      <c r="D234" s="82">
        <v>10100.529240000002</v>
      </c>
      <c r="E234" s="82">
        <v>10227.327240000001</v>
      </c>
      <c r="F234" s="82">
        <v>10354.125240000001</v>
      </c>
      <c r="G234" s="82">
        <v>10480.92324</v>
      </c>
      <c r="H234" s="82">
        <v>10607.721240000003</v>
      </c>
      <c r="I234" s="83">
        <v>10734.519240000001</v>
      </c>
    </row>
    <row r="235" spans="1:9" ht="28.55" x14ac:dyDescent="0.25">
      <c r="A235" s="4"/>
      <c r="B235" s="4"/>
      <c r="C235" s="27" t="s">
        <v>216</v>
      </c>
      <c r="D235" s="82">
        <v>1375.19</v>
      </c>
      <c r="E235" s="82">
        <v>1392.45</v>
      </c>
      <c r="F235" s="82">
        <v>1409.71</v>
      </c>
      <c r="G235" s="82">
        <v>1426.98</v>
      </c>
      <c r="H235" s="82">
        <v>1444.24</v>
      </c>
      <c r="I235" s="83">
        <v>1461.5</v>
      </c>
    </row>
    <row r="236" spans="1:9" x14ac:dyDescent="0.25">
      <c r="A236" s="4"/>
      <c r="B236" s="4"/>
      <c r="C236" s="27" t="s">
        <v>331</v>
      </c>
      <c r="D236" s="82">
        <v>11475.719240000002</v>
      </c>
      <c r="E236" s="82">
        <v>11619.777240000001</v>
      </c>
      <c r="F236" s="82">
        <v>11763.83524</v>
      </c>
      <c r="G236" s="82">
        <v>11907.90324</v>
      </c>
      <c r="H236" s="82">
        <v>12051.961240000002</v>
      </c>
      <c r="I236" s="83">
        <v>12196.019240000001</v>
      </c>
    </row>
    <row r="237" spans="1:9" x14ac:dyDescent="0.25">
      <c r="A237" s="4"/>
      <c r="B237" s="4"/>
      <c r="C237" s="27" t="s">
        <v>332</v>
      </c>
      <c r="D237" s="82">
        <v>1147.5719240000003</v>
      </c>
      <c r="E237" s="82">
        <v>1161.9777240000001</v>
      </c>
      <c r="F237" s="82">
        <v>1176.3835240000001</v>
      </c>
      <c r="G237" s="82">
        <v>1190.7903240000001</v>
      </c>
      <c r="H237" s="82">
        <v>1205.1961240000003</v>
      </c>
      <c r="I237" s="83">
        <v>1219.6019240000001</v>
      </c>
    </row>
    <row r="238" spans="1:9" x14ac:dyDescent="0.25">
      <c r="A238" s="4"/>
      <c r="B238" s="4"/>
      <c r="C238" s="27" t="s">
        <v>298</v>
      </c>
      <c r="D238" s="82">
        <v>1148</v>
      </c>
      <c r="E238" s="82">
        <v>1162</v>
      </c>
      <c r="F238" s="82">
        <v>1176</v>
      </c>
      <c r="G238" s="82">
        <v>1191</v>
      </c>
      <c r="H238" s="82">
        <v>1205</v>
      </c>
      <c r="I238" s="17">
        <v>1220</v>
      </c>
    </row>
    <row r="239" spans="1:9" x14ac:dyDescent="0.25">
      <c r="A239" s="4"/>
      <c r="B239" s="4"/>
      <c r="C239" s="10"/>
      <c r="D239" s="10"/>
      <c r="E239" s="10"/>
      <c r="F239" s="10"/>
      <c r="G239" s="10"/>
      <c r="H239" s="10"/>
      <c r="I239" s="46"/>
    </row>
    <row r="240" spans="1:9" ht="141.30000000000001" customHeight="1" x14ac:dyDescent="0.25">
      <c r="A240" s="4">
        <v>34</v>
      </c>
      <c r="B240" s="4"/>
      <c r="C240" s="139" t="s">
        <v>352</v>
      </c>
      <c r="D240" s="140"/>
      <c r="E240" s="140"/>
      <c r="F240" s="140"/>
      <c r="G240" s="140"/>
      <c r="H240" s="140"/>
      <c r="I240" s="141"/>
    </row>
    <row r="241" spans="1:9" x14ac:dyDescent="0.25">
      <c r="A241" s="4"/>
      <c r="B241" s="4"/>
      <c r="C241" s="10" t="s">
        <v>347</v>
      </c>
      <c r="D241" s="10"/>
      <c r="E241" s="10"/>
      <c r="F241" s="10"/>
      <c r="G241" s="10"/>
      <c r="H241" s="10"/>
      <c r="I241" s="46"/>
    </row>
    <row r="242" spans="1:9" x14ac:dyDescent="0.25">
      <c r="A242" s="4"/>
      <c r="B242" s="4"/>
      <c r="C242" s="10" t="s">
        <v>307</v>
      </c>
      <c r="D242" s="10"/>
      <c r="E242" s="10"/>
      <c r="F242" s="10"/>
      <c r="G242" s="10"/>
      <c r="H242" s="10"/>
      <c r="I242" s="46"/>
    </row>
    <row r="243" spans="1:9" x14ac:dyDescent="0.25">
      <c r="A243" s="4"/>
      <c r="B243" s="4"/>
      <c r="C243" s="10" t="s">
        <v>308</v>
      </c>
      <c r="D243" s="10"/>
      <c r="E243" s="10"/>
      <c r="F243" s="10"/>
      <c r="G243" s="10"/>
      <c r="H243" s="10"/>
      <c r="I243" s="46"/>
    </row>
    <row r="244" spans="1:9" ht="28.55" x14ac:dyDescent="0.25">
      <c r="A244" s="4"/>
      <c r="B244" s="4"/>
      <c r="C244" s="27" t="s">
        <v>348</v>
      </c>
      <c r="D244" s="4">
        <v>10.5</v>
      </c>
      <c r="E244" s="4" t="s">
        <v>154</v>
      </c>
      <c r="F244" s="4">
        <v>315</v>
      </c>
      <c r="G244" s="4">
        <v>1</v>
      </c>
      <c r="H244" s="4" t="s">
        <v>154</v>
      </c>
      <c r="I244" s="46">
        <v>3307.5</v>
      </c>
    </row>
    <row r="245" spans="1:9" ht="28.55" x14ac:dyDescent="0.25">
      <c r="A245" s="4"/>
      <c r="B245" s="4"/>
      <c r="C245" s="27" t="s">
        <v>349</v>
      </c>
      <c r="D245" s="4">
        <v>21.6</v>
      </c>
      <c r="E245" s="4" t="s">
        <v>240</v>
      </c>
      <c r="F245" s="4">
        <v>5000</v>
      </c>
      <c r="G245" s="4">
        <v>1000</v>
      </c>
      <c r="H245" s="4" t="s">
        <v>240</v>
      </c>
      <c r="I245" s="46">
        <v>108</v>
      </c>
    </row>
    <row r="246" spans="1:9" x14ac:dyDescent="0.25">
      <c r="A246" s="4"/>
      <c r="B246" s="4"/>
      <c r="C246" s="27" t="s">
        <v>311</v>
      </c>
      <c r="D246" s="4">
        <v>33</v>
      </c>
      <c r="E246" s="4" t="s">
        <v>240</v>
      </c>
      <c r="F246" s="4">
        <v>5000</v>
      </c>
      <c r="G246" s="4">
        <v>1000</v>
      </c>
      <c r="H246" s="4" t="s">
        <v>240</v>
      </c>
      <c r="I246" s="46">
        <v>165</v>
      </c>
    </row>
    <row r="247" spans="1:9" ht="142.65" x14ac:dyDescent="0.25">
      <c r="A247" s="4"/>
      <c r="B247" s="4"/>
      <c r="C247" s="27" t="s">
        <v>350</v>
      </c>
      <c r="D247" s="4">
        <v>10.5</v>
      </c>
      <c r="E247" s="4" t="s">
        <v>351</v>
      </c>
      <c r="F247" s="4">
        <v>340</v>
      </c>
      <c r="G247" s="4">
        <v>1</v>
      </c>
      <c r="H247" s="4" t="s">
        <v>154</v>
      </c>
      <c r="I247" s="46">
        <v>3570</v>
      </c>
    </row>
    <row r="248" spans="1:9" x14ac:dyDescent="0.25">
      <c r="A248" s="4"/>
      <c r="B248" s="4"/>
      <c r="C248" s="27" t="s">
        <v>314</v>
      </c>
      <c r="D248" s="4">
        <v>0.12</v>
      </c>
      <c r="E248" s="4" t="s">
        <v>201</v>
      </c>
      <c r="F248" s="4">
        <v>2531.1999999999998</v>
      </c>
      <c r="G248" s="4">
        <v>1</v>
      </c>
      <c r="H248" s="4" t="s">
        <v>201</v>
      </c>
      <c r="I248" s="46">
        <v>303.74399999999997</v>
      </c>
    </row>
    <row r="249" spans="1:9" x14ac:dyDescent="0.25">
      <c r="A249" s="4"/>
      <c r="B249" s="4"/>
      <c r="C249" s="27" t="s">
        <v>315</v>
      </c>
      <c r="D249" s="4"/>
      <c r="E249" s="4"/>
      <c r="F249" s="4"/>
      <c r="G249" s="4"/>
      <c r="H249" s="4"/>
      <c r="I249" s="46"/>
    </row>
    <row r="250" spans="1:9" x14ac:dyDescent="0.25">
      <c r="A250" s="4"/>
      <c r="B250" s="4"/>
      <c r="C250" s="27" t="s">
        <v>316</v>
      </c>
      <c r="D250" s="4">
        <v>0.96</v>
      </c>
      <c r="E250" s="4" t="s">
        <v>155</v>
      </c>
      <c r="F250" s="4">
        <v>610</v>
      </c>
      <c r="G250" s="4">
        <v>1</v>
      </c>
      <c r="H250" s="4" t="s">
        <v>209</v>
      </c>
      <c r="I250" s="46">
        <v>585.6</v>
      </c>
    </row>
    <row r="251" spans="1:9" x14ac:dyDescent="0.25">
      <c r="A251" s="4"/>
      <c r="B251" s="4"/>
      <c r="C251" s="27" t="s">
        <v>317</v>
      </c>
      <c r="D251" s="4">
        <v>2.2400000000000002</v>
      </c>
      <c r="E251" s="4" t="s">
        <v>155</v>
      </c>
      <c r="F251" s="4">
        <v>580</v>
      </c>
      <c r="G251" s="4">
        <v>1</v>
      </c>
      <c r="H251" s="4" t="s">
        <v>209</v>
      </c>
      <c r="I251" s="46">
        <v>1299.2</v>
      </c>
    </row>
    <row r="252" spans="1:9" x14ac:dyDescent="0.25">
      <c r="A252" s="4"/>
      <c r="B252" s="4"/>
      <c r="C252" s="27" t="s">
        <v>318</v>
      </c>
      <c r="D252" s="4">
        <v>3.3</v>
      </c>
      <c r="E252" s="4" t="s">
        <v>155</v>
      </c>
      <c r="F252" s="4">
        <v>545</v>
      </c>
      <c r="G252" s="4">
        <v>1</v>
      </c>
      <c r="H252" s="4" t="s">
        <v>209</v>
      </c>
      <c r="I252" s="46">
        <v>1798.5</v>
      </c>
    </row>
    <row r="253" spans="1:9" x14ac:dyDescent="0.25">
      <c r="A253" s="4"/>
      <c r="B253" s="4"/>
      <c r="C253" s="27" t="s">
        <v>255</v>
      </c>
      <c r="D253" s="4">
        <v>0.4</v>
      </c>
      <c r="E253" s="4"/>
      <c r="F253" s="4">
        <v>3683.3</v>
      </c>
      <c r="G253" s="4"/>
      <c r="H253" s="4"/>
      <c r="I253" s="46">
        <v>1473.3200000000002</v>
      </c>
    </row>
    <row r="254" spans="1:9" x14ac:dyDescent="0.25">
      <c r="A254" s="4"/>
      <c r="B254" s="4"/>
      <c r="C254" s="27" t="s">
        <v>319</v>
      </c>
      <c r="D254" s="4">
        <v>0.01</v>
      </c>
      <c r="E254" s="4"/>
      <c r="F254" s="4">
        <v>12610.864</v>
      </c>
      <c r="G254" s="4"/>
      <c r="H254" s="4"/>
      <c r="I254" s="46">
        <v>126.10863999999999</v>
      </c>
    </row>
    <row r="255" spans="1:9" x14ac:dyDescent="0.25">
      <c r="A255" s="4"/>
      <c r="B255" s="4"/>
      <c r="C255" s="27" t="s">
        <v>320</v>
      </c>
      <c r="D255" s="4"/>
      <c r="E255" s="4"/>
      <c r="F255" s="4"/>
      <c r="G255" s="4"/>
      <c r="H255" s="4"/>
      <c r="I255" s="46">
        <v>12736.97264</v>
      </c>
    </row>
    <row r="256" spans="1:9" x14ac:dyDescent="0.25">
      <c r="A256" s="4"/>
      <c r="B256" s="4"/>
      <c r="C256" s="27"/>
      <c r="D256" s="4"/>
      <c r="E256" s="4"/>
      <c r="F256" s="4"/>
      <c r="G256" s="4"/>
      <c r="H256" s="4"/>
      <c r="I256" s="46"/>
    </row>
    <row r="257" spans="1:9" x14ac:dyDescent="0.25">
      <c r="A257" s="4"/>
      <c r="B257" s="4"/>
      <c r="C257" s="27" t="s">
        <v>321</v>
      </c>
      <c r="D257" s="43" t="s">
        <v>322</v>
      </c>
      <c r="E257" s="43" t="s">
        <v>323</v>
      </c>
      <c r="F257" s="43" t="s">
        <v>324</v>
      </c>
      <c r="G257" s="43" t="s">
        <v>325</v>
      </c>
      <c r="H257" s="43" t="s">
        <v>326</v>
      </c>
      <c r="I257" s="17" t="s">
        <v>327</v>
      </c>
    </row>
    <row r="258" spans="1:9" x14ac:dyDescent="0.25">
      <c r="A258" s="4"/>
      <c r="B258" s="4"/>
      <c r="C258" s="27" t="s">
        <v>328</v>
      </c>
      <c r="D258" s="4">
        <v>12736.97264</v>
      </c>
      <c r="E258" s="4">
        <v>12736.97264</v>
      </c>
      <c r="F258" s="4">
        <v>12736.97264</v>
      </c>
      <c r="G258" s="4">
        <v>12736.97264</v>
      </c>
      <c r="H258" s="4">
        <v>12736.97264</v>
      </c>
      <c r="I258" s="46">
        <v>12736.97264</v>
      </c>
    </row>
    <row r="259" spans="1:9" ht="28.55" x14ac:dyDescent="0.25">
      <c r="A259" s="4"/>
      <c r="B259" s="4"/>
      <c r="C259" s="27" t="s">
        <v>329</v>
      </c>
      <c r="D259" s="4">
        <v>0</v>
      </c>
      <c r="E259" s="4">
        <v>368.33</v>
      </c>
      <c r="F259" s="4">
        <v>736.66</v>
      </c>
      <c r="G259" s="4">
        <v>1104.99</v>
      </c>
      <c r="H259" s="4">
        <v>1473.32</v>
      </c>
      <c r="I259" s="46">
        <v>1841.65</v>
      </c>
    </row>
    <row r="260" spans="1:9" x14ac:dyDescent="0.25">
      <c r="A260" s="4"/>
      <c r="B260" s="4"/>
      <c r="C260" s="27" t="s">
        <v>255</v>
      </c>
      <c r="D260" s="4">
        <v>0</v>
      </c>
      <c r="E260" s="4">
        <v>147.33199999999999</v>
      </c>
      <c r="F260" s="4">
        <v>294.66399999999999</v>
      </c>
      <c r="G260" s="4">
        <v>441.99600000000004</v>
      </c>
      <c r="H260" s="4">
        <v>589.32799999999997</v>
      </c>
      <c r="I260" s="46">
        <v>736.66000000000008</v>
      </c>
    </row>
    <row r="261" spans="1:9" x14ac:dyDescent="0.25">
      <c r="A261" s="4"/>
      <c r="B261" s="4"/>
      <c r="C261" s="27"/>
      <c r="D261" s="4">
        <v>12736.97264</v>
      </c>
      <c r="E261" s="4">
        <v>13252.63464</v>
      </c>
      <c r="F261" s="4">
        <v>13768.29664</v>
      </c>
      <c r="G261" s="4">
        <v>14283.958639999999</v>
      </c>
      <c r="H261" s="4">
        <v>14799.620639999999</v>
      </c>
      <c r="I261" s="46">
        <v>15315.282639999999</v>
      </c>
    </row>
    <row r="262" spans="1:9" ht="28.55" x14ac:dyDescent="0.25">
      <c r="A262" s="4"/>
      <c r="B262" s="4"/>
      <c r="C262" s="27" t="s">
        <v>216</v>
      </c>
      <c r="D262" s="4">
        <v>1734.14</v>
      </c>
      <c r="E262" s="4">
        <v>1804.35</v>
      </c>
      <c r="F262" s="4">
        <v>1874.55</v>
      </c>
      <c r="G262" s="4">
        <v>1944.76</v>
      </c>
      <c r="H262" s="4">
        <v>2014.97</v>
      </c>
      <c r="I262" s="46">
        <v>2085.1799999999998</v>
      </c>
    </row>
    <row r="263" spans="1:9" x14ac:dyDescent="0.25">
      <c r="A263" s="4"/>
      <c r="B263" s="4"/>
      <c r="C263" s="27" t="s">
        <v>331</v>
      </c>
      <c r="D263" s="4">
        <v>14471.112639999999</v>
      </c>
      <c r="E263" s="4">
        <v>15056.984640000001</v>
      </c>
      <c r="F263" s="4">
        <v>15642.84664</v>
      </c>
      <c r="G263" s="4">
        <v>16228.718639999999</v>
      </c>
      <c r="H263" s="4">
        <v>16814.590639999999</v>
      </c>
      <c r="I263" s="46">
        <v>17400.462639999998</v>
      </c>
    </row>
    <row r="264" spans="1:9" x14ac:dyDescent="0.25">
      <c r="A264" s="4"/>
      <c r="B264" s="4"/>
      <c r="C264" s="27" t="s">
        <v>332</v>
      </c>
      <c r="D264" s="4">
        <v>1447.1112639999999</v>
      </c>
      <c r="E264" s="4">
        <v>1505.6984640000001</v>
      </c>
      <c r="F264" s="4">
        <v>1564.284664</v>
      </c>
      <c r="G264" s="4">
        <v>1622.871864</v>
      </c>
      <c r="H264" s="4">
        <v>1681.4590639999999</v>
      </c>
      <c r="I264" s="46">
        <v>1740.0462639999998</v>
      </c>
    </row>
    <row r="265" spans="1:9" x14ac:dyDescent="0.25">
      <c r="A265" s="4"/>
      <c r="B265" s="4"/>
      <c r="C265" s="27" t="s">
        <v>298</v>
      </c>
      <c r="D265" s="4">
        <v>1447</v>
      </c>
      <c r="E265" s="4">
        <v>1506</v>
      </c>
      <c r="F265" s="4">
        <v>1564</v>
      </c>
      <c r="G265" s="4">
        <v>1623</v>
      </c>
      <c r="H265" s="4">
        <v>1681</v>
      </c>
      <c r="I265" s="11">
        <v>1740</v>
      </c>
    </row>
    <row r="266" spans="1:9" x14ac:dyDescent="0.25">
      <c r="A266" s="4"/>
      <c r="B266" s="4"/>
      <c r="C266" s="27"/>
      <c r="D266" s="10"/>
      <c r="E266" s="10"/>
      <c r="F266" s="10"/>
      <c r="G266" s="10"/>
      <c r="H266" s="10"/>
      <c r="I266" s="46"/>
    </row>
    <row r="267" spans="1:9" ht="175.25" customHeight="1" x14ac:dyDescent="0.25">
      <c r="A267" s="4">
        <v>69</v>
      </c>
      <c r="B267" s="4"/>
      <c r="C267" s="139" t="s">
        <v>514</v>
      </c>
      <c r="D267" s="140"/>
      <c r="E267" s="140"/>
      <c r="F267" s="140"/>
      <c r="G267" s="140"/>
      <c r="H267" s="140"/>
      <c r="I267" s="141"/>
    </row>
    <row r="268" spans="1:9" x14ac:dyDescent="0.25">
      <c r="A268" s="4"/>
      <c r="B268" s="4"/>
      <c r="C268" s="10" t="s">
        <v>354</v>
      </c>
      <c r="D268" s="10"/>
      <c r="E268" s="10"/>
      <c r="F268" s="10"/>
      <c r="G268" s="10"/>
      <c r="H268" s="10"/>
      <c r="I268" s="46"/>
    </row>
    <row r="269" spans="1:9" x14ac:dyDescent="0.25">
      <c r="A269" s="4"/>
      <c r="B269" s="4"/>
      <c r="C269" s="10" t="s">
        <v>355</v>
      </c>
      <c r="D269" s="10"/>
      <c r="E269" s="10"/>
      <c r="F269" s="10"/>
      <c r="G269" s="10"/>
      <c r="H269" s="10"/>
      <c r="I269" s="46"/>
    </row>
    <row r="270" spans="1:9" x14ac:dyDescent="0.25">
      <c r="A270" s="4"/>
      <c r="B270" s="4"/>
      <c r="C270" s="27" t="s">
        <v>356</v>
      </c>
      <c r="D270" s="10"/>
      <c r="E270" s="10"/>
      <c r="F270" s="10"/>
      <c r="G270" s="10"/>
      <c r="H270" s="10"/>
      <c r="I270" s="46"/>
    </row>
    <row r="271" spans="1:9" ht="28.55" x14ac:dyDescent="0.25">
      <c r="A271" s="4"/>
      <c r="B271" s="4"/>
      <c r="C271" s="27" t="s">
        <v>357</v>
      </c>
      <c r="D271" s="4">
        <v>1</v>
      </c>
      <c r="E271" s="4" t="s">
        <v>222</v>
      </c>
      <c r="F271" s="4">
        <v>535</v>
      </c>
      <c r="G271" s="4">
        <v>1</v>
      </c>
      <c r="H271" s="4" t="s">
        <v>222</v>
      </c>
      <c r="I271" s="46">
        <v>535</v>
      </c>
    </row>
    <row r="272" spans="1:9" ht="42.8" x14ac:dyDescent="0.25">
      <c r="A272" s="4"/>
      <c r="B272" s="4"/>
      <c r="C272" s="27" t="s">
        <v>358</v>
      </c>
      <c r="D272" s="4">
        <v>0.4</v>
      </c>
      <c r="E272" s="4" t="s">
        <v>235</v>
      </c>
      <c r="F272" s="4">
        <v>44</v>
      </c>
      <c r="G272" s="4">
        <v>1</v>
      </c>
      <c r="H272" s="4" t="s">
        <v>235</v>
      </c>
      <c r="I272" s="46">
        <v>17.600000000000001</v>
      </c>
    </row>
    <row r="273" spans="1:9" ht="57.1" x14ac:dyDescent="0.25">
      <c r="A273" s="4"/>
      <c r="B273" s="4"/>
      <c r="C273" s="27" t="s">
        <v>359</v>
      </c>
      <c r="D273" s="4">
        <v>1.6</v>
      </c>
      <c r="E273" s="4" t="s">
        <v>235</v>
      </c>
      <c r="F273" s="4">
        <v>51.5</v>
      </c>
      <c r="G273" s="4">
        <v>1</v>
      </c>
      <c r="H273" s="4" t="s">
        <v>235</v>
      </c>
      <c r="I273" s="46">
        <v>82.4</v>
      </c>
    </row>
    <row r="274" spans="1:9" ht="28.55" x14ac:dyDescent="0.25">
      <c r="A274" s="4"/>
      <c r="B274" s="4"/>
      <c r="C274" s="27" t="s">
        <v>360</v>
      </c>
      <c r="D274" s="4">
        <v>1.6</v>
      </c>
      <c r="E274" s="4" t="s">
        <v>235</v>
      </c>
      <c r="F274" s="4">
        <v>50</v>
      </c>
      <c r="G274" s="4">
        <v>1</v>
      </c>
      <c r="H274" s="4" t="s">
        <v>235</v>
      </c>
      <c r="I274" s="46">
        <v>80</v>
      </c>
    </row>
    <row r="275" spans="1:9" ht="28.55" x14ac:dyDescent="0.25">
      <c r="A275" s="4"/>
      <c r="B275" s="4"/>
      <c r="C275" s="27" t="s">
        <v>361</v>
      </c>
      <c r="D275" s="4">
        <v>1.28</v>
      </c>
      <c r="E275" s="4" t="s">
        <v>235</v>
      </c>
      <c r="F275" s="4">
        <v>13</v>
      </c>
      <c r="G275" s="4">
        <v>1</v>
      </c>
      <c r="H275" s="4" t="s">
        <v>235</v>
      </c>
      <c r="I275" s="46">
        <v>16.64</v>
      </c>
    </row>
    <row r="276" spans="1:9" x14ac:dyDescent="0.25">
      <c r="A276" s="4"/>
      <c r="B276" s="4"/>
      <c r="C276" s="27" t="s">
        <v>362</v>
      </c>
      <c r="D276" s="4">
        <v>1.28</v>
      </c>
      <c r="E276" s="4" t="s">
        <v>211</v>
      </c>
      <c r="F276" s="4">
        <v>6</v>
      </c>
      <c r="G276" s="4">
        <v>1</v>
      </c>
      <c r="H276" s="4" t="s">
        <v>173</v>
      </c>
      <c r="I276" s="46">
        <v>7.68</v>
      </c>
    </row>
    <row r="277" spans="1:9" x14ac:dyDescent="0.25">
      <c r="A277" s="4"/>
      <c r="B277" s="4"/>
      <c r="C277" s="27" t="s">
        <v>363</v>
      </c>
      <c r="D277" s="4"/>
      <c r="E277" s="4"/>
      <c r="F277" s="4"/>
      <c r="G277" s="4"/>
      <c r="H277" s="4"/>
      <c r="I277" s="46"/>
    </row>
    <row r="278" spans="1:9" x14ac:dyDescent="0.25">
      <c r="A278" s="4"/>
      <c r="B278" s="4"/>
      <c r="C278" s="27" t="s">
        <v>364</v>
      </c>
      <c r="D278" s="4">
        <v>0.12</v>
      </c>
      <c r="E278" s="4" t="s">
        <v>211</v>
      </c>
      <c r="F278" s="4">
        <v>720</v>
      </c>
      <c r="G278" s="4">
        <v>1</v>
      </c>
      <c r="H278" s="4" t="s">
        <v>173</v>
      </c>
      <c r="I278" s="46">
        <v>86.399999999999991</v>
      </c>
    </row>
    <row r="279" spans="1:9" x14ac:dyDescent="0.25">
      <c r="A279" s="4"/>
      <c r="B279" s="4"/>
      <c r="C279" s="27" t="s">
        <v>365</v>
      </c>
      <c r="D279" s="4">
        <v>0.12</v>
      </c>
      <c r="E279" s="4" t="s">
        <v>211</v>
      </c>
      <c r="F279" s="4">
        <v>580</v>
      </c>
      <c r="G279" s="4">
        <v>1</v>
      </c>
      <c r="H279" s="4" t="s">
        <v>173</v>
      </c>
      <c r="I279" s="46">
        <v>69.599999999999994</v>
      </c>
    </row>
    <row r="280" spans="1:9" x14ac:dyDescent="0.25">
      <c r="A280" s="4"/>
      <c r="B280" s="4"/>
      <c r="C280" s="27" t="s">
        <v>366</v>
      </c>
      <c r="D280" s="4">
        <v>2.4E-2</v>
      </c>
      <c r="E280" s="4" t="s">
        <v>211</v>
      </c>
      <c r="F280" s="4">
        <v>700</v>
      </c>
      <c r="G280" s="4">
        <v>1</v>
      </c>
      <c r="H280" s="4" t="s">
        <v>173</v>
      </c>
      <c r="I280" s="46">
        <v>16.8</v>
      </c>
    </row>
    <row r="281" spans="1:9" x14ac:dyDescent="0.25">
      <c r="A281" s="4"/>
      <c r="B281" s="4"/>
      <c r="C281" s="27" t="s">
        <v>367</v>
      </c>
      <c r="D281" s="4">
        <v>2.4E-2</v>
      </c>
      <c r="E281" s="4" t="s">
        <v>211</v>
      </c>
      <c r="F281" s="4">
        <v>580</v>
      </c>
      <c r="G281" s="4">
        <v>1</v>
      </c>
      <c r="H281" s="4" t="s">
        <v>173</v>
      </c>
      <c r="I281" s="46">
        <v>13.92</v>
      </c>
    </row>
    <row r="282" spans="1:9" ht="28.55" x14ac:dyDescent="0.25">
      <c r="A282" s="4"/>
      <c r="B282" s="4"/>
      <c r="C282" s="27" t="s">
        <v>368</v>
      </c>
      <c r="D282" s="4">
        <v>1.2E-2</v>
      </c>
      <c r="E282" s="4" t="s">
        <v>211</v>
      </c>
      <c r="F282" s="4">
        <v>710</v>
      </c>
      <c r="G282" s="4">
        <v>1</v>
      </c>
      <c r="H282" s="4" t="s">
        <v>173</v>
      </c>
      <c r="I282" s="46">
        <v>8.52</v>
      </c>
    </row>
    <row r="283" spans="1:9" ht="28.55" x14ac:dyDescent="0.25">
      <c r="A283" s="4"/>
      <c r="B283" s="4"/>
      <c r="C283" s="27" t="s">
        <v>369</v>
      </c>
      <c r="D283" s="4">
        <v>1.2E-2</v>
      </c>
      <c r="E283" s="4" t="s">
        <v>211</v>
      </c>
      <c r="F283" s="4">
        <v>710</v>
      </c>
      <c r="G283" s="4">
        <v>1</v>
      </c>
      <c r="H283" s="4" t="s">
        <v>173</v>
      </c>
      <c r="I283" s="46">
        <v>8.52</v>
      </c>
    </row>
    <row r="284" spans="1:9" x14ac:dyDescent="0.25">
      <c r="A284" s="4"/>
      <c r="B284" s="4"/>
      <c r="C284" s="27" t="s">
        <v>370</v>
      </c>
      <c r="D284" s="4">
        <v>7.1999999999999995E-2</v>
      </c>
      <c r="E284" s="4" t="s">
        <v>211</v>
      </c>
      <c r="F284" s="4">
        <v>545</v>
      </c>
      <c r="G284" s="4">
        <v>1</v>
      </c>
      <c r="H284" s="4" t="s">
        <v>173</v>
      </c>
      <c r="I284" s="46">
        <v>39.239999999999995</v>
      </c>
    </row>
    <row r="285" spans="1:9" x14ac:dyDescent="0.25">
      <c r="A285" s="4"/>
      <c r="B285" s="4"/>
      <c r="C285" s="27" t="s">
        <v>255</v>
      </c>
      <c r="D285" s="4">
        <v>0.4</v>
      </c>
      <c r="E285" s="4"/>
      <c r="F285" s="4">
        <v>243</v>
      </c>
      <c r="G285" s="4"/>
      <c r="H285" s="4"/>
      <c r="I285" s="46">
        <v>97.2</v>
      </c>
    </row>
    <row r="286" spans="1:9" x14ac:dyDescent="0.25">
      <c r="A286" s="4"/>
      <c r="B286" s="4"/>
      <c r="C286" s="27" t="s">
        <v>371</v>
      </c>
      <c r="D286" s="4"/>
      <c r="E286" s="4"/>
      <c r="F286" s="4"/>
      <c r="G286" s="4"/>
      <c r="H286" s="4"/>
      <c r="I286" s="46"/>
    </row>
    <row r="287" spans="1:9" ht="28.55" x14ac:dyDescent="0.25">
      <c r="A287" s="4"/>
      <c r="B287" s="4"/>
      <c r="C287" s="27" t="s">
        <v>372</v>
      </c>
      <c r="D287" s="4">
        <v>0.32</v>
      </c>
      <c r="E287" s="4" t="s">
        <v>373</v>
      </c>
      <c r="F287" s="4">
        <v>152</v>
      </c>
      <c r="G287" s="4">
        <v>1</v>
      </c>
      <c r="H287" s="4" t="s">
        <v>173</v>
      </c>
      <c r="I287" s="46">
        <v>48.64</v>
      </c>
    </row>
    <row r="288" spans="1:9" ht="28.55" x14ac:dyDescent="0.25">
      <c r="A288" s="4"/>
      <c r="B288" s="4"/>
      <c r="C288" s="27" t="s">
        <v>374</v>
      </c>
      <c r="D288" s="4">
        <v>0.32</v>
      </c>
      <c r="E288" s="4" t="s">
        <v>373</v>
      </c>
      <c r="F288" s="4">
        <v>142</v>
      </c>
      <c r="G288" s="4">
        <v>1</v>
      </c>
      <c r="H288" s="4" t="s">
        <v>173</v>
      </c>
      <c r="I288" s="46">
        <v>45.44</v>
      </c>
    </row>
    <row r="289" spans="1:9" x14ac:dyDescent="0.25">
      <c r="A289" s="4"/>
      <c r="B289" s="4"/>
      <c r="C289" s="27"/>
      <c r="D289" s="4"/>
      <c r="E289" s="4"/>
      <c r="F289" s="4"/>
      <c r="G289" s="4"/>
      <c r="H289" s="4"/>
      <c r="I289" s="46">
        <v>1173.5999999999999</v>
      </c>
    </row>
    <row r="290" spans="1:9" x14ac:dyDescent="0.25">
      <c r="A290" s="4"/>
      <c r="B290" s="4"/>
      <c r="C290" s="27" t="s">
        <v>375</v>
      </c>
      <c r="D290" s="4">
        <v>0.01</v>
      </c>
      <c r="E290" s="4"/>
      <c r="F290" s="4">
        <v>1173.5999999999999</v>
      </c>
      <c r="G290" s="4"/>
      <c r="H290" s="4"/>
      <c r="I290" s="46">
        <v>11.735999999999999</v>
      </c>
    </row>
    <row r="291" spans="1:9" x14ac:dyDescent="0.25">
      <c r="A291" s="4"/>
      <c r="B291" s="4"/>
      <c r="C291" s="27" t="s">
        <v>376</v>
      </c>
      <c r="D291" s="4"/>
      <c r="E291" s="4"/>
      <c r="F291" s="4"/>
      <c r="G291" s="4"/>
      <c r="H291" s="4"/>
      <c r="I291" s="46">
        <v>1185.336</v>
      </c>
    </row>
    <row r="292" spans="1:9" ht="28.55" x14ac:dyDescent="0.25">
      <c r="A292" s="4"/>
      <c r="B292" s="4"/>
      <c r="C292" s="27" t="s">
        <v>216</v>
      </c>
      <c r="D292" s="4">
        <v>0.13614999999999999</v>
      </c>
      <c r="E292" s="4"/>
      <c r="F292" s="4">
        <v>1185.336</v>
      </c>
      <c r="G292" s="4"/>
      <c r="H292" s="4"/>
      <c r="I292" s="46">
        <v>161.38349639999998</v>
      </c>
    </row>
    <row r="293" spans="1:9" x14ac:dyDescent="0.25">
      <c r="A293" s="4"/>
      <c r="B293" s="4"/>
      <c r="C293" s="10" t="s">
        <v>204</v>
      </c>
      <c r="D293" s="4"/>
      <c r="E293" s="4"/>
      <c r="F293" s="4"/>
      <c r="G293" s="4"/>
      <c r="H293" s="4"/>
      <c r="I293" s="46">
        <v>1346.7194964</v>
      </c>
    </row>
    <row r="294" spans="1:9" x14ac:dyDescent="0.25">
      <c r="A294" s="4"/>
      <c r="B294" s="4"/>
      <c r="C294" s="10"/>
      <c r="D294" s="4"/>
      <c r="E294" s="4"/>
      <c r="F294" s="4"/>
      <c r="G294" s="4"/>
      <c r="H294" s="4" t="s">
        <v>205</v>
      </c>
      <c r="I294" s="11">
        <v>1347</v>
      </c>
    </row>
    <row r="295" spans="1:9" x14ac:dyDescent="0.25">
      <c r="A295" s="4"/>
      <c r="B295" s="4"/>
      <c r="C295" s="10"/>
      <c r="D295" s="10"/>
      <c r="E295" s="10"/>
      <c r="F295" s="10"/>
      <c r="G295" s="10"/>
      <c r="H295" s="10"/>
      <c r="I295" s="46"/>
    </row>
    <row r="296" spans="1:9" ht="131.1" customHeight="1" x14ac:dyDescent="0.25">
      <c r="A296" s="4">
        <v>53</v>
      </c>
      <c r="B296" s="4"/>
      <c r="C296" s="139" t="s">
        <v>387</v>
      </c>
      <c r="D296" s="140"/>
      <c r="E296" s="140"/>
      <c r="F296" s="140"/>
      <c r="G296" s="140"/>
      <c r="H296" s="140"/>
      <c r="I296" s="141"/>
    </row>
    <row r="297" spans="1:9" x14ac:dyDescent="0.25">
      <c r="A297" s="4"/>
      <c r="B297" s="4"/>
      <c r="C297" s="10" t="s">
        <v>379</v>
      </c>
      <c r="D297" s="10"/>
      <c r="E297" s="10"/>
      <c r="F297" s="10"/>
      <c r="G297" s="10"/>
      <c r="H297" s="10"/>
      <c r="I297" s="46"/>
    </row>
    <row r="298" spans="1:9" x14ac:dyDescent="0.25">
      <c r="A298" s="4"/>
      <c r="B298" s="4"/>
      <c r="C298" s="10" t="s">
        <v>380</v>
      </c>
      <c r="D298" s="10"/>
      <c r="E298" s="10"/>
      <c r="F298" s="10"/>
      <c r="G298" s="10"/>
      <c r="H298" s="10"/>
      <c r="I298" s="46"/>
    </row>
    <row r="299" spans="1:9" x14ac:dyDescent="0.25">
      <c r="A299" s="4"/>
      <c r="B299" s="4"/>
      <c r="C299" s="27" t="s">
        <v>381</v>
      </c>
      <c r="D299" s="4">
        <v>23</v>
      </c>
      <c r="E299" s="4" t="s">
        <v>240</v>
      </c>
      <c r="F299" s="4">
        <v>41</v>
      </c>
      <c r="G299" s="4">
        <v>1</v>
      </c>
      <c r="H299" s="4" t="s">
        <v>313</v>
      </c>
      <c r="I299" s="46">
        <v>943</v>
      </c>
    </row>
    <row r="300" spans="1:9" x14ac:dyDescent="0.25">
      <c r="A300" s="4"/>
      <c r="B300" s="4"/>
      <c r="C300" s="27" t="s">
        <v>382</v>
      </c>
      <c r="D300" s="4">
        <v>0.27300000000000002</v>
      </c>
      <c r="E300" s="4" t="s">
        <v>211</v>
      </c>
      <c r="F300" s="4">
        <v>700</v>
      </c>
      <c r="G300" s="4">
        <v>1</v>
      </c>
      <c r="H300" s="4" t="s">
        <v>209</v>
      </c>
      <c r="I300" s="46">
        <v>191.10000000000002</v>
      </c>
    </row>
    <row r="301" spans="1:9" x14ac:dyDescent="0.25">
      <c r="A301" s="4"/>
      <c r="B301" s="4"/>
      <c r="C301" s="27" t="s">
        <v>383</v>
      </c>
      <c r="D301" s="4">
        <v>0.63700000000000001</v>
      </c>
      <c r="E301" s="4" t="s">
        <v>211</v>
      </c>
      <c r="F301" s="4">
        <v>580</v>
      </c>
      <c r="G301" s="4">
        <v>1</v>
      </c>
      <c r="H301" s="4" t="s">
        <v>209</v>
      </c>
      <c r="I301" s="46">
        <v>369.46</v>
      </c>
    </row>
    <row r="302" spans="1:9" x14ac:dyDescent="0.25">
      <c r="A302" s="4"/>
      <c r="B302" s="4"/>
      <c r="C302" s="27" t="s">
        <v>384</v>
      </c>
      <c r="D302" s="4">
        <v>0.91</v>
      </c>
      <c r="E302" s="4" t="s">
        <v>211</v>
      </c>
      <c r="F302" s="4">
        <v>545</v>
      </c>
      <c r="G302" s="4">
        <v>1</v>
      </c>
      <c r="H302" s="4" t="s">
        <v>209</v>
      </c>
      <c r="I302" s="46">
        <v>495.95</v>
      </c>
    </row>
    <row r="303" spans="1:9" x14ac:dyDescent="0.25">
      <c r="A303" s="4"/>
      <c r="B303" s="4"/>
      <c r="C303" s="27" t="s">
        <v>255</v>
      </c>
      <c r="D303" s="4">
        <v>0.4</v>
      </c>
      <c r="E303" s="4"/>
      <c r="F303" s="4">
        <v>1056.51</v>
      </c>
      <c r="G303" s="4"/>
      <c r="H303" s="4"/>
      <c r="I303" s="46">
        <v>422.60400000000004</v>
      </c>
    </row>
    <row r="304" spans="1:9" ht="28.55" x14ac:dyDescent="0.25">
      <c r="A304" s="4"/>
      <c r="B304" s="4"/>
      <c r="C304" s="27" t="s">
        <v>385</v>
      </c>
      <c r="D304" s="4">
        <v>0.01</v>
      </c>
      <c r="E304" s="4"/>
      <c r="F304" s="4">
        <v>2422.114</v>
      </c>
      <c r="G304" s="4"/>
      <c r="H304" s="4"/>
      <c r="I304" s="46"/>
    </row>
    <row r="305" spans="1:9" x14ac:dyDescent="0.25">
      <c r="A305" s="4"/>
      <c r="B305" s="4"/>
      <c r="C305" s="27"/>
      <c r="D305" s="4"/>
      <c r="E305" s="4"/>
      <c r="F305" s="4"/>
      <c r="G305" s="4"/>
      <c r="H305" s="4"/>
      <c r="I305" s="46">
        <v>2422.114</v>
      </c>
    </row>
    <row r="306" spans="1:9" ht="28.55" x14ac:dyDescent="0.25">
      <c r="A306" s="4"/>
      <c r="B306" s="4"/>
      <c r="C306" s="27" t="s">
        <v>216</v>
      </c>
      <c r="D306" s="4">
        <v>0.13614999999999999</v>
      </c>
      <c r="E306" s="4"/>
      <c r="F306" s="4">
        <v>2422.114</v>
      </c>
      <c r="G306" s="4"/>
      <c r="H306" s="4"/>
      <c r="I306" s="46">
        <v>329.77082109999998</v>
      </c>
    </row>
    <row r="307" spans="1:9" x14ac:dyDescent="0.25">
      <c r="A307" s="4"/>
      <c r="B307" s="4"/>
      <c r="C307" s="27" t="s">
        <v>386</v>
      </c>
      <c r="D307" s="4"/>
      <c r="E307" s="4"/>
      <c r="F307" s="4"/>
      <c r="G307" s="4"/>
      <c r="H307" s="4"/>
      <c r="I307" s="46">
        <v>2751.8848211</v>
      </c>
    </row>
    <row r="308" spans="1:9" x14ac:dyDescent="0.25">
      <c r="A308" s="4"/>
      <c r="B308" s="4"/>
      <c r="C308" s="10" t="s">
        <v>204</v>
      </c>
      <c r="D308" s="10"/>
      <c r="E308" s="10"/>
      <c r="F308" s="10"/>
      <c r="G308" s="10"/>
      <c r="H308" s="10"/>
      <c r="I308" s="46">
        <v>275.18848211</v>
      </c>
    </row>
    <row r="309" spans="1:9" x14ac:dyDescent="0.25">
      <c r="A309" s="4"/>
      <c r="B309" s="4"/>
      <c r="C309" s="10"/>
      <c r="D309" s="10"/>
      <c r="E309" s="10"/>
      <c r="F309" s="10"/>
      <c r="G309" s="10"/>
      <c r="H309" s="10" t="s">
        <v>205</v>
      </c>
      <c r="I309" s="11">
        <v>275</v>
      </c>
    </row>
    <row r="310" spans="1:9" ht="74.05" customHeight="1" x14ac:dyDescent="0.25">
      <c r="A310" s="4">
        <v>55</v>
      </c>
      <c r="B310" s="4"/>
      <c r="C310" s="139" t="s">
        <v>396</v>
      </c>
      <c r="D310" s="140"/>
      <c r="E310" s="140"/>
      <c r="F310" s="140"/>
      <c r="G310" s="140"/>
      <c r="H310" s="140"/>
      <c r="I310" s="141"/>
    </row>
    <row r="311" spans="1:9" x14ac:dyDescent="0.25">
      <c r="A311" s="4"/>
      <c r="B311" s="4"/>
      <c r="C311" s="10" t="s">
        <v>389</v>
      </c>
      <c r="D311" s="10"/>
      <c r="E311" s="10"/>
      <c r="F311" s="10"/>
      <c r="G311" s="10"/>
      <c r="H311" s="10"/>
      <c r="I311" s="46"/>
    </row>
    <row r="312" spans="1:9" x14ac:dyDescent="0.25">
      <c r="A312" s="4"/>
      <c r="B312" s="4"/>
      <c r="C312" s="10" t="s">
        <v>390</v>
      </c>
      <c r="D312" s="10"/>
      <c r="E312" s="10"/>
      <c r="F312" s="10"/>
      <c r="G312" s="10"/>
      <c r="H312" s="10"/>
      <c r="I312" s="46"/>
    </row>
    <row r="313" spans="1:9" x14ac:dyDescent="0.25">
      <c r="A313" s="4"/>
      <c r="B313" s="4"/>
      <c r="C313" s="27" t="s">
        <v>391</v>
      </c>
      <c r="D313" s="10"/>
      <c r="E313" s="10"/>
      <c r="F313" s="10"/>
      <c r="G313" s="10"/>
      <c r="H313" s="10"/>
      <c r="I313" s="46"/>
    </row>
    <row r="314" spans="1:9" ht="28.55" x14ac:dyDescent="0.25">
      <c r="A314" s="4"/>
      <c r="B314" s="4"/>
      <c r="C314" s="27" t="s">
        <v>392</v>
      </c>
      <c r="D314" s="4">
        <v>1</v>
      </c>
      <c r="E314" s="4" t="s">
        <v>313</v>
      </c>
      <c r="F314" s="4">
        <v>173</v>
      </c>
      <c r="G314" s="4">
        <v>1</v>
      </c>
      <c r="H314" s="4" t="s">
        <v>313</v>
      </c>
      <c r="I314" s="46">
        <v>173</v>
      </c>
    </row>
    <row r="315" spans="1:9" x14ac:dyDescent="0.25">
      <c r="A315" s="4"/>
      <c r="B315" s="4"/>
      <c r="C315" s="27" t="s">
        <v>382</v>
      </c>
      <c r="D315" s="4">
        <v>0.21</v>
      </c>
      <c r="E315" s="4" t="s">
        <v>211</v>
      </c>
      <c r="F315" s="4">
        <v>700</v>
      </c>
      <c r="G315" s="4">
        <v>1</v>
      </c>
      <c r="H315" s="4" t="s">
        <v>209</v>
      </c>
      <c r="I315" s="46">
        <v>147</v>
      </c>
    </row>
    <row r="316" spans="1:9" x14ac:dyDescent="0.25">
      <c r="A316" s="4"/>
      <c r="B316" s="4"/>
      <c r="C316" s="27" t="s">
        <v>383</v>
      </c>
      <c r="D316" s="4">
        <v>0.49</v>
      </c>
      <c r="E316" s="4" t="s">
        <v>211</v>
      </c>
      <c r="F316" s="4">
        <v>580</v>
      </c>
      <c r="G316" s="4">
        <v>1</v>
      </c>
      <c r="H316" s="4" t="s">
        <v>209</v>
      </c>
      <c r="I316" s="46">
        <v>284.2</v>
      </c>
    </row>
    <row r="317" spans="1:9" ht="28.55" x14ac:dyDescent="0.25">
      <c r="A317" s="4"/>
      <c r="B317" s="4"/>
      <c r="C317" s="27" t="s">
        <v>393</v>
      </c>
      <c r="D317" s="4">
        <v>0.8</v>
      </c>
      <c r="E317" s="4" t="s">
        <v>394</v>
      </c>
      <c r="F317" s="4">
        <v>225</v>
      </c>
      <c r="G317" s="4">
        <v>1</v>
      </c>
      <c r="H317" s="4" t="s">
        <v>394</v>
      </c>
      <c r="I317" s="46">
        <v>180</v>
      </c>
    </row>
    <row r="318" spans="1:9" x14ac:dyDescent="0.25">
      <c r="A318" s="4"/>
      <c r="B318" s="4"/>
      <c r="C318" s="27" t="s">
        <v>382</v>
      </c>
      <c r="D318" s="4">
        <v>0.36</v>
      </c>
      <c r="E318" s="4" t="s">
        <v>211</v>
      </c>
      <c r="F318" s="4">
        <v>700</v>
      </c>
      <c r="G318" s="4">
        <v>1</v>
      </c>
      <c r="H318" s="4" t="s">
        <v>209</v>
      </c>
      <c r="I318" s="46">
        <v>252</v>
      </c>
    </row>
    <row r="319" spans="1:9" x14ac:dyDescent="0.25">
      <c r="A319" s="4"/>
      <c r="B319" s="4"/>
      <c r="C319" s="27" t="s">
        <v>383</v>
      </c>
      <c r="D319" s="4">
        <v>0.84</v>
      </c>
      <c r="E319" s="4" t="s">
        <v>211</v>
      </c>
      <c r="F319" s="4">
        <v>580</v>
      </c>
      <c r="G319" s="4">
        <v>1</v>
      </c>
      <c r="H319" s="4" t="s">
        <v>209</v>
      </c>
      <c r="I319" s="46">
        <v>487.2</v>
      </c>
    </row>
    <row r="320" spans="1:9" x14ac:dyDescent="0.25">
      <c r="A320" s="4"/>
      <c r="B320" s="4"/>
      <c r="C320" s="27" t="s">
        <v>255</v>
      </c>
      <c r="D320" s="4">
        <v>0.4</v>
      </c>
      <c r="E320" s="4"/>
      <c r="F320" s="4">
        <v>1170.4000000000001</v>
      </c>
      <c r="G320" s="4"/>
      <c r="H320" s="4"/>
      <c r="I320" s="46">
        <v>468.16000000000008</v>
      </c>
    </row>
    <row r="321" spans="1:9" ht="28.55" x14ac:dyDescent="0.25">
      <c r="A321" s="4"/>
      <c r="B321" s="4"/>
      <c r="C321" s="27" t="s">
        <v>395</v>
      </c>
      <c r="D321" s="4">
        <v>0.01</v>
      </c>
      <c r="E321" s="4"/>
      <c r="F321" s="4">
        <v>1991.5600000000002</v>
      </c>
      <c r="G321" s="4"/>
      <c r="H321" s="4"/>
      <c r="I321" s="46"/>
    </row>
    <row r="322" spans="1:9" x14ac:dyDescent="0.25">
      <c r="A322" s="4"/>
      <c r="B322" s="4"/>
      <c r="C322" s="27"/>
      <c r="D322" s="4"/>
      <c r="E322" s="4"/>
      <c r="F322" s="4"/>
      <c r="G322" s="4"/>
      <c r="H322" s="4"/>
      <c r="I322" s="46">
        <v>1991.5600000000002</v>
      </c>
    </row>
    <row r="323" spans="1:9" ht="28.55" x14ac:dyDescent="0.25">
      <c r="A323" s="4"/>
      <c r="B323" s="4"/>
      <c r="C323" s="27" t="s">
        <v>216</v>
      </c>
      <c r="D323" s="4">
        <v>0.13614999999999999</v>
      </c>
      <c r="E323" s="4"/>
      <c r="F323" s="4">
        <v>1991.5600000000002</v>
      </c>
      <c r="G323" s="4"/>
      <c r="H323" s="4"/>
      <c r="I323" s="46">
        <v>271.15089399999999</v>
      </c>
    </row>
    <row r="324" spans="1:9" x14ac:dyDescent="0.25">
      <c r="A324" s="4"/>
      <c r="B324" s="4"/>
      <c r="C324" s="27" t="s">
        <v>386</v>
      </c>
      <c r="D324" s="4"/>
      <c r="E324" s="4"/>
      <c r="F324" s="4"/>
      <c r="G324" s="4"/>
      <c r="H324" s="4"/>
      <c r="I324" s="46">
        <v>2262.7108940000003</v>
      </c>
    </row>
    <row r="325" spans="1:9" x14ac:dyDescent="0.25">
      <c r="A325" s="4"/>
      <c r="B325" s="4"/>
      <c r="C325" s="27" t="s">
        <v>204</v>
      </c>
      <c r="D325" s="4"/>
      <c r="E325" s="4"/>
      <c r="F325" s="4"/>
      <c r="G325" s="4"/>
      <c r="H325" s="4"/>
      <c r="I325" s="46">
        <v>226.27108940000002</v>
      </c>
    </row>
    <row r="326" spans="1:9" x14ac:dyDescent="0.25">
      <c r="A326" s="4"/>
      <c r="B326" s="4"/>
      <c r="C326" s="10"/>
      <c r="D326" s="10"/>
      <c r="E326" s="10"/>
      <c r="F326" s="10"/>
      <c r="G326" s="10"/>
      <c r="H326" s="10" t="s">
        <v>205</v>
      </c>
      <c r="I326" s="11">
        <v>226</v>
      </c>
    </row>
    <row r="327" spans="1:9" x14ac:dyDescent="0.25">
      <c r="A327" s="4"/>
      <c r="B327" s="4"/>
      <c r="C327" s="10"/>
      <c r="D327" s="10"/>
      <c r="E327" s="10"/>
      <c r="F327" s="10"/>
      <c r="G327" s="10"/>
      <c r="H327" s="10"/>
      <c r="I327" s="46"/>
    </row>
    <row r="328" spans="1:9" ht="102.6" customHeight="1" x14ac:dyDescent="0.25">
      <c r="A328" s="4">
        <v>58</v>
      </c>
      <c r="B328" s="4"/>
      <c r="C328" s="139" t="s">
        <v>406</v>
      </c>
      <c r="D328" s="140"/>
      <c r="E328" s="140"/>
      <c r="F328" s="140"/>
      <c r="G328" s="140"/>
      <c r="H328" s="140"/>
      <c r="I328" s="141"/>
    </row>
    <row r="329" spans="1:9" x14ac:dyDescent="0.25">
      <c r="A329" s="4"/>
      <c r="B329" s="4"/>
      <c r="C329" s="10" t="s">
        <v>398</v>
      </c>
      <c r="D329" s="10"/>
      <c r="E329" s="10"/>
      <c r="F329" s="10"/>
      <c r="G329" s="10"/>
      <c r="H329" s="10"/>
      <c r="I329" s="46"/>
    </row>
    <row r="330" spans="1:9" x14ac:dyDescent="0.25">
      <c r="A330" s="4"/>
      <c r="B330" s="4"/>
      <c r="C330" s="27" t="s">
        <v>399</v>
      </c>
      <c r="D330" s="4">
        <v>1</v>
      </c>
      <c r="E330" s="4" t="s">
        <v>313</v>
      </c>
      <c r="F330" s="4">
        <v>167</v>
      </c>
      <c r="G330" s="4">
        <v>1</v>
      </c>
      <c r="H330" s="4" t="s">
        <v>313</v>
      </c>
      <c r="I330" s="46">
        <v>167</v>
      </c>
    </row>
    <row r="331" spans="1:9" x14ac:dyDescent="0.25">
      <c r="A331" s="4"/>
      <c r="B331" s="4"/>
      <c r="C331" s="27" t="s">
        <v>400</v>
      </c>
      <c r="D331" s="4"/>
      <c r="E331" s="4"/>
      <c r="F331" s="4"/>
      <c r="G331" s="4"/>
      <c r="H331" s="4"/>
      <c r="I331" s="46"/>
    </row>
    <row r="332" spans="1:9" x14ac:dyDescent="0.25">
      <c r="A332" s="4"/>
      <c r="B332" s="4"/>
      <c r="C332" s="27" t="s">
        <v>401</v>
      </c>
      <c r="D332" s="4">
        <v>0.7</v>
      </c>
      <c r="E332" s="4" t="s">
        <v>402</v>
      </c>
      <c r="F332" s="4">
        <v>167</v>
      </c>
      <c r="G332" s="4">
        <v>1</v>
      </c>
      <c r="H332" s="4" t="s">
        <v>402</v>
      </c>
      <c r="I332" s="46">
        <v>116.89999999999999</v>
      </c>
    </row>
    <row r="333" spans="1:9" x14ac:dyDescent="0.25">
      <c r="A333" s="4"/>
      <c r="B333" s="4"/>
      <c r="C333" s="27" t="s">
        <v>366</v>
      </c>
      <c r="D333" s="4">
        <v>0.21</v>
      </c>
      <c r="E333" s="4" t="s">
        <v>211</v>
      </c>
      <c r="F333" s="4">
        <v>700</v>
      </c>
      <c r="G333" s="4">
        <v>1</v>
      </c>
      <c r="H333" s="4" t="s">
        <v>209</v>
      </c>
      <c r="I333" s="46">
        <v>147</v>
      </c>
    </row>
    <row r="334" spans="1:9" x14ac:dyDescent="0.25">
      <c r="A334" s="4"/>
      <c r="B334" s="4"/>
      <c r="C334" s="27" t="s">
        <v>367</v>
      </c>
      <c r="D334" s="4">
        <v>0.49</v>
      </c>
      <c r="E334" s="4" t="s">
        <v>211</v>
      </c>
      <c r="F334" s="4">
        <v>580</v>
      </c>
      <c r="G334" s="4">
        <v>1</v>
      </c>
      <c r="H334" s="4" t="s">
        <v>209</v>
      </c>
      <c r="I334" s="46">
        <v>284.2</v>
      </c>
    </row>
    <row r="335" spans="1:9" x14ac:dyDescent="0.25">
      <c r="A335" s="4"/>
      <c r="B335" s="4"/>
      <c r="C335" s="27" t="s">
        <v>403</v>
      </c>
      <c r="D335" s="4"/>
      <c r="E335" s="4"/>
      <c r="F335" s="4"/>
      <c r="G335" s="4"/>
      <c r="H335" s="4"/>
      <c r="I335" s="46"/>
    </row>
    <row r="336" spans="1:9" ht="28.55" x14ac:dyDescent="0.25">
      <c r="A336" s="4"/>
      <c r="B336" s="4"/>
      <c r="C336" s="27" t="s">
        <v>404</v>
      </c>
      <c r="D336" s="4">
        <v>1.2</v>
      </c>
      <c r="E336" s="4" t="s">
        <v>402</v>
      </c>
      <c r="F336" s="4">
        <v>221</v>
      </c>
      <c r="G336" s="4">
        <v>1</v>
      </c>
      <c r="H336" s="4" t="s">
        <v>402</v>
      </c>
      <c r="I336" s="46">
        <v>265.2</v>
      </c>
    </row>
    <row r="337" spans="1:9" x14ac:dyDescent="0.25">
      <c r="A337" s="4"/>
      <c r="B337" s="4"/>
      <c r="C337" s="27" t="s">
        <v>366</v>
      </c>
      <c r="D337" s="4">
        <v>0.36</v>
      </c>
      <c r="E337" s="4" t="s">
        <v>211</v>
      </c>
      <c r="F337" s="4">
        <v>700</v>
      </c>
      <c r="G337" s="4">
        <v>1</v>
      </c>
      <c r="H337" s="4" t="s">
        <v>209</v>
      </c>
      <c r="I337" s="46">
        <v>252</v>
      </c>
    </row>
    <row r="338" spans="1:9" x14ac:dyDescent="0.25">
      <c r="A338" s="4"/>
      <c r="B338" s="4"/>
      <c r="C338" s="27" t="s">
        <v>367</v>
      </c>
      <c r="D338" s="4">
        <v>0.84</v>
      </c>
      <c r="E338" s="4" t="s">
        <v>211</v>
      </c>
      <c r="F338" s="4">
        <v>580</v>
      </c>
      <c r="G338" s="4">
        <v>1</v>
      </c>
      <c r="H338" s="4" t="s">
        <v>209</v>
      </c>
      <c r="I338" s="46">
        <v>487.2</v>
      </c>
    </row>
    <row r="339" spans="1:9" x14ac:dyDescent="0.25">
      <c r="A339" s="4"/>
      <c r="B339" s="4"/>
      <c r="C339" s="27" t="s">
        <v>255</v>
      </c>
      <c r="D339" s="4">
        <v>0.4</v>
      </c>
      <c r="E339" s="4"/>
      <c r="F339" s="4">
        <v>1170.4000000000001</v>
      </c>
      <c r="G339" s="4"/>
      <c r="H339" s="4"/>
      <c r="I339" s="46">
        <v>468.16000000000008</v>
      </c>
    </row>
    <row r="340" spans="1:9" ht="28.55" x14ac:dyDescent="0.25">
      <c r="A340" s="4"/>
      <c r="B340" s="4"/>
      <c r="C340" s="27" t="s">
        <v>405</v>
      </c>
      <c r="D340" s="4">
        <v>0.01</v>
      </c>
      <c r="E340" s="4"/>
      <c r="F340" s="4">
        <v>2187.66</v>
      </c>
      <c r="G340" s="4"/>
      <c r="H340" s="4"/>
      <c r="I340" s="46"/>
    </row>
    <row r="341" spans="1:9" x14ac:dyDescent="0.25">
      <c r="A341" s="4"/>
      <c r="B341" s="4"/>
      <c r="C341" s="27"/>
      <c r="D341" s="4"/>
      <c r="E341" s="4"/>
      <c r="F341" s="4"/>
      <c r="G341" s="4"/>
      <c r="H341" s="4"/>
      <c r="I341" s="46">
        <v>2187.66</v>
      </c>
    </row>
    <row r="342" spans="1:9" ht="28.55" x14ac:dyDescent="0.25">
      <c r="A342" s="4"/>
      <c r="B342" s="4"/>
      <c r="C342" s="27" t="s">
        <v>216</v>
      </c>
      <c r="D342" s="4">
        <v>0.13614999999999999</v>
      </c>
      <c r="E342" s="4"/>
      <c r="F342" s="4">
        <v>2187.66</v>
      </c>
      <c r="G342" s="4"/>
      <c r="H342" s="4"/>
      <c r="I342" s="46">
        <v>297.84990899999997</v>
      </c>
    </row>
    <row r="343" spans="1:9" x14ac:dyDescent="0.25">
      <c r="A343" s="4"/>
      <c r="B343" s="4"/>
      <c r="C343" s="27" t="s">
        <v>386</v>
      </c>
      <c r="D343" s="4"/>
      <c r="E343" s="4"/>
      <c r="F343" s="4"/>
      <c r="G343" s="4"/>
      <c r="H343" s="4"/>
      <c r="I343" s="46">
        <v>2485.5099089999999</v>
      </c>
    </row>
    <row r="344" spans="1:9" x14ac:dyDescent="0.25">
      <c r="A344" s="4"/>
      <c r="B344" s="4"/>
      <c r="C344" s="27" t="s">
        <v>204</v>
      </c>
      <c r="D344" s="10"/>
      <c r="E344" s="10"/>
      <c r="F344" s="10"/>
      <c r="G344" s="10"/>
      <c r="H344" s="10"/>
      <c r="I344" s="46">
        <v>248.55099089999999</v>
      </c>
    </row>
    <row r="345" spans="1:9" x14ac:dyDescent="0.25">
      <c r="A345" s="4"/>
      <c r="B345" s="4"/>
      <c r="C345" s="27"/>
      <c r="D345" s="10"/>
      <c r="E345" s="10"/>
      <c r="F345" s="10"/>
      <c r="G345" s="10"/>
      <c r="H345" s="10" t="s">
        <v>205</v>
      </c>
      <c r="I345" s="11">
        <v>249</v>
      </c>
    </row>
    <row r="346" spans="1:9" x14ac:dyDescent="0.25">
      <c r="A346" s="4"/>
      <c r="B346" s="4"/>
      <c r="C346" s="10"/>
      <c r="D346" s="10"/>
      <c r="E346" s="10"/>
      <c r="F346" s="10"/>
      <c r="G346" s="10"/>
      <c r="H346" s="10"/>
      <c r="I346" s="46"/>
    </row>
    <row r="347" spans="1:9" ht="148.1" customHeight="1" x14ac:dyDescent="0.25">
      <c r="A347" s="4">
        <v>38</v>
      </c>
      <c r="B347" s="4"/>
      <c r="C347" s="139" t="s">
        <v>414</v>
      </c>
      <c r="D347" s="140"/>
      <c r="E347" s="140"/>
      <c r="F347" s="140"/>
      <c r="G347" s="140"/>
      <c r="H347" s="140"/>
      <c r="I347" s="141"/>
    </row>
    <row r="348" spans="1:9" x14ac:dyDescent="0.25">
      <c r="A348" s="4"/>
      <c r="B348" s="4"/>
      <c r="C348" s="10" t="s">
        <v>407</v>
      </c>
      <c r="D348" s="10"/>
      <c r="E348" s="10"/>
      <c r="F348" s="10"/>
      <c r="G348" s="10"/>
      <c r="H348" s="10"/>
      <c r="I348" s="46"/>
    </row>
    <row r="349" spans="1:9" x14ac:dyDescent="0.25">
      <c r="A349" s="4"/>
      <c r="B349" s="4"/>
      <c r="C349" s="10" t="s">
        <v>307</v>
      </c>
      <c r="D349" s="10"/>
      <c r="E349" s="10"/>
      <c r="F349" s="10"/>
      <c r="G349" s="10"/>
      <c r="H349" s="10"/>
      <c r="I349" s="46"/>
    </row>
    <row r="350" spans="1:9" x14ac:dyDescent="0.25">
      <c r="A350" s="4"/>
      <c r="B350" s="4"/>
      <c r="C350" s="10" t="s">
        <v>308</v>
      </c>
      <c r="D350" s="10"/>
      <c r="E350" s="10"/>
      <c r="F350" s="10"/>
      <c r="G350" s="10"/>
      <c r="H350" s="10"/>
      <c r="I350" s="46"/>
    </row>
    <row r="351" spans="1:9" ht="28.55" x14ac:dyDescent="0.25">
      <c r="A351" s="4"/>
      <c r="B351" s="4"/>
      <c r="C351" s="27" t="s">
        <v>411</v>
      </c>
      <c r="D351" s="4">
        <v>10.5</v>
      </c>
      <c r="E351" s="4" t="s">
        <v>154</v>
      </c>
      <c r="F351" s="4">
        <v>2576</v>
      </c>
      <c r="G351" s="4">
        <v>1</v>
      </c>
      <c r="H351" s="4" t="s">
        <v>154</v>
      </c>
      <c r="I351" s="46">
        <v>27048</v>
      </c>
    </row>
    <row r="352" spans="1:9" ht="28.55" x14ac:dyDescent="0.25">
      <c r="A352" s="4"/>
      <c r="B352" s="4"/>
      <c r="C352" s="27" t="s">
        <v>408</v>
      </c>
      <c r="D352" s="4">
        <v>36</v>
      </c>
      <c r="E352" s="4" t="s">
        <v>240</v>
      </c>
      <c r="F352" s="4">
        <v>5000</v>
      </c>
      <c r="G352" s="4">
        <v>1000</v>
      </c>
      <c r="H352" s="4" t="s">
        <v>240</v>
      </c>
      <c r="I352" s="46">
        <v>180</v>
      </c>
    </row>
    <row r="353" spans="1:9" x14ac:dyDescent="0.25">
      <c r="A353" s="4"/>
      <c r="B353" s="4"/>
      <c r="C353" s="27" t="s">
        <v>311</v>
      </c>
      <c r="D353" s="4">
        <v>33</v>
      </c>
      <c r="E353" s="4" t="s">
        <v>240</v>
      </c>
      <c r="F353" s="4">
        <v>5000</v>
      </c>
      <c r="G353" s="4">
        <v>1000</v>
      </c>
      <c r="H353" s="4" t="s">
        <v>240</v>
      </c>
      <c r="I353" s="46">
        <v>165</v>
      </c>
    </row>
    <row r="354" spans="1:9" x14ac:dyDescent="0.25">
      <c r="A354" s="4"/>
      <c r="B354" s="4"/>
      <c r="C354" s="27" t="s">
        <v>409</v>
      </c>
      <c r="D354" s="4">
        <v>6</v>
      </c>
      <c r="E354" s="4" t="s">
        <v>240</v>
      </c>
      <c r="F354" s="4">
        <v>36</v>
      </c>
      <c r="G354" s="4">
        <v>1</v>
      </c>
      <c r="H354" s="4" t="s">
        <v>313</v>
      </c>
      <c r="I354" s="46">
        <v>216</v>
      </c>
    </row>
    <row r="355" spans="1:9" x14ac:dyDescent="0.25">
      <c r="A355" s="4"/>
      <c r="B355" s="4"/>
      <c r="C355" s="27" t="s">
        <v>314</v>
      </c>
      <c r="D355" s="4">
        <v>0.2</v>
      </c>
      <c r="E355" s="4" t="s">
        <v>201</v>
      </c>
      <c r="F355" s="4">
        <v>2531.1999999999998</v>
      </c>
      <c r="G355" s="4">
        <v>1</v>
      </c>
      <c r="H355" s="4" t="s">
        <v>201</v>
      </c>
      <c r="I355" s="46">
        <v>506.24</v>
      </c>
    </row>
    <row r="356" spans="1:9" x14ac:dyDescent="0.25">
      <c r="A356" s="4"/>
      <c r="B356" s="4"/>
      <c r="C356" s="27" t="s">
        <v>315</v>
      </c>
      <c r="D356" s="4"/>
      <c r="E356" s="4"/>
      <c r="F356" s="4"/>
      <c r="G356" s="4"/>
      <c r="H356" s="4"/>
      <c r="I356" s="46"/>
    </row>
    <row r="357" spans="1:9" x14ac:dyDescent="0.25">
      <c r="A357" s="4"/>
      <c r="B357" s="4"/>
      <c r="C357" s="27" t="s">
        <v>316</v>
      </c>
      <c r="D357" s="4">
        <v>3</v>
      </c>
      <c r="E357" s="4" t="s">
        <v>155</v>
      </c>
      <c r="F357" s="4">
        <v>610</v>
      </c>
      <c r="G357" s="4">
        <v>1</v>
      </c>
      <c r="H357" s="4" t="s">
        <v>209</v>
      </c>
      <c r="I357" s="46">
        <v>1830</v>
      </c>
    </row>
    <row r="358" spans="1:9" x14ac:dyDescent="0.25">
      <c r="A358" s="4"/>
      <c r="B358" s="4"/>
      <c r="C358" s="27" t="s">
        <v>317</v>
      </c>
      <c r="D358" s="4">
        <v>1</v>
      </c>
      <c r="E358" s="4" t="s">
        <v>155</v>
      </c>
      <c r="F358" s="4">
        <v>580</v>
      </c>
      <c r="G358" s="4">
        <v>1</v>
      </c>
      <c r="H358" s="4" t="s">
        <v>209</v>
      </c>
      <c r="I358" s="46">
        <v>580</v>
      </c>
    </row>
    <row r="359" spans="1:9" x14ac:dyDescent="0.25">
      <c r="A359" s="4"/>
      <c r="B359" s="4"/>
      <c r="C359" s="27" t="s">
        <v>318</v>
      </c>
      <c r="D359" s="4">
        <v>8</v>
      </c>
      <c r="E359" s="4" t="s">
        <v>155</v>
      </c>
      <c r="F359" s="4">
        <v>545</v>
      </c>
      <c r="G359" s="4">
        <v>1</v>
      </c>
      <c r="H359" s="4" t="s">
        <v>209</v>
      </c>
      <c r="I359" s="46">
        <v>4360</v>
      </c>
    </row>
    <row r="360" spans="1:9" x14ac:dyDescent="0.25">
      <c r="A360" s="4"/>
      <c r="B360" s="4"/>
      <c r="C360" s="27" t="s">
        <v>255</v>
      </c>
      <c r="D360" s="4">
        <v>0.4</v>
      </c>
      <c r="E360" s="4"/>
      <c r="F360" s="4">
        <v>6770</v>
      </c>
      <c r="G360" s="4"/>
      <c r="H360" s="4"/>
      <c r="I360" s="46">
        <v>2708</v>
      </c>
    </row>
    <row r="361" spans="1:9" x14ac:dyDescent="0.25">
      <c r="A361" s="4"/>
      <c r="B361" s="4"/>
      <c r="C361" s="27" t="s">
        <v>412</v>
      </c>
      <c r="D361" s="4">
        <v>16.670000000000002</v>
      </c>
      <c r="E361" s="4" t="s">
        <v>235</v>
      </c>
      <c r="F361" s="4">
        <v>26</v>
      </c>
      <c r="G361" s="4">
        <v>1</v>
      </c>
      <c r="H361" s="4" t="s">
        <v>235</v>
      </c>
      <c r="I361" s="46">
        <v>433.42000000000007</v>
      </c>
    </row>
    <row r="362" spans="1:9" x14ac:dyDescent="0.25">
      <c r="A362" s="4"/>
      <c r="B362" s="4"/>
      <c r="C362" s="27" t="s">
        <v>413</v>
      </c>
      <c r="D362" s="4">
        <v>16.670000000000002</v>
      </c>
      <c r="E362" s="4" t="s">
        <v>235</v>
      </c>
      <c r="F362" s="4">
        <v>479</v>
      </c>
      <c r="G362" s="4">
        <v>1</v>
      </c>
      <c r="H362" s="4" t="s">
        <v>235</v>
      </c>
      <c r="I362" s="46">
        <v>7984.9300000000012</v>
      </c>
    </row>
    <row r="363" spans="1:9" x14ac:dyDescent="0.25">
      <c r="A363" s="4"/>
      <c r="B363" s="4"/>
      <c r="C363" s="27" t="s">
        <v>255</v>
      </c>
      <c r="D363" s="4">
        <v>0.4</v>
      </c>
      <c r="E363" s="4"/>
      <c r="F363" s="4">
        <v>3367.3400000000011</v>
      </c>
      <c r="G363" s="4"/>
      <c r="H363" s="4"/>
      <c r="I363" s="46">
        <v>1346.9360000000006</v>
      </c>
    </row>
    <row r="364" spans="1:9" x14ac:dyDescent="0.25">
      <c r="A364" s="4"/>
      <c r="B364" s="4"/>
      <c r="C364" s="27" t="s">
        <v>319</v>
      </c>
      <c r="D364" s="43">
        <v>0.01</v>
      </c>
      <c r="E364" s="43"/>
      <c r="F364" s="43">
        <v>47358.526000000005</v>
      </c>
      <c r="G364" s="43"/>
      <c r="H364" s="43"/>
      <c r="I364" s="17">
        <v>473.58526000000006</v>
      </c>
    </row>
    <row r="365" spans="1:9" x14ac:dyDescent="0.25">
      <c r="A365" s="4"/>
      <c r="B365" s="4"/>
      <c r="C365" s="27" t="s">
        <v>342</v>
      </c>
      <c r="D365" s="4"/>
      <c r="E365" s="4"/>
      <c r="F365" s="4"/>
      <c r="G365" s="4"/>
      <c r="H365" s="4"/>
      <c r="I365" s="46">
        <v>47832.111260000005</v>
      </c>
    </row>
    <row r="366" spans="1:9" x14ac:dyDescent="0.25">
      <c r="A366" s="4"/>
      <c r="B366" s="4"/>
      <c r="C366" s="27"/>
      <c r="D366" s="4"/>
      <c r="E366" s="4"/>
      <c r="F366" s="4"/>
      <c r="G366" s="4"/>
      <c r="H366" s="4"/>
      <c r="I366" s="46"/>
    </row>
    <row r="367" spans="1:9" x14ac:dyDescent="0.25">
      <c r="A367" s="4"/>
      <c r="B367" s="4"/>
      <c r="C367" s="27" t="s">
        <v>321</v>
      </c>
      <c r="D367" s="43" t="s">
        <v>322</v>
      </c>
      <c r="E367" s="43" t="s">
        <v>323</v>
      </c>
      <c r="F367" s="43" t="s">
        <v>324</v>
      </c>
      <c r="G367" s="43" t="s">
        <v>325</v>
      </c>
      <c r="H367" s="43" t="s">
        <v>326</v>
      </c>
      <c r="I367" s="17" t="s">
        <v>327</v>
      </c>
    </row>
    <row r="368" spans="1:9" x14ac:dyDescent="0.25">
      <c r="A368" s="4"/>
      <c r="B368" s="4"/>
      <c r="C368" s="27" t="s">
        <v>328</v>
      </c>
      <c r="D368" s="4">
        <v>47832.111260000005</v>
      </c>
      <c r="E368" s="4">
        <v>47832.111260000005</v>
      </c>
      <c r="F368" s="4">
        <v>47832.111260000005</v>
      </c>
      <c r="G368" s="4">
        <v>47832.111260000005</v>
      </c>
      <c r="H368" s="4">
        <v>47832.111260000005</v>
      </c>
      <c r="I368" s="46">
        <v>47832.111260000005</v>
      </c>
    </row>
    <row r="369" spans="1:9" ht="28.55" x14ac:dyDescent="0.25">
      <c r="A369" s="4"/>
      <c r="B369" s="4"/>
      <c r="C369" s="27" t="s">
        <v>329</v>
      </c>
      <c r="D369" s="4">
        <v>0</v>
      </c>
      <c r="E369" s="4">
        <v>677</v>
      </c>
      <c r="F369" s="4">
        <v>1354</v>
      </c>
      <c r="G369" s="4">
        <v>2031</v>
      </c>
      <c r="H369" s="4">
        <v>2708</v>
      </c>
      <c r="I369" s="46">
        <v>3385</v>
      </c>
    </row>
    <row r="370" spans="1:9" x14ac:dyDescent="0.25">
      <c r="A370" s="4"/>
      <c r="B370" s="4"/>
      <c r="C370" s="27" t="s">
        <v>255</v>
      </c>
      <c r="D370" s="4">
        <v>0</v>
      </c>
      <c r="E370" s="4">
        <v>270.8</v>
      </c>
      <c r="F370" s="4">
        <v>541.6</v>
      </c>
      <c r="G370" s="4">
        <v>812.40000000000009</v>
      </c>
      <c r="H370" s="4">
        <v>1083.2</v>
      </c>
      <c r="I370" s="46">
        <v>1354</v>
      </c>
    </row>
    <row r="371" spans="1:9" x14ac:dyDescent="0.25">
      <c r="A371" s="4"/>
      <c r="B371" s="4"/>
      <c r="C371" s="27"/>
      <c r="D371" s="4">
        <v>47832.111260000005</v>
      </c>
      <c r="E371" s="4">
        <v>48779.911260000008</v>
      </c>
      <c r="F371" s="4">
        <v>49727.711260000004</v>
      </c>
      <c r="G371" s="4">
        <v>50675.511260000007</v>
      </c>
      <c r="H371" s="4">
        <v>51623.311260000002</v>
      </c>
      <c r="I371" s="46">
        <v>52571.111260000005</v>
      </c>
    </row>
    <row r="372" spans="1:9" ht="28.55" x14ac:dyDescent="0.25">
      <c r="A372" s="4"/>
      <c r="B372" s="4"/>
      <c r="C372" s="27" t="s">
        <v>216</v>
      </c>
      <c r="D372" s="4">
        <v>6512.34</v>
      </c>
      <c r="E372" s="4">
        <v>6641.38</v>
      </c>
      <c r="F372" s="4">
        <v>6770.43</v>
      </c>
      <c r="G372" s="4">
        <v>6899.47</v>
      </c>
      <c r="H372" s="4">
        <v>7028.51</v>
      </c>
      <c r="I372" s="67">
        <v>7157.56</v>
      </c>
    </row>
    <row r="373" spans="1:9" x14ac:dyDescent="0.25">
      <c r="A373" s="4"/>
      <c r="B373" s="4"/>
      <c r="C373" s="10" t="s">
        <v>331</v>
      </c>
      <c r="D373" s="10">
        <v>54344.451260000002</v>
      </c>
      <c r="E373" s="10">
        <v>55421.291260000005</v>
      </c>
      <c r="F373" s="10">
        <v>56498.141260000004</v>
      </c>
      <c r="G373" s="10">
        <v>57574.981260000008</v>
      </c>
      <c r="H373" s="10">
        <v>58651.821260000004</v>
      </c>
      <c r="I373" s="67">
        <v>59728.671260000003</v>
      </c>
    </row>
    <row r="374" spans="1:9" x14ac:dyDescent="0.25">
      <c r="A374" s="4"/>
      <c r="B374" s="4"/>
      <c r="C374" s="10" t="s">
        <v>332</v>
      </c>
      <c r="D374" s="10">
        <v>5434.4451260000005</v>
      </c>
      <c r="E374" s="10">
        <v>5542.1291260000007</v>
      </c>
      <c r="F374" s="10">
        <v>5649.8141260000002</v>
      </c>
      <c r="G374" s="10">
        <v>5757.4981260000004</v>
      </c>
      <c r="H374" s="10">
        <v>5865.1821260000006</v>
      </c>
      <c r="I374" s="46">
        <v>5972.8671260000001</v>
      </c>
    </row>
    <row r="375" spans="1:9" x14ac:dyDescent="0.25">
      <c r="A375" s="4"/>
      <c r="B375" s="4"/>
      <c r="C375" s="10" t="s">
        <v>298</v>
      </c>
      <c r="D375" s="10">
        <v>5434</v>
      </c>
      <c r="E375" s="10">
        <v>5542</v>
      </c>
      <c r="F375" s="10">
        <v>5650</v>
      </c>
      <c r="G375" s="10">
        <v>5757</v>
      </c>
      <c r="H375" s="10">
        <v>5865</v>
      </c>
      <c r="I375" s="11">
        <v>5973</v>
      </c>
    </row>
    <row r="376" spans="1:9" x14ac:dyDescent="0.25">
      <c r="A376" s="4"/>
      <c r="B376" s="4"/>
      <c r="C376" s="10"/>
      <c r="D376" s="10"/>
      <c r="E376" s="10"/>
      <c r="F376" s="10"/>
      <c r="G376" s="10"/>
      <c r="H376" s="10"/>
      <c r="I376" s="46"/>
    </row>
    <row r="377" spans="1:9" ht="46.2" customHeight="1" x14ac:dyDescent="0.25">
      <c r="A377" s="4">
        <v>38</v>
      </c>
      <c r="B377" s="4"/>
      <c r="C377" s="139" t="s">
        <v>418</v>
      </c>
      <c r="D377" s="140"/>
      <c r="E377" s="140"/>
      <c r="F377" s="140"/>
      <c r="G377" s="140"/>
      <c r="H377" s="140"/>
      <c r="I377" s="141"/>
    </row>
    <row r="378" spans="1:9" ht="42.8" x14ac:dyDescent="0.25">
      <c r="A378" s="4"/>
      <c r="B378" s="4"/>
      <c r="C378" s="27" t="s">
        <v>416</v>
      </c>
      <c r="D378" s="4">
        <v>1</v>
      </c>
      <c r="E378" s="4" t="s">
        <v>154</v>
      </c>
      <c r="F378" s="4">
        <v>1229</v>
      </c>
      <c r="G378" s="4">
        <v>1</v>
      </c>
      <c r="H378" s="4" t="s">
        <v>154</v>
      </c>
      <c r="I378" s="46">
        <v>1229</v>
      </c>
    </row>
    <row r="379" spans="1:9" x14ac:dyDescent="0.25">
      <c r="A379" s="4"/>
      <c r="B379" s="4"/>
      <c r="C379" s="27" t="s">
        <v>417</v>
      </c>
      <c r="D379" s="4"/>
      <c r="E379" s="4"/>
      <c r="F379" s="4"/>
      <c r="G379" s="4"/>
      <c r="H379" s="4"/>
      <c r="I379" s="46">
        <v>1229</v>
      </c>
    </row>
    <row r="380" spans="1:9" ht="28.55" x14ac:dyDescent="0.25">
      <c r="A380" s="4"/>
      <c r="B380" s="4"/>
      <c r="C380" s="27" t="s">
        <v>216</v>
      </c>
      <c r="D380" s="4">
        <v>0.13614999999999999</v>
      </c>
      <c r="E380" s="4"/>
      <c r="F380" s="4">
        <v>1229</v>
      </c>
      <c r="G380" s="4"/>
      <c r="H380" s="4"/>
      <c r="I380" s="46">
        <v>167.32835</v>
      </c>
    </row>
    <row r="381" spans="1:9" x14ac:dyDescent="0.25">
      <c r="A381" s="4"/>
      <c r="B381" s="4"/>
      <c r="C381" s="10"/>
      <c r="D381" s="4"/>
      <c r="E381" s="4"/>
      <c r="F381" s="4"/>
      <c r="G381" s="4"/>
      <c r="H381" s="4"/>
      <c r="I381" s="46">
        <v>1396.32835</v>
      </c>
    </row>
    <row r="382" spans="1:9" x14ac:dyDescent="0.25">
      <c r="A382" s="4"/>
      <c r="B382" s="4"/>
      <c r="C382" s="10"/>
      <c r="D382" s="10"/>
      <c r="E382" s="10"/>
      <c r="F382" s="10"/>
      <c r="G382" s="10"/>
      <c r="H382" s="13" t="s">
        <v>205</v>
      </c>
      <c r="I382" s="11">
        <v>1396</v>
      </c>
    </row>
    <row r="383" spans="1:9" x14ac:dyDescent="0.25">
      <c r="A383" s="4"/>
      <c r="B383" s="4"/>
      <c r="C383" s="10"/>
      <c r="D383" s="10"/>
      <c r="E383" s="10"/>
      <c r="F383" s="10"/>
      <c r="G383" s="10"/>
      <c r="H383" s="10"/>
      <c r="I383" s="46"/>
    </row>
    <row r="384" spans="1:9" ht="101.9" customHeight="1" x14ac:dyDescent="0.25">
      <c r="A384" s="4">
        <v>89</v>
      </c>
      <c r="B384" s="4"/>
      <c r="C384" s="139" t="s">
        <v>436</v>
      </c>
      <c r="D384" s="140"/>
      <c r="E384" s="140"/>
      <c r="F384" s="140"/>
      <c r="G384" s="140"/>
      <c r="H384" s="140"/>
      <c r="I384" s="141"/>
    </row>
    <row r="385" spans="1:9" x14ac:dyDescent="0.25">
      <c r="A385" s="4"/>
      <c r="B385" s="4"/>
      <c r="C385" s="10" t="s">
        <v>420</v>
      </c>
      <c r="D385" s="10">
        <v>3.06</v>
      </c>
      <c r="E385" s="10" t="s">
        <v>154</v>
      </c>
      <c r="F385" s="10"/>
      <c r="G385" s="10"/>
      <c r="H385" s="10"/>
      <c r="I385" s="46"/>
    </row>
    <row r="386" spans="1:9" x14ac:dyDescent="0.25">
      <c r="A386" s="4"/>
      <c r="B386" s="4"/>
      <c r="C386" s="27" t="s">
        <v>421</v>
      </c>
      <c r="D386" s="10"/>
      <c r="E386" s="10"/>
      <c r="F386" s="10"/>
      <c r="G386" s="10"/>
      <c r="H386" s="10"/>
      <c r="I386" s="46"/>
    </row>
    <row r="387" spans="1:9" ht="28.55" x14ac:dyDescent="0.25">
      <c r="A387" s="4"/>
      <c r="B387" s="4"/>
      <c r="C387" s="27" t="s">
        <v>422</v>
      </c>
      <c r="D387" s="70" t="s">
        <v>423</v>
      </c>
      <c r="E387" s="70"/>
      <c r="F387" s="70"/>
      <c r="G387" s="70"/>
      <c r="H387" s="70">
        <v>7</v>
      </c>
      <c r="I387" s="46" t="s">
        <v>235</v>
      </c>
    </row>
    <row r="388" spans="1:9" x14ac:dyDescent="0.25">
      <c r="A388" s="4"/>
      <c r="B388" s="4"/>
      <c r="C388" s="27"/>
      <c r="D388" s="70" t="s">
        <v>424</v>
      </c>
      <c r="E388" s="70"/>
      <c r="F388" s="70"/>
      <c r="G388" s="70"/>
      <c r="H388" s="70">
        <v>8.4</v>
      </c>
      <c r="I388" s="46" t="s">
        <v>240</v>
      </c>
    </row>
    <row r="389" spans="1:9" ht="28.55" x14ac:dyDescent="0.25">
      <c r="A389" s="4"/>
      <c r="B389" s="4"/>
      <c r="C389" s="27" t="s">
        <v>425</v>
      </c>
      <c r="D389" s="70"/>
      <c r="E389" s="70"/>
      <c r="F389" s="70"/>
      <c r="G389" s="70"/>
      <c r="H389" s="70"/>
      <c r="I389" s="46"/>
    </row>
    <row r="390" spans="1:9" x14ac:dyDescent="0.25">
      <c r="A390" s="4"/>
      <c r="B390" s="4"/>
      <c r="C390" s="27" t="s">
        <v>426</v>
      </c>
      <c r="D390" s="70" t="s">
        <v>427</v>
      </c>
      <c r="E390" s="70"/>
      <c r="F390" s="70">
        <v>10.199999999999999</v>
      </c>
      <c r="G390" s="70"/>
      <c r="H390" s="70"/>
      <c r="I390" s="46"/>
    </row>
    <row r="391" spans="1:9" x14ac:dyDescent="0.25">
      <c r="A391" s="4"/>
      <c r="B391" s="4"/>
      <c r="C391" s="27" t="s">
        <v>428</v>
      </c>
      <c r="D391" s="70" t="s">
        <v>429</v>
      </c>
      <c r="E391" s="70"/>
      <c r="F391" s="70">
        <v>23.400000000000002</v>
      </c>
      <c r="G391" s="70"/>
      <c r="H391" s="70"/>
      <c r="I391" s="46"/>
    </row>
    <row r="392" spans="1:9" x14ac:dyDescent="0.25">
      <c r="A392" s="4"/>
      <c r="B392" s="4"/>
      <c r="C392" s="27"/>
      <c r="D392" s="70"/>
      <c r="E392" s="70"/>
      <c r="F392" s="70">
        <v>33.6</v>
      </c>
      <c r="G392" s="70" t="s">
        <v>235</v>
      </c>
      <c r="H392" s="70">
        <v>26.376000000000001</v>
      </c>
      <c r="I392" s="46" t="s">
        <v>240</v>
      </c>
    </row>
    <row r="393" spans="1:9" x14ac:dyDescent="0.25">
      <c r="A393" s="4"/>
      <c r="B393" s="4"/>
      <c r="C393" s="27"/>
      <c r="D393" s="70"/>
      <c r="E393" s="70"/>
      <c r="F393" s="70"/>
      <c r="G393" s="70"/>
      <c r="H393" s="70">
        <v>34.776000000000003</v>
      </c>
      <c r="I393" s="46" t="s">
        <v>240</v>
      </c>
    </row>
    <row r="394" spans="1:9" x14ac:dyDescent="0.25">
      <c r="A394" s="4"/>
      <c r="B394" s="4"/>
      <c r="C394" s="27" t="s">
        <v>430</v>
      </c>
      <c r="D394" s="70"/>
      <c r="E394" s="70"/>
      <c r="F394" s="70"/>
      <c r="G394" s="70"/>
      <c r="H394" s="70"/>
      <c r="I394" s="46"/>
    </row>
    <row r="395" spans="1:9" ht="28.55" x14ac:dyDescent="0.25">
      <c r="A395" s="4"/>
      <c r="B395" s="4"/>
      <c r="C395" s="27" t="s">
        <v>431</v>
      </c>
      <c r="D395" s="70">
        <v>26.376000000000001</v>
      </c>
      <c r="E395" s="70" t="s">
        <v>240</v>
      </c>
      <c r="F395" s="70">
        <v>60000</v>
      </c>
      <c r="G395" s="70">
        <v>1000</v>
      </c>
      <c r="H395" s="70" t="s">
        <v>240</v>
      </c>
      <c r="I395" s="46">
        <v>1582.56</v>
      </c>
    </row>
    <row r="396" spans="1:9" ht="28.55" x14ac:dyDescent="0.25">
      <c r="A396" s="4"/>
      <c r="B396" s="4"/>
      <c r="C396" s="27" t="s">
        <v>432</v>
      </c>
      <c r="D396" s="70">
        <v>8.4</v>
      </c>
      <c r="E396" s="70" t="s">
        <v>240</v>
      </c>
      <c r="F396" s="70">
        <v>61000</v>
      </c>
      <c r="G396" s="70">
        <v>1000</v>
      </c>
      <c r="H396" s="70" t="s">
        <v>240</v>
      </c>
      <c r="I396" s="46">
        <v>512.4</v>
      </c>
    </row>
    <row r="397" spans="1:9" ht="42.8" x14ac:dyDescent="0.25">
      <c r="A397" s="4"/>
      <c r="B397" s="4"/>
      <c r="C397" s="27" t="s">
        <v>433</v>
      </c>
      <c r="D397" s="70">
        <v>34.776000000000003</v>
      </c>
      <c r="E397" s="70" t="s">
        <v>240</v>
      </c>
      <c r="F397" s="70">
        <v>39</v>
      </c>
      <c r="G397" s="70">
        <v>1</v>
      </c>
      <c r="H397" s="70" t="s">
        <v>313</v>
      </c>
      <c r="I397" s="46">
        <v>1356.2640000000001</v>
      </c>
    </row>
    <row r="398" spans="1:9" ht="28.55" x14ac:dyDescent="0.25">
      <c r="A398" s="4"/>
      <c r="B398" s="4"/>
      <c r="C398" s="27" t="s">
        <v>434</v>
      </c>
      <c r="D398" s="70">
        <v>34.776000000000003</v>
      </c>
      <c r="E398" s="70"/>
      <c r="F398" s="70">
        <v>7</v>
      </c>
      <c r="G398" s="70"/>
      <c r="H398" s="70"/>
      <c r="I398" s="46">
        <v>243.43200000000002</v>
      </c>
    </row>
    <row r="399" spans="1:9" x14ac:dyDescent="0.25">
      <c r="A399" s="4"/>
      <c r="B399" s="4"/>
      <c r="C399" s="27" t="s">
        <v>255</v>
      </c>
      <c r="D399" s="70">
        <v>0.4</v>
      </c>
      <c r="E399" s="70"/>
      <c r="F399" s="70">
        <v>785.93760000000009</v>
      </c>
      <c r="G399" s="70"/>
      <c r="H399" s="70"/>
      <c r="I399" s="46">
        <v>314.37504000000007</v>
      </c>
    </row>
    <row r="400" spans="1:9" x14ac:dyDescent="0.25">
      <c r="A400" s="4"/>
      <c r="B400" s="4"/>
      <c r="C400" s="27" t="s">
        <v>435</v>
      </c>
      <c r="D400" s="70"/>
      <c r="E400" s="70"/>
      <c r="F400" s="70"/>
      <c r="G400" s="70"/>
      <c r="H400" s="70"/>
      <c r="I400" s="46">
        <v>4009.0310399999998</v>
      </c>
    </row>
    <row r="401" spans="1:9" x14ac:dyDescent="0.25">
      <c r="A401" s="4"/>
      <c r="B401" s="4"/>
      <c r="C401" s="27"/>
      <c r="D401" s="70"/>
      <c r="E401" s="70"/>
      <c r="F401" s="70"/>
      <c r="G401" s="70"/>
      <c r="H401" s="70"/>
      <c r="I401" s="46">
        <v>1310.140862745098</v>
      </c>
    </row>
    <row r="402" spans="1:9" ht="28.55" x14ac:dyDescent="0.25">
      <c r="A402" s="4"/>
      <c r="B402" s="4"/>
      <c r="C402" s="27" t="s">
        <v>216</v>
      </c>
      <c r="D402" s="70">
        <v>0.13614999999999999</v>
      </c>
      <c r="E402" s="70"/>
      <c r="F402" s="70">
        <v>1310.140862745098</v>
      </c>
      <c r="G402" s="70"/>
      <c r="H402" s="70"/>
      <c r="I402" s="46">
        <v>178.3756784627451</v>
      </c>
    </row>
    <row r="403" spans="1:9" x14ac:dyDescent="0.25">
      <c r="A403" s="4"/>
      <c r="B403" s="4"/>
      <c r="C403" s="27"/>
      <c r="D403" s="70"/>
      <c r="E403" s="70"/>
      <c r="F403" s="70"/>
      <c r="G403" s="70"/>
      <c r="H403" s="70"/>
      <c r="I403" s="46">
        <v>1488.5165412078431</v>
      </c>
    </row>
    <row r="404" spans="1:9" x14ac:dyDescent="0.25">
      <c r="A404" s="4"/>
      <c r="B404" s="4"/>
      <c r="C404" s="10" t="s">
        <v>332</v>
      </c>
      <c r="D404" s="10"/>
      <c r="E404" s="10"/>
      <c r="F404" s="10"/>
      <c r="G404" s="10" t="s">
        <v>261</v>
      </c>
      <c r="H404" s="10"/>
      <c r="I404" s="11">
        <v>1489</v>
      </c>
    </row>
    <row r="405" spans="1:9" x14ac:dyDescent="0.25">
      <c r="A405" s="4"/>
      <c r="B405" s="4"/>
      <c r="C405" s="10"/>
      <c r="D405" s="10"/>
      <c r="E405" s="10"/>
      <c r="F405" s="10"/>
      <c r="G405" s="10"/>
      <c r="H405" s="10"/>
      <c r="I405" s="46"/>
    </row>
    <row r="406" spans="1:9" ht="21.75" customHeight="1" x14ac:dyDescent="0.25">
      <c r="A406" s="4"/>
      <c r="B406" s="4">
        <v>54</v>
      </c>
      <c r="C406" s="145" t="s">
        <v>441</v>
      </c>
      <c r="D406" s="146"/>
      <c r="E406" s="146"/>
      <c r="F406" s="146"/>
      <c r="G406" s="146"/>
      <c r="H406" s="146"/>
      <c r="I406" s="147"/>
    </row>
    <row r="407" spans="1:9" x14ac:dyDescent="0.25">
      <c r="A407" s="4"/>
      <c r="B407" s="4"/>
      <c r="C407" s="27" t="s">
        <v>438</v>
      </c>
      <c r="D407" s="4">
        <v>1</v>
      </c>
      <c r="E407" s="4" t="s">
        <v>154</v>
      </c>
      <c r="F407" s="4">
        <v>335</v>
      </c>
      <c r="G407" s="4">
        <v>1</v>
      </c>
      <c r="H407" s="4" t="s">
        <v>154</v>
      </c>
      <c r="I407" s="46">
        <v>348</v>
      </c>
    </row>
    <row r="408" spans="1:9" ht="28.55" x14ac:dyDescent="0.25">
      <c r="A408" s="4"/>
      <c r="B408" s="4"/>
      <c r="C408" s="27" t="s">
        <v>216</v>
      </c>
      <c r="D408" s="72">
        <v>0.13614999999999999</v>
      </c>
      <c r="E408" s="4"/>
      <c r="F408" s="16">
        <f>I407</f>
        <v>348</v>
      </c>
      <c r="G408" s="4"/>
      <c r="H408" s="4"/>
      <c r="I408" s="71">
        <f t="shared" ref="I408" si="0">IF(G408="",D408*F408,(D408*F408/G408))</f>
        <v>47.380199999999995</v>
      </c>
    </row>
    <row r="409" spans="1:9" x14ac:dyDescent="0.25">
      <c r="A409" s="4"/>
      <c r="B409" s="4"/>
      <c r="C409" s="27"/>
      <c r="D409" s="4"/>
      <c r="E409" s="4"/>
      <c r="F409" s="4"/>
      <c r="G409" s="4"/>
      <c r="H409" s="4"/>
      <c r="I409" s="46">
        <f>SUM(I407:I408)</f>
        <v>395.3802</v>
      </c>
    </row>
    <row r="410" spans="1:9" x14ac:dyDescent="0.25">
      <c r="A410" s="4"/>
      <c r="B410" s="4"/>
      <c r="C410" s="10" t="s">
        <v>439</v>
      </c>
      <c r="D410" s="10"/>
      <c r="E410" s="10"/>
      <c r="F410" s="10"/>
      <c r="G410" s="10"/>
      <c r="H410" s="10" t="s">
        <v>440</v>
      </c>
      <c r="I410" s="11">
        <f>ROUND(I409,0)</f>
        <v>395</v>
      </c>
    </row>
    <row r="411" spans="1:9" x14ac:dyDescent="0.25">
      <c r="A411" s="4"/>
      <c r="B411" s="4"/>
      <c r="C411" s="10"/>
      <c r="D411" s="10"/>
      <c r="E411" s="10"/>
      <c r="F411" s="10"/>
      <c r="G411" s="10"/>
      <c r="H411" s="10"/>
      <c r="I411" s="46"/>
    </row>
    <row r="412" spans="1:9" ht="159.65" customHeight="1" x14ac:dyDescent="0.25">
      <c r="A412" s="4">
        <v>30</v>
      </c>
      <c r="B412" s="4"/>
      <c r="C412" s="139" t="s">
        <v>454</v>
      </c>
      <c r="D412" s="140"/>
      <c r="E412" s="140"/>
      <c r="F412" s="140"/>
      <c r="G412" s="140"/>
      <c r="H412" s="140"/>
      <c r="I412" s="141"/>
    </row>
    <row r="413" spans="1:9" x14ac:dyDescent="0.25">
      <c r="A413" s="4"/>
      <c r="B413" s="4"/>
      <c r="C413" s="27" t="s">
        <v>442</v>
      </c>
      <c r="D413" s="10"/>
      <c r="E413" s="10"/>
      <c r="F413" s="10"/>
      <c r="G413" s="10"/>
      <c r="H413" s="10"/>
      <c r="I413" s="46"/>
    </row>
    <row r="414" spans="1:9" x14ac:dyDescent="0.25">
      <c r="A414" s="4"/>
      <c r="B414" s="4"/>
      <c r="C414" s="27" t="s">
        <v>443</v>
      </c>
      <c r="D414" s="10"/>
      <c r="E414" s="10"/>
      <c r="F414" s="10"/>
      <c r="G414" s="10"/>
      <c r="H414" s="10"/>
      <c r="I414" s="46"/>
    </row>
    <row r="415" spans="1:9" x14ac:dyDescent="0.25">
      <c r="A415" s="4"/>
      <c r="B415" s="4"/>
      <c r="C415" s="27" t="s">
        <v>444</v>
      </c>
      <c r="D415" s="10"/>
      <c r="E415" s="10"/>
      <c r="F415" s="10"/>
      <c r="G415" s="10"/>
      <c r="H415" s="10"/>
      <c r="I415" s="46"/>
    </row>
    <row r="416" spans="1:9" x14ac:dyDescent="0.25">
      <c r="A416" s="4"/>
      <c r="B416" s="4"/>
      <c r="C416" s="27" t="s">
        <v>445</v>
      </c>
      <c r="D416" s="4">
        <v>100.8</v>
      </c>
      <c r="E416" s="4" t="s">
        <v>240</v>
      </c>
      <c r="F416" s="4">
        <v>5000</v>
      </c>
      <c r="G416" s="4">
        <v>1000</v>
      </c>
      <c r="H416" s="4" t="s">
        <v>240</v>
      </c>
      <c r="I416" s="46">
        <v>504</v>
      </c>
    </row>
    <row r="417" spans="1:9" x14ac:dyDescent="0.25">
      <c r="A417" s="4"/>
      <c r="B417" s="4"/>
      <c r="C417" s="27" t="s">
        <v>446</v>
      </c>
      <c r="D417" s="4">
        <v>0.21</v>
      </c>
      <c r="E417" s="4" t="s">
        <v>201</v>
      </c>
      <c r="F417" s="4">
        <v>2531.1999999999998</v>
      </c>
      <c r="G417" s="4">
        <v>1</v>
      </c>
      <c r="H417" s="4" t="s">
        <v>201</v>
      </c>
      <c r="I417" s="46">
        <v>531.55199999999991</v>
      </c>
    </row>
    <row r="418" spans="1:9" ht="28.55" x14ac:dyDescent="0.25">
      <c r="A418" s="4"/>
      <c r="B418" s="4"/>
      <c r="C418" s="27" t="s">
        <v>447</v>
      </c>
      <c r="D418" s="4">
        <v>0.4</v>
      </c>
      <c r="E418" s="4" t="s">
        <v>394</v>
      </c>
      <c r="F418" s="4">
        <v>223</v>
      </c>
      <c r="G418" s="4">
        <v>1</v>
      </c>
      <c r="H418" s="4" t="s">
        <v>394</v>
      </c>
      <c r="I418" s="46">
        <v>89.2</v>
      </c>
    </row>
    <row r="419" spans="1:9" x14ac:dyDescent="0.25">
      <c r="A419" s="4"/>
      <c r="B419" s="4"/>
      <c r="C419" s="27" t="s">
        <v>448</v>
      </c>
      <c r="D419" s="4"/>
      <c r="E419" s="4"/>
      <c r="F419" s="4"/>
      <c r="G419" s="4"/>
      <c r="H419" s="4"/>
      <c r="I419" s="46"/>
    </row>
    <row r="420" spans="1:9" x14ac:dyDescent="0.25">
      <c r="A420" s="4"/>
      <c r="B420" s="4"/>
      <c r="C420" s="27" t="s">
        <v>449</v>
      </c>
      <c r="D420" s="4">
        <v>0.66</v>
      </c>
      <c r="E420" s="4" t="s">
        <v>211</v>
      </c>
      <c r="F420" s="4">
        <v>610</v>
      </c>
      <c r="G420" s="4">
        <v>1</v>
      </c>
      <c r="H420" s="4" t="s">
        <v>209</v>
      </c>
      <c r="I420" s="46">
        <v>402.6</v>
      </c>
    </row>
    <row r="421" spans="1:9" x14ac:dyDescent="0.25">
      <c r="A421" s="4"/>
      <c r="B421" s="4"/>
      <c r="C421" s="27" t="s">
        <v>450</v>
      </c>
      <c r="D421" s="4">
        <v>1.54</v>
      </c>
      <c r="E421" s="4" t="s">
        <v>211</v>
      </c>
      <c r="F421" s="4">
        <v>580</v>
      </c>
      <c r="G421" s="4">
        <v>1</v>
      </c>
      <c r="H421" s="4" t="s">
        <v>209</v>
      </c>
      <c r="I421" s="46">
        <v>893.2</v>
      </c>
    </row>
    <row r="422" spans="1:9" x14ac:dyDescent="0.25">
      <c r="A422" s="4"/>
      <c r="B422" s="4"/>
      <c r="C422" s="27" t="s">
        <v>451</v>
      </c>
      <c r="D422" s="4">
        <v>3.7</v>
      </c>
      <c r="E422" s="4" t="s">
        <v>211</v>
      </c>
      <c r="F422" s="4">
        <v>545</v>
      </c>
      <c r="G422" s="4">
        <v>1</v>
      </c>
      <c r="H422" s="4" t="s">
        <v>209</v>
      </c>
      <c r="I422" s="46">
        <v>2016.5</v>
      </c>
    </row>
    <row r="423" spans="1:9" x14ac:dyDescent="0.25">
      <c r="A423" s="4"/>
      <c r="B423" s="4"/>
      <c r="C423" s="27" t="s">
        <v>255</v>
      </c>
      <c r="D423" s="4">
        <v>0.4</v>
      </c>
      <c r="E423" s="4"/>
      <c r="F423" s="4">
        <v>3312.3</v>
      </c>
      <c r="G423" s="4"/>
      <c r="H423" s="4"/>
      <c r="I423" s="46">
        <v>1324.92</v>
      </c>
    </row>
    <row r="424" spans="1:9" x14ac:dyDescent="0.25">
      <c r="A424" s="4"/>
      <c r="B424" s="4"/>
      <c r="C424" s="27" t="s">
        <v>452</v>
      </c>
      <c r="D424" s="4">
        <v>0.01</v>
      </c>
      <c r="E424" s="4"/>
      <c r="F424" s="4">
        <v>5761.9719999999998</v>
      </c>
      <c r="G424" s="4"/>
      <c r="H424" s="4"/>
      <c r="I424" s="46">
        <v>57.619720000000001</v>
      </c>
    </row>
    <row r="425" spans="1:9" x14ac:dyDescent="0.25">
      <c r="A425" s="4"/>
      <c r="B425" s="4"/>
      <c r="C425" s="27" t="s">
        <v>331</v>
      </c>
      <c r="D425" s="4"/>
      <c r="E425" s="4"/>
      <c r="F425" s="4"/>
      <c r="G425" s="4"/>
      <c r="H425" s="4"/>
      <c r="I425" s="46">
        <v>5819.5917199999994</v>
      </c>
    </row>
    <row r="426" spans="1:9" x14ac:dyDescent="0.25">
      <c r="A426" s="4"/>
      <c r="B426" s="4"/>
      <c r="C426" s="27"/>
      <c r="D426" s="4"/>
      <c r="E426" s="4"/>
      <c r="F426" s="4"/>
      <c r="G426" s="4"/>
      <c r="H426" s="4"/>
      <c r="I426" s="46"/>
    </row>
    <row r="427" spans="1:9" x14ac:dyDescent="0.25">
      <c r="A427" s="4"/>
      <c r="B427" s="4"/>
      <c r="C427" s="27" t="s">
        <v>321</v>
      </c>
      <c r="D427" s="47" t="s">
        <v>322</v>
      </c>
      <c r="E427" s="47" t="s">
        <v>323</v>
      </c>
      <c r="F427" s="47" t="s">
        <v>324</v>
      </c>
      <c r="G427" s="47" t="s">
        <v>325</v>
      </c>
      <c r="H427" s="47" t="s">
        <v>326</v>
      </c>
      <c r="I427" s="9" t="s">
        <v>327</v>
      </c>
    </row>
    <row r="428" spans="1:9" ht="16.3" customHeight="1" x14ac:dyDescent="0.25">
      <c r="A428" s="4"/>
      <c r="B428" s="4"/>
      <c r="C428" s="27" t="s">
        <v>328</v>
      </c>
      <c r="D428" s="4">
        <v>5819.5917199999994</v>
      </c>
      <c r="E428" s="4">
        <v>5819.5917199999994</v>
      </c>
      <c r="F428" s="4">
        <v>5819.5917199999994</v>
      </c>
      <c r="G428" s="4">
        <v>5819.5917199999994</v>
      </c>
      <c r="H428" s="4">
        <v>5819.5917199999994</v>
      </c>
      <c r="I428" s="46">
        <v>5819.5917199999994</v>
      </c>
    </row>
    <row r="429" spans="1:9" ht="28.55" x14ac:dyDescent="0.25">
      <c r="A429" s="4"/>
      <c r="B429" s="4"/>
      <c r="C429" s="27" t="s">
        <v>329</v>
      </c>
      <c r="D429" s="4">
        <v>0</v>
      </c>
      <c r="E429" s="4">
        <v>331.23</v>
      </c>
      <c r="F429" s="4">
        <v>662.46</v>
      </c>
      <c r="G429" s="4">
        <v>993.69</v>
      </c>
      <c r="H429" s="4">
        <v>1324.92</v>
      </c>
      <c r="I429" s="46">
        <v>1656.15</v>
      </c>
    </row>
    <row r="430" spans="1:9" x14ac:dyDescent="0.25">
      <c r="A430" s="4"/>
      <c r="B430" s="4"/>
      <c r="C430" s="27" t="s">
        <v>255</v>
      </c>
      <c r="D430" s="4">
        <v>0</v>
      </c>
      <c r="E430" s="4">
        <v>132.49200000000002</v>
      </c>
      <c r="F430" s="4">
        <v>264.98400000000004</v>
      </c>
      <c r="G430" s="4">
        <v>397.47600000000006</v>
      </c>
      <c r="H430" s="4">
        <v>529.96800000000007</v>
      </c>
      <c r="I430" s="46">
        <v>662.46</v>
      </c>
    </row>
    <row r="431" spans="1:9" x14ac:dyDescent="0.25">
      <c r="A431" s="4"/>
      <c r="B431" s="4"/>
      <c r="C431" s="27"/>
      <c r="D431" s="4">
        <v>5819.5917199999994</v>
      </c>
      <c r="E431" s="4">
        <v>6283.3137200000001</v>
      </c>
      <c r="F431" s="4">
        <v>6747.0357199999999</v>
      </c>
      <c r="G431" s="4">
        <v>7210.7577199999987</v>
      </c>
      <c r="H431" s="4">
        <v>7674.4797199999994</v>
      </c>
      <c r="I431" s="46">
        <v>8138.20172</v>
      </c>
    </row>
    <row r="432" spans="1:9" ht="28.55" x14ac:dyDescent="0.25">
      <c r="A432" s="4"/>
      <c r="B432" s="4"/>
      <c r="C432" s="27" t="s">
        <v>216</v>
      </c>
      <c r="D432" s="4">
        <v>792.34</v>
      </c>
      <c r="E432" s="4">
        <v>855.47</v>
      </c>
      <c r="F432" s="4">
        <v>918.61</v>
      </c>
      <c r="G432" s="4">
        <v>981.74</v>
      </c>
      <c r="H432" s="4">
        <v>1044.8800000000001</v>
      </c>
      <c r="I432" s="46">
        <v>1108.02</v>
      </c>
    </row>
    <row r="433" spans="1:9" x14ac:dyDescent="0.25">
      <c r="A433" s="4"/>
      <c r="B433" s="4"/>
      <c r="C433" s="27"/>
      <c r="D433" s="4">
        <v>6611.9317199999996</v>
      </c>
      <c r="E433" s="4">
        <v>7138.7837200000004</v>
      </c>
      <c r="F433" s="4">
        <v>7665.6457199999995</v>
      </c>
      <c r="G433" s="4">
        <v>8192.4977199999994</v>
      </c>
      <c r="H433" s="4">
        <v>8719.3597200000004</v>
      </c>
      <c r="I433" s="46">
        <v>9246.2217199999996</v>
      </c>
    </row>
    <row r="434" spans="1:9" x14ac:dyDescent="0.25">
      <c r="A434" s="4"/>
      <c r="B434" s="4"/>
      <c r="C434" s="27" t="s">
        <v>332</v>
      </c>
      <c r="D434" s="4">
        <v>661.193172</v>
      </c>
      <c r="E434" s="4">
        <v>713.87837200000001</v>
      </c>
      <c r="F434" s="4">
        <v>766.564572</v>
      </c>
      <c r="G434" s="4">
        <v>819.24977199999989</v>
      </c>
      <c r="H434" s="4">
        <v>871.93597199999999</v>
      </c>
      <c r="I434" s="46">
        <v>924.62217199999998</v>
      </c>
    </row>
    <row r="435" spans="1:9" x14ac:dyDescent="0.25">
      <c r="A435" s="4"/>
      <c r="B435" s="4"/>
      <c r="C435" s="10" t="s">
        <v>298</v>
      </c>
      <c r="D435" s="4">
        <v>661</v>
      </c>
      <c r="E435" s="4">
        <v>714</v>
      </c>
      <c r="F435" s="4">
        <v>767</v>
      </c>
      <c r="G435" s="4">
        <v>819</v>
      </c>
      <c r="H435" s="4">
        <v>872</v>
      </c>
      <c r="I435" s="11">
        <v>925</v>
      </c>
    </row>
    <row r="436" spans="1:9" x14ac:dyDescent="0.25">
      <c r="A436" s="4"/>
      <c r="B436" s="4"/>
      <c r="C436" s="10"/>
      <c r="D436" s="10"/>
      <c r="E436" s="10"/>
      <c r="F436" s="10"/>
      <c r="G436" s="10"/>
      <c r="H436" s="10"/>
      <c r="I436" s="46"/>
    </row>
    <row r="437" spans="1:9" ht="113.45" customHeight="1" x14ac:dyDescent="0.25">
      <c r="A437" s="4">
        <v>30</v>
      </c>
      <c r="B437" s="4"/>
      <c r="C437" s="139" t="s">
        <v>472</v>
      </c>
      <c r="D437" s="140"/>
      <c r="E437" s="140"/>
      <c r="F437" s="140"/>
      <c r="G437" s="140"/>
      <c r="H437" s="140"/>
      <c r="I437" s="141"/>
    </row>
    <row r="438" spans="1:9" x14ac:dyDescent="0.25">
      <c r="A438" s="4"/>
      <c r="B438" s="4"/>
      <c r="C438" s="10" t="s">
        <v>466</v>
      </c>
      <c r="D438" s="10"/>
      <c r="E438" s="10"/>
      <c r="F438" s="10"/>
      <c r="G438" s="10"/>
      <c r="H438" s="10"/>
      <c r="I438" s="46"/>
    </row>
    <row r="439" spans="1:9" x14ac:dyDescent="0.25">
      <c r="A439" s="4"/>
      <c r="B439" s="4"/>
      <c r="C439" s="10" t="s">
        <v>443</v>
      </c>
      <c r="D439" s="10"/>
      <c r="E439" s="10"/>
      <c r="F439" s="10"/>
      <c r="G439" s="10"/>
      <c r="H439" s="10"/>
      <c r="I439" s="46"/>
    </row>
    <row r="440" spans="1:9" x14ac:dyDescent="0.25">
      <c r="A440" s="4"/>
      <c r="B440" s="4"/>
      <c r="C440" s="10" t="s">
        <v>444</v>
      </c>
      <c r="D440" s="10"/>
      <c r="E440" s="10"/>
      <c r="F440" s="10"/>
      <c r="G440" s="10"/>
      <c r="H440" s="10"/>
      <c r="I440" s="46"/>
    </row>
    <row r="441" spans="1:9" x14ac:dyDescent="0.25">
      <c r="A441" s="4"/>
      <c r="B441" s="4"/>
      <c r="C441" s="10" t="s">
        <v>467</v>
      </c>
      <c r="D441" s="10"/>
      <c r="E441" s="10"/>
      <c r="F441" s="10"/>
      <c r="G441" s="10"/>
      <c r="H441" s="10"/>
      <c r="I441" s="46"/>
    </row>
    <row r="442" spans="1:9" x14ac:dyDescent="0.25">
      <c r="A442" s="4"/>
      <c r="B442" s="4"/>
      <c r="C442" s="10" t="s">
        <v>445</v>
      </c>
      <c r="D442" s="4">
        <v>43.2</v>
      </c>
      <c r="E442" s="4" t="s">
        <v>240</v>
      </c>
      <c r="F442" s="4">
        <v>5000</v>
      </c>
      <c r="G442" s="4">
        <v>1000</v>
      </c>
      <c r="H442" s="4" t="s">
        <v>240</v>
      </c>
      <c r="I442" s="46">
        <v>216</v>
      </c>
    </row>
    <row r="443" spans="1:9" x14ac:dyDescent="0.25">
      <c r="A443" s="4"/>
      <c r="B443" s="4"/>
      <c r="C443" s="10" t="s">
        <v>446</v>
      </c>
      <c r="D443" s="4">
        <v>0.18</v>
      </c>
      <c r="E443" s="4" t="s">
        <v>201</v>
      </c>
      <c r="F443" s="4">
        <v>2531.1999999999998</v>
      </c>
      <c r="G443" s="4">
        <v>1</v>
      </c>
      <c r="H443" s="4" t="s">
        <v>201</v>
      </c>
      <c r="I443" s="46">
        <v>455.61599999999993</v>
      </c>
    </row>
    <row r="444" spans="1:9" x14ac:dyDescent="0.25">
      <c r="A444" s="4"/>
      <c r="B444" s="4"/>
      <c r="C444" s="10" t="s">
        <v>468</v>
      </c>
      <c r="D444" s="10"/>
      <c r="E444" s="10"/>
      <c r="F444" s="10"/>
      <c r="G444" s="10"/>
      <c r="H444" s="10"/>
      <c r="I444" s="46"/>
    </row>
    <row r="445" spans="1:9" x14ac:dyDescent="0.25">
      <c r="A445" s="4"/>
      <c r="B445" s="4"/>
      <c r="C445" s="10" t="s">
        <v>445</v>
      </c>
      <c r="D445" s="13">
        <v>14.4</v>
      </c>
      <c r="E445" s="13" t="s">
        <v>240</v>
      </c>
      <c r="F445" s="13">
        <v>5000</v>
      </c>
      <c r="G445" s="13">
        <v>1000</v>
      </c>
      <c r="H445" s="13" t="s">
        <v>240</v>
      </c>
      <c r="I445" s="46">
        <v>72</v>
      </c>
    </row>
    <row r="446" spans="1:9" x14ac:dyDescent="0.25">
      <c r="A446" s="4"/>
      <c r="B446" s="4"/>
      <c r="C446" s="10" t="s">
        <v>446</v>
      </c>
      <c r="D446" s="13">
        <v>0.04</v>
      </c>
      <c r="E446" s="13" t="s">
        <v>201</v>
      </c>
      <c r="F446" s="13">
        <v>2531.1999999999998</v>
      </c>
      <c r="G446" s="13">
        <v>1</v>
      </c>
      <c r="H446" s="13" t="s">
        <v>201</v>
      </c>
      <c r="I446" s="46">
        <v>101.24799999999999</v>
      </c>
    </row>
    <row r="447" spans="1:9" x14ac:dyDescent="0.25">
      <c r="A447" s="4"/>
      <c r="B447" s="4"/>
      <c r="C447" s="10" t="s">
        <v>448</v>
      </c>
      <c r="D447" s="10"/>
      <c r="E447" s="10"/>
      <c r="F447" s="10"/>
      <c r="G447" s="10"/>
      <c r="H447" s="10"/>
      <c r="I447" s="46"/>
    </row>
    <row r="448" spans="1:9" x14ac:dyDescent="0.25">
      <c r="A448" s="4"/>
      <c r="B448" s="4"/>
      <c r="C448" s="10" t="s">
        <v>449</v>
      </c>
      <c r="D448" s="13">
        <v>0.63</v>
      </c>
      <c r="E448" s="13" t="s">
        <v>211</v>
      </c>
      <c r="F448" s="13">
        <v>610</v>
      </c>
      <c r="G448" s="13">
        <v>1</v>
      </c>
      <c r="H448" s="13" t="s">
        <v>209</v>
      </c>
      <c r="I448" s="46">
        <v>384.3</v>
      </c>
    </row>
    <row r="449" spans="1:9" x14ac:dyDescent="0.25">
      <c r="A449" s="4"/>
      <c r="B449" s="4"/>
      <c r="C449" s="10" t="s">
        <v>450</v>
      </c>
      <c r="D449" s="13">
        <v>1.47</v>
      </c>
      <c r="E449" s="13" t="s">
        <v>211</v>
      </c>
      <c r="F449" s="13">
        <v>580</v>
      </c>
      <c r="G449" s="13">
        <v>1</v>
      </c>
      <c r="H449" s="13" t="s">
        <v>209</v>
      </c>
      <c r="I449" s="46">
        <v>852.6</v>
      </c>
    </row>
    <row r="450" spans="1:9" x14ac:dyDescent="0.25">
      <c r="A450" s="4"/>
      <c r="B450" s="4"/>
      <c r="C450" s="10" t="s">
        <v>451</v>
      </c>
      <c r="D450" s="13">
        <v>3.9</v>
      </c>
      <c r="E450" s="13" t="s">
        <v>211</v>
      </c>
      <c r="F450" s="13">
        <v>545</v>
      </c>
      <c r="G450" s="13">
        <v>1</v>
      </c>
      <c r="H450" s="13" t="s">
        <v>209</v>
      </c>
      <c r="I450" s="46">
        <v>2125.5</v>
      </c>
    </row>
    <row r="451" spans="1:9" x14ac:dyDescent="0.25">
      <c r="A451" s="4"/>
      <c r="B451" s="4"/>
      <c r="C451" s="10" t="s">
        <v>255</v>
      </c>
      <c r="D451" s="13">
        <v>0.4</v>
      </c>
      <c r="E451" s="13"/>
      <c r="F451" s="13">
        <v>3362.4</v>
      </c>
      <c r="G451" s="13"/>
      <c r="H451" s="13"/>
      <c r="I451" s="46">
        <v>1344.96</v>
      </c>
    </row>
    <row r="452" spans="1:9" x14ac:dyDescent="0.25">
      <c r="A452" s="4"/>
      <c r="B452" s="4"/>
      <c r="C452" s="10" t="s">
        <v>452</v>
      </c>
      <c r="D452" s="13">
        <v>0.01</v>
      </c>
      <c r="E452" s="13"/>
      <c r="F452" s="13">
        <v>5552.2240000000002</v>
      </c>
      <c r="G452" s="13"/>
      <c r="H452" s="13"/>
      <c r="I452" s="46">
        <v>55.522240000000004</v>
      </c>
    </row>
    <row r="453" spans="1:9" x14ac:dyDescent="0.25">
      <c r="A453" s="4"/>
      <c r="B453" s="4"/>
      <c r="C453" s="10" t="s">
        <v>331</v>
      </c>
      <c r="D453" s="10"/>
      <c r="E453" s="10"/>
      <c r="F453" s="10"/>
      <c r="G453" s="10"/>
      <c r="H453" s="10"/>
      <c r="I453" s="46">
        <v>5607.7462400000004</v>
      </c>
    </row>
    <row r="454" spans="1:9" x14ac:dyDescent="0.25">
      <c r="A454" s="4"/>
      <c r="B454" s="4"/>
      <c r="C454" s="10" t="s">
        <v>332</v>
      </c>
      <c r="D454" s="10"/>
      <c r="E454" s="10"/>
      <c r="F454" s="10"/>
      <c r="G454" s="10"/>
      <c r="H454" s="10"/>
      <c r="I454" s="46">
        <v>560.77</v>
      </c>
    </row>
    <row r="455" spans="1:9" x14ac:dyDescent="0.25">
      <c r="A455" s="4"/>
      <c r="B455" s="4"/>
      <c r="C455" s="10"/>
      <c r="D455" s="10"/>
      <c r="E455" s="10"/>
      <c r="F455" s="10"/>
      <c r="G455" s="10"/>
      <c r="H455" s="10"/>
      <c r="I455" s="46"/>
    </row>
    <row r="456" spans="1:9" x14ac:dyDescent="0.25">
      <c r="A456" s="4"/>
      <c r="B456" s="4"/>
      <c r="C456" s="10" t="s">
        <v>469</v>
      </c>
      <c r="D456" s="10"/>
      <c r="E456" s="10"/>
      <c r="F456" s="10"/>
      <c r="G456" s="10"/>
      <c r="H456" s="10"/>
      <c r="I456" s="46"/>
    </row>
    <row r="457" spans="1:9" x14ac:dyDescent="0.25">
      <c r="A457" s="4"/>
      <c r="B457" s="4"/>
      <c r="C457" s="10" t="s">
        <v>321</v>
      </c>
      <c r="D457" s="69" t="s">
        <v>322</v>
      </c>
      <c r="E457" s="69" t="s">
        <v>323</v>
      </c>
      <c r="F457" s="69" t="s">
        <v>324</v>
      </c>
      <c r="G457" s="69" t="s">
        <v>325</v>
      </c>
      <c r="H457" s="69" t="s">
        <v>326</v>
      </c>
      <c r="I457" s="9" t="s">
        <v>327</v>
      </c>
    </row>
    <row r="458" spans="1:9" x14ac:dyDescent="0.25">
      <c r="A458" s="4"/>
      <c r="B458" s="4"/>
      <c r="C458" s="27" t="s">
        <v>328</v>
      </c>
      <c r="D458" s="3">
        <v>560.77</v>
      </c>
      <c r="E458" s="3">
        <v>560.77</v>
      </c>
      <c r="F458" s="3">
        <v>560.77</v>
      </c>
      <c r="G458" s="3">
        <v>560.77</v>
      </c>
      <c r="H458" s="3">
        <v>560.77</v>
      </c>
      <c r="I458" s="63">
        <v>560.77</v>
      </c>
    </row>
    <row r="459" spans="1:9" ht="28.55" x14ac:dyDescent="0.25">
      <c r="A459" s="4"/>
      <c r="B459" s="4"/>
      <c r="C459" s="27" t="s">
        <v>470</v>
      </c>
      <c r="D459" s="3">
        <v>1.22</v>
      </c>
      <c r="E459" s="3">
        <v>1.22</v>
      </c>
      <c r="F459" s="3">
        <v>1.22</v>
      </c>
      <c r="G459" s="3">
        <v>1.22</v>
      </c>
      <c r="H459" s="3">
        <v>1.22</v>
      </c>
      <c r="I459" s="63">
        <v>1.22</v>
      </c>
    </row>
    <row r="460" spans="1:9" ht="28.55" x14ac:dyDescent="0.25">
      <c r="A460" s="4"/>
      <c r="B460" s="4"/>
      <c r="C460" s="27" t="s">
        <v>471</v>
      </c>
      <c r="D460" s="3">
        <v>9.89</v>
      </c>
      <c r="E460" s="3">
        <v>14.23</v>
      </c>
      <c r="F460" s="3">
        <v>18.57</v>
      </c>
      <c r="G460" s="3">
        <v>22.91</v>
      </c>
      <c r="H460" s="3">
        <v>27.25</v>
      </c>
      <c r="I460" s="63">
        <v>31.58</v>
      </c>
    </row>
    <row r="461" spans="1:9" x14ac:dyDescent="0.25">
      <c r="A461" s="4"/>
      <c r="B461" s="4"/>
      <c r="C461" s="27" t="s">
        <v>255</v>
      </c>
      <c r="D461" s="3">
        <v>3.96</v>
      </c>
      <c r="E461" s="3">
        <v>5.69</v>
      </c>
      <c r="F461" s="3">
        <v>7.43</v>
      </c>
      <c r="G461" s="3">
        <v>9.16</v>
      </c>
      <c r="H461" s="3">
        <v>10.9</v>
      </c>
      <c r="I461" s="63">
        <v>12.63</v>
      </c>
    </row>
    <row r="462" spans="1:9" ht="28.55" x14ac:dyDescent="0.25">
      <c r="A462" s="4"/>
      <c r="B462" s="4"/>
      <c r="C462" s="27" t="s">
        <v>329</v>
      </c>
      <c r="D462" s="3">
        <v>0</v>
      </c>
      <c r="E462" s="3">
        <v>33.619999999999997</v>
      </c>
      <c r="F462" s="3">
        <v>67.25</v>
      </c>
      <c r="G462" s="3">
        <v>100.87</v>
      </c>
      <c r="H462" s="3">
        <v>134.5</v>
      </c>
      <c r="I462" s="63">
        <v>168.12</v>
      </c>
    </row>
    <row r="463" spans="1:9" x14ac:dyDescent="0.25">
      <c r="A463" s="4"/>
      <c r="B463" s="4"/>
      <c r="C463" s="27" t="s">
        <v>255</v>
      </c>
      <c r="D463" s="3">
        <v>0</v>
      </c>
      <c r="E463" s="3">
        <v>13.448</v>
      </c>
      <c r="F463" s="3">
        <v>26.900000000000002</v>
      </c>
      <c r="G463" s="3">
        <v>40.348000000000006</v>
      </c>
      <c r="H463" s="3">
        <v>53.800000000000004</v>
      </c>
      <c r="I463" s="63">
        <v>67.248000000000005</v>
      </c>
    </row>
    <row r="464" spans="1:9" x14ac:dyDescent="0.25">
      <c r="A464" s="4"/>
      <c r="B464" s="4"/>
      <c r="C464" s="27"/>
      <c r="D464" s="3">
        <v>575.84</v>
      </c>
      <c r="E464" s="3">
        <v>628.97800000000007</v>
      </c>
      <c r="F464" s="3">
        <v>682.14</v>
      </c>
      <c r="G464" s="3">
        <v>735.27799999999991</v>
      </c>
      <c r="H464" s="3">
        <v>788.43999999999994</v>
      </c>
      <c r="I464" s="63">
        <v>841.5680000000001</v>
      </c>
    </row>
    <row r="465" spans="1:9" ht="28.55" x14ac:dyDescent="0.25">
      <c r="A465" s="4"/>
      <c r="B465" s="4"/>
      <c r="C465" s="27" t="s">
        <v>216</v>
      </c>
      <c r="D465" s="3">
        <v>78.400000000000006</v>
      </c>
      <c r="E465" s="3">
        <v>85.64</v>
      </c>
      <c r="F465" s="3">
        <v>92.87</v>
      </c>
      <c r="G465" s="3">
        <v>100.11</v>
      </c>
      <c r="H465" s="3">
        <v>107.35</v>
      </c>
      <c r="I465" s="63">
        <v>114.58</v>
      </c>
    </row>
    <row r="466" spans="1:9" x14ac:dyDescent="0.25">
      <c r="A466" s="4"/>
      <c r="B466" s="4"/>
      <c r="C466" s="27" t="s">
        <v>332</v>
      </c>
      <c r="D466" s="3">
        <v>654.24</v>
      </c>
      <c r="E466" s="3">
        <v>714.61800000000005</v>
      </c>
      <c r="F466" s="3">
        <v>775.01</v>
      </c>
      <c r="G466" s="3">
        <v>835.38799999999992</v>
      </c>
      <c r="H466" s="3">
        <v>895.79</v>
      </c>
      <c r="I466" s="63">
        <v>956.14800000000014</v>
      </c>
    </row>
    <row r="467" spans="1:9" x14ac:dyDescent="0.25">
      <c r="A467" s="4"/>
      <c r="B467" s="4"/>
      <c r="C467" s="10" t="s">
        <v>298</v>
      </c>
      <c r="D467" s="3">
        <v>654</v>
      </c>
      <c r="E467" s="3">
        <v>715</v>
      </c>
      <c r="F467" s="3">
        <v>775</v>
      </c>
      <c r="G467" s="3">
        <v>835</v>
      </c>
      <c r="H467" s="3">
        <v>896</v>
      </c>
      <c r="I467" s="66">
        <v>956</v>
      </c>
    </row>
    <row r="468" spans="1:9" x14ac:dyDescent="0.25">
      <c r="A468" s="4"/>
      <c r="B468" s="4"/>
      <c r="C468" s="10"/>
      <c r="D468" s="10"/>
      <c r="E468" s="10"/>
      <c r="F468" s="10"/>
      <c r="G468" s="10"/>
      <c r="H468" s="10"/>
      <c r="I468" s="46"/>
    </row>
    <row r="469" spans="1:9" ht="117.55" customHeight="1" x14ac:dyDescent="0.25">
      <c r="A469" s="4">
        <v>28</v>
      </c>
      <c r="B469" s="4"/>
      <c r="C469" s="139" t="s">
        <v>477</v>
      </c>
      <c r="D469" s="140"/>
      <c r="E469" s="140"/>
      <c r="F469" s="140"/>
      <c r="G469" s="140"/>
      <c r="H469" s="140"/>
      <c r="I469" s="141"/>
    </row>
    <row r="470" spans="1:9" x14ac:dyDescent="0.25">
      <c r="A470" s="4"/>
      <c r="B470" s="4"/>
      <c r="C470" s="10" t="s">
        <v>473</v>
      </c>
      <c r="D470" s="10"/>
      <c r="E470" s="10"/>
      <c r="F470" s="10"/>
      <c r="G470" s="10"/>
      <c r="H470" s="10"/>
      <c r="I470" s="46"/>
    </row>
    <row r="471" spans="1:9" x14ac:dyDescent="0.25">
      <c r="A471" s="4"/>
      <c r="B471" s="4"/>
      <c r="C471" s="10" t="s">
        <v>443</v>
      </c>
      <c r="D471" s="10"/>
      <c r="E471" s="10"/>
      <c r="F471" s="10"/>
      <c r="G471" s="10"/>
      <c r="H471" s="10"/>
      <c r="I471" s="46"/>
    </row>
    <row r="472" spans="1:9" x14ac:dyDescent="0.25">
      <c r="A472" s="4"/>
      <c r="B472" s="4"/>
      <c r="C472" s="10" t="s">
        <v>444</v>
      </c>
      <c r="D472" s="10"/>
      <c r="E472" s="10"/>
      <c r="F472" s="10"/>
      <c r="G472" s="10"/>
      <c r="H472" s="10"/>
      <c r="I472" s="46"/>
    </row>
    <row r="473" spans="1:9" x14ac:dyDescent="0.25">
      <c r="A473" s="4"/>
      <c r="B473" s="4"/>
      <c r="C473" s="10" t="s">
        <v>474</v>
      </c>
      <c r="D473" s="10"/>
      <c r="E473" s="10"/>
      <c r="F473" s="10"/>
      <c r="G473" s="10"/>
      <c r="H473" s="10"/>
      <c r="I473" s="46"/>
    </row>
    <row r="474" spans="1:9" x14ac:dyDescent="0.25">
      <c r="A474" s="4"/>
      <c r="B474" s="4"/>
      <c r="C474" s="10" t="s">
        <v>445</v>
      </c>
      <c r="D474" s="13">
        <v>26.4</v>
      </c>
      <c r="E474" s="13" t="s">
        <v>240</v>
      </c>
      <c r="F474" s="13">
        <v>5000</v>
      </c>
      <c r="G474" s="13">
        <v>1000</v>
      </c>
      <c r="H474" s="13" t="s">
        <v>240</v>
      </c>
      <c r="I474" s="46">
        <v>132</v>
      </c>
    </row>
    <row r="475" spans="1:9" x14ac:dyDescent="0.25">
      <c r="A475" s="4"/>
      <c r="B475" s="4"/>
      <c r="C475" s="10" t="s">
        <v>446</v>
      </c>
      <c r="D475" s="13">
        <v>0.11</v>
      </c>
      <c r="E475" s="13" t="s">
        <v>201</v>
      </c>
      <c r="F475" s="13">
        <v>2531.1999999999998</v>
      </c>
      <c r="G475" s="13">
        <v>1</v>
      </c>
      <c r="H475" s="13" t="s">
        <v>201</v>
      </c>
      <c r="I475" s="46">
        <v>278.43199999999996</v>
      </c>
    </row>
    <row r="476" spans="1:9" x14ac:dyDescent="0.25">
      <c r="A476" s="4"/>
      <c r="B476" s="4"/>
      <c r="C476" s="10" t="s">
        <v>475</v>
      </c>
      <c r="D476" s="10"/>
      <c r="E476" s="10"/>
      <c r="F476" s="10"/>
      <c r="G476" s="10"/>
      <c r="H476" s="10"/>
      <c r="I476" s="46"/>
    </row>
    <row r="477" spans="1:9" x14ac:dyDescent="0.25">
      <c r="A477" s="4"/>
      <c r="B477" s="4"/>
      <c r="C477" s="10" t="s">
        <v>445</v>
      </c>
      <c r="D477" s="13">
        <v>14.4</v>
      </c>
      <c r="E477" s="13" t="s">
        <v>240</v>
      </c>
      <c r="F477" s="13">
        <v>5000</v>
      </c>
      <c r="G477" s="13">
        <v>1000</v>
      </c>
      <c r="H477" s="13" t="s">
        <v>240</v>
      </c>
      <c r="I477" s="46">
        <v>72</v>
      </c>
    </row>
    <row r="478" spans="1:9" x14ac:dyDescent="0.25">
      <c r="A478" s="4"/>
      <c r="B478" s="4"/>
      <c r="C478" s="10" t="s">
        <v>446</v>
      </c>
      <c r="D478" s="13">
        <v>0.04</v>
      </c>
      <c r="E478" s="13" t="s">
        <v>201</v>
      </c>
      <c r="F478" s="13">
        <v>2531.1999999999998</v>
      </c>
      <c r="G478" s="13">
        <v>1</v>
      </c>
      <c r="H478" s="13" t="s">
        <v>201</v>
      </c>
      <c r="I478" s="46">
        <v>101.24799999999999</v>
      </c>
    </row>
    <row r="479" spans="1:9" x14ac:dyDescent="0.25">
      <c r="A479" s="4"/>
      <c r="B479" s="4"/>
      <c r="C479" s="10" t="s">
        <v>448</v>
      </c>
      <c r="D479" s="10"/>
      <c r="E479" s="10"/>
      <c r="F479" s="10"/>
      <c r="G479" s="10"/>
      <c r="H479" s="10"/>
      <c r="I479" s="46"/>
    </row>
    <row r="480" spans="1:9" x14ac:dyDescent="0.25">
      <c r="A480" s="4"/>
      <c r="B480" s="4"/>
      <c r="C480" s="10" t="s">
        <v>449</v>
      </c>
      <c r="D480" s="10">
        <v>0.63</v>
      </c>
      <c r="E480" s="10" t="s">
        <v>211</v>
      </c>
      <c r="F480" s="10">
        <v>610</v>
      </c>
      <c r="G480" s="10">
        <v>1</v>
      </c>
      <c r="H480" s="10" t="s">
        <v>209</v>
      </c>
      <c r="I480" s="46">
        <v>384.3</v>
      </c>
    </row>
    <row r="481" spans="1:9" x14ac:dyDescent="0.25">
      <c r="A481" s="4"/>
      <c r="B481" s="4"/>
      <c r="C481" s="10" t="s">
        <v>450</v>
      </c>
      <c r="D481" s="10">
        <v>1.47</v>
      </c>
      <c r="E481" s="10" t="s">
        <v>211</v>
      </c>
      <c r="F481" s="10">
        <v>580</v>
      </c>
      <c r="G481" s="10">
        <v>1</v>
      </c>
      <c r="H481" s="10" t="s">
        <v>209</v>
      </c>
      <c r="I481" s="46">
        <v>852.6</v>
      </c>
    </row>
    <row r="482" spans="1:9" x14ac:dyDescent="0.25">
      <c r="A482" s="4"/>
      <c r="B482" s="4"/>
      <c r="C482" s="10" t="s">
        <v>451</v>
      </c>
      <c r="D482" s="10">
        <v>3.9</v>
      </c>
      <c r="E482" s="10" t="s">
        <v>211</v>
      </c>
      <c r="F482" s="10">
        <v>545</v>
      </c>
      <c r="G482" s="10">
        <v>1</v>
      </c>
      <c r="H482" s="10" t="s">
        <v>209</v>
      </c>
      <c r="I482" s="46">
        <v>2125.5</v>
      </c>
    </row>
    <row r="483" spans="1:9" x14ac:dyDescent="0.25">
      <c r="A483" s="4"/>
      <c r="B483" s="4"/>
      <c r="C483" s="10" t="s">
        <v>255</v>
      </c>
      <c r="D483" s="10">
        <v>0.4</v>
      </c>
      <c r="E483" s="10"/>
      <c r="F483" s="10">
        <v>3362.4</v>
      </c>
      <c r="G483" s="10"/>
      <c r="H483" s="10"/>
      <c r="I483" s="46">
        <v>1344.96</v>
      </c>
    </row>
    <row r="484" spans="1:9" x14ac:dyDescent="0.25">
      <c r="A484" s="4"/>
      <c r="B484" s="4"/>
      <c r="C484" s="10" t="s">
        <v>452</v>
      </c>
      <c r="D484" s="10">
        <v>0.01</v>
      </c>
      <c r="E484" s="10"/>
      <c r="F484" s="10">
        <v>5291.04</v>
      </c>
      <c r="G484" s="10"/>
      <c r="H484" s="10"/>
      <c r="I484" s="46">
        <v>52.910400000000003</v>
      </c>
    </row>
    <row r="485" spans="1:9" x14ac:dyDescent="0.25">
      <c r="A485" s="4"/>
      <c r="B485" s="4"/>
      <c r="C485" s="10" t="s">
        <v>331</v>
      </c>
      <c r="D485" s="10"/>
      <c r="E485" s="10"/>
      <c r="F485" s="10"/>
      <c r="G485" s="10"/>
      <c r="H485" s="10"/>
      <c r="I485" s="46">
        <v>5343.9503999999997</v>
      </c>
    </row>
    <row r="486" spans="1:9" x14ac:dyDescent="0.25">
      <c r="A486" s="4"/>
      <c r="B486" s="4"/>
      <c r="C486" s="10" t="s">
        <v>332</v>
      </c>
      <c r="D486" s="10"/>
      <c r="E486" s="10"/>
      <c r="F486" s="10"/>
      <c r="G486" s="10"/>
      <c r="H486" s="10"/>
      <c r="I486" s="46">
        <v>534.4</v>
      </c>
    </row>
    <row r="487" spans="1:9" x14ac:dyDescent="0.25">
      <c r="A487" s="4"/>
      <c r="B487" s="4"/>
      <c r="C487" s="10"/>
      <c r="D487" s="10"/>
      <c r="E487" s="10"/>
      <c r="F487" s="10"/>
      <c r="G487" s="10"/>
      <c r="H487" s="10"/>
      <c r="I487" s="46"/>
    </row>
    <row r="488" spans="1:9" x14ac:dyDescent="0.25">
      <c r="A488" s="4"/>
      <c r="B488" s="4"/>
      <c r="C488" s="10" t="s">
        <v>469</v>
      </c>
      <c r="D488" s="10"/>
      <c r="E488" s="10"/>
      <c r="F488" s="10"/>
      <c r="G488" s="10"/>
      <c r="H488" s="10"/>
      <c r="I488" s="46"/>
    </row>
    <row r="489" spans="1:9" x14ac:dyDescent="0.25">
      <c r="A489" s="4"/>
      <c r="B489" s="4"/>
      <c r="C489" s="27" t="s">
        <v>321</v>
      </c>
      <c r="D489" s="69" t="s">
        <v>322</v>
      </c>
      <c r="E489" s="69" t="s">
        <v>323</v>
      </c>
      <c r="F489" s="69" t="s">
        <v>324</v>
      </c>
      <c r="G489" s="69" t="s">
        <v>325</v>
      </c>
      <c r="H489" s="69" t="s">
        <v>326</v>
      </c>
      <c r="I489" s="9" t="s">
        <v>327</v>
      </c>
    </row>
    <row r="490" spans="1:9" x14ac:dyDescent="0.25">
      <c r="A490" s="4"/>
      <c r="B490" s="4"/>
      <c r="C490" s="27" t="s">
        <v>328</v>
      </c>
      <c r="D490" s="3">
        <v>534.4</v>
      </c>
      <c r="E490" s="3">
        <v>534.4</v>
      </c>
      <c r="F490" s="3">
        <v>534.4</v>
      </c>
      <c r="G490" s="3">
        <v>534.4</v>
      </c>
      <c r="H490" s="3">
        <v>534.4</v>
      </c>
      <c r="I490" s="63">
        <v>534.4</v>
      </c>
    </row>
    <row r="491" spans="1:9" ht="28.55" x14ac:dyDescent="0.25">
      <c r="A491" s="4"/>
      <c r="B491" s="4"/>
      <c r="C491" s="27" t="s">
        <v>470</v>
      </c>
      <c r="D491" s="3">
        <v>1.22</v>
      </c>
      <c r="E491" s="3">
        <v>1.22</v>
      </c>
      <c r="F491" s="3">
        <v>1.22</v>
      </c>
      <c r="G491" s="3">
        <v>1.22</v>
      </c>
      <c r="H491" s="3">
        <v>1.22</v>
      </c>
      <c r="I491" s="63">
        <v>1.22</v>
      </c>
    </row>
    <row r="492" spans="1:9" ht="28.55" x14ac:dyDescent="0.25">
      <c r="A492" s="4"/>
      <c r="B492" s="4"/>
      <c r="C492" s="27" t="s">
        <v>471</v>
      </c>
      <c r="D492" s="3">
        <v>9.89</v>
      </c>
      <c r="E492" s="3">
        <v>14.23</v>
      </c>
      <c r="F492" s="3">
        <v>18.57</v>
      </c>
      <c r="G492" s="3">
        <v>22.91</v>
      </c>
      <c r="H492" s="3">
        <v>27.25</v>
      </c>
      <c r="I492" s="63">
        <v>31.58</v>
      </c>
    </row>
    <row r="493" spans="1:9" x14ac:dyDescent="0.25">
      <c r="A493" s="4"/>
      <c r="B493" s="4"/>
      <c r="C493" s="27" t="s">
        <v>255</v>
      </c>
      <c r="D493" s="3">
        <v>3.96</v>
      </c>
      <c r="E493" s="3">
        <v>5.69</v>
      </c>
      <c r="F493" s="3">
        <v>7.43</v>
      </c>
      <c r="G493" s="3">
        <v>9.16</v>
      </c>
      <c r="H493" s="3">
        <v>10.9</v>
      </c>
      <c r="I493" s="63">
        <v>12.63</v>
      </c>
    </row>
    <row r="494" spans="1:9" ht="28.55" x14ac:dyDescent="0.25">
      <c r="A494" s="4"/>
      <c r="B494" s="4"/>
      <c r="C494" s="27" t="s">
        <v>476</v>
      </c>
      <c r="D494" s="3">
        <v>0</v>
      </c>
      <c r="E494" s="3">
        <v>33.619999999999997</v>
      </c>
      <c r="F494" s="3">
        <v>67.25</v>
      </c>
      <c r="G494" s="3">
        <v>100.87</v>
      </c>
      <c r="H494" s="3">
        <v>134.5</v>
      </c>
      <c r="I494" s="63">
        <v>168.12</v>
      </c>
    </row>
    <row r="495" spans="1:9" x14ac:dyDescent="0.25">
      <c r="A495" s="4"/>
      <c r="B495" s="4"/>
      <c r="C495" s="27" t="s">
        <v>255</v>
      </c>
      <c r="D495" s="3">
        <v>0</v>
      </c>
      <c r="E495" s="3">
        <v>13.448</v>
      </c>
      <c r="F495" s="3">
        <v>26.900000000000002</v>
      </c>
      <c r="G495" s="3">
        <v>40.348000000000006</v>
      </c>
      <c r="H495" s="3">
        <v>53.800000000000004</v>
      </c>
      <c r="I495" s="63">
        <v>67.248000000000005</v>
      </c>
    </row>
    <row r="496" spans="1:9" x14ac:dyDescent="0.25">
      <c r="A496" s="4"/>
      <c r="B496" s="4"/>
      <c r="C496" s="27" t="s">
        <v>332</v>
      </c>
      <c r="D496" s="3">
        <v>549.47</v>
      </c>
      <c r="E496" s="3">
        <v>602.60800000000006</v>
      </c>
      <c r="F496" s="3">
        <v>655.77</v>
      </c>
      <c r="G496" s="3">
        <v>708.9079999999999</v>
      </c>
      <c r="H496" s="3">
        <v>762.06999999999994</v>
      </c>
      <c r="I496" s="63">
        <v>815.19800000000009</v>
      </c>
    </row>
    <row r="497" spans="1:10" ht="28.55" x14ac:dyDescent="0.25">
      <c r="A497" s="4"/>
      <c r="B497" s="4"/>
      <c r="C497" s="27" t="s">
        <v>216</v>
      </c>
      <c r="D497" s="3">
        <v>74.81</v>
      </c>
      <c r="E497" s="3">
        <v>82.05</v>
      </c>
      <c r="F497" s="3">
        <v>89.28</v>
      </c>
      <c r="G497" s="3">
        <v>96.52</v>
      </c>
      <c r="H497" s="3">
        <v>103.76</v>
      </c>
      <c r="I497" s="63">
        <v>110.99</v>
      </c>
    </row>
    <row r="498" spans="1:10" x14ac:dyDescent="0.25">
      <c r="A498" s="4"/>
      <c r="B498" s="4"/>
      <c r="C498" s="10"/>
      <c r="D498" s="3">
        <v>624.28</v>
      </c>
      <c r="E498" s="3">
        <v>684.65800000000002</v>
      </c>
      <c r="F498" s="3">
        <v>745.05</v>
      </c>
      <c r="G498" s="3">
        <v>805.42799999999988</v>
      </c>
      <c r="H498" s="3">
        <v>865.82999999999993</v>
      </c>
      <c r="I498" s="63">
        <v>926.1880000000001</v>
      </c>
    </row>
    <row r="499" spans="1:10" x14ac:dyDescent="0.25">
      <c r="A499" s="4"/>
      <c r="B499" s="4"/>
      <c r="C499" s="10" t="s">
        <v>298</v>
      </c>
      <c r="D499" s="3">
        <v>624</v>
      </c>
      <c r="E499" s="3">
        <v>685</v>
      </c>
      <c r="F499" s="3">
        <v>745</v>
      </c>
      <c r="G499" s="3">
        <v>805</v>
      </c>
      <c r="H499" s="3">
        <v>866</v>
      </c>
      <c r="I499" s="66">
        <v>926</v>
      </c>
    </row>
    <row r="500" spans="1:10" x14ac:dyDescent="0.25">
      <c r="A500" s="4"/>
      <c r="B500" s="4"/>
      <c r="C500" s="10"/>
      <c r="D500" s="10"/>
      <c r="E500" s="10"/>
      <c r="F500" s="10"/>
      <c r="G500" s="10"/>
      <c r="H500" s="10"/>
      <c r="I500" s="46"/>
    </row>
    <row r="501" spans="1:10" x14ac:dyDescent="0.25">
      <c r="J501" s="94"/>
    </row>
  </sheetData>
  <mergeCells count="24">
    <mergeCell ref="C437:I437"/>
    <mergeCell ref="C469:I469"/>
    <mergeCell ref="A1:I1"/>
    <mergeCell ref="C240:I240"/>
    <mergeCell ref="C267:I267"/>
    <mergeCell ref="C296:I296"/>
    <mergeCell ref="C310:I310"/>
    <mergeCell ref="C328:I328"/>
    <mergeCell ref="C384:I384"/>
    <mergeCell ref="C406:I406"/>
    <mergeCell ref="C412:I412"/>
    <mergeCell ref="C186:I186"/>
    <mergeCell ref="C2:I2"/>
    <mergeCell ref="C8:I8"/>
    <mergeCell ref="C19:I19"/>
    <mergeCell ref="C59:I59"/>
    <mergeCell ref="C347:I347"/>
    <mergeCell ref="C377:I377"/>
    <mergeCell ref="C212:I212"/>
    <mergeCell ref="C100:I100"/>
    <mergeCell ref="C141:I141"/>
    <mergeCell ref="C147:I147"/>
    <mergeCell ref="C153:I153"/>
    <mergeCell ref="C159:I159"/>
  </mergeCell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5"/>
  <sheetViews>
    <sheetView workbookViewId="0">
      <selection activeCell="K7" sqref="K7"/>
    </sheetView>
  </sheetViews>
  <sheetFormatPr defaultRowHeight="13.6" x14ac:dyDescent="0.2"/>
  <cols>
    <col min="1" max="1" width="4.875" style="35" bestFit="1" customWidth="1"/>
    <col min="2" max="2" width="40.625" style="35" customWidth="1"/>
    <col min="3" max="3" width="20.375" style="35" customWidth="1"/>
    <col min="4" max="16384" width="9" style="35"/>
  </cols>
  <sheetData>
    <row r="1" spans="1:3" ht="39.4" customHeight="1" x14ac:dyDescent="0.2">
      <c r="A1" s="149" t="s">
        <v>456</v>
      </c>
      <c r="B1" s="149"/>
      <c r="C1" s="149"/>
    </row>
    <row r="2" spans="1:3" ht="25.15" customHeight="1" x14ac:dyDescent="0.2">
      <c r="A2" s="40" t="s">
        <v>0</v>
      </c>
      <c r="B2" s="40" t="s">
        <v>156</v>
      </c>
      <c r="C2" s="40" t="s">
        <v>455</v>
      </c>
    </row>
    <row r="3" spans="1:3" ht="17" customHeight="1" x14ac:dyDescent="0.2">
      <c r="A3" s="38">
        <v>1</v>
      </c>
      <c r="B3" s="79" t="s">
        <v>167</v>
      </c>
      <c r="C3" s="56">
        <f>'Estimation-Civil'!K1064</f>
        <v>10849770</v>
      </c>
    </row>
    <row r="4" spans="1:3" ht="17" customHeight="1" x14ac:dyDescent="0.2">
      <c r="A4" s="38">
        <v>2</v>
      </c>
      <c r="B4" s="79" t="s">
        <v>459</v>
      </c>
      <c r="C4" s="56"/>
    </row>
    <row r="5" spans="1:3" ht="17" customHeight="1" x14ac:dyDescent="0.2">
      <c r="A5" s="38">
        <v>3</v>
      </c>
      <c r="B5" s="79" t="s">
        <v>457</v>
      </c>
      <c r="C5" s="56"/>
    </row>
    <row r="6" spans="1:3" ht="17" customHeight="1" x14ac:dyDescent="0.2">
      <c r="A6" s="38">
        <v>4</v>
      </c>
      <c r="B6" s="79" t="s">
        <v>458</v>
      </c>
      <c r="C6" s="56"/>
    </row>
    <row r="7" spans="1:3" ht="17" customHeight="1" x14ac:dyDescent="0.2">
      <c r="A7" s="38">
        <v>5</v>
      </c>
      <c r="B7" s="79" t="s">
        <v>461</v>
      </c>
      <c r="C7" s="56"/>
    </row>
    <row r="8" spans="1:3" ht="17" customHeight="1" x14ac:dyDescent="0.2">
      <c r="A8" s="38">
        <v>6</v>
      </c>
      <c r="B8" s="79" t="s">
        <v>462</v>
      </c>
      <c r="C8" s="56"/>
    </row>
    <row r="9" spans="1:3" ht="17" customHeight="1" x14ac:dyDescent="0.2">
      <c r="A9" s="38">
        <v>7</v>
      </c>
      <c r="B9" s="79" t="s">
        <v>460</v>
      </c>
      <c r="C9" s="56"/>
    </row>
    <row r="10" spans="1:3" ht="17" customHeight="1" x14ac:dyDescent="0.2">
      <c r="A10" s="38">
        <v>8</v>
      </c>
      <c r="B10" s="79" t="s">
        <v>463</v>
      </c>
      <c r="C10" s="56"/>
    </row>
    <row r="11" spans="1:3" ht="14.3" x14ac:dyDescent="0.25">
      <c r="A11" s="38"/>
      <c r="B11" s="80" t="s">
        <v>507</v>
      </c>
      <c r="C11" s="81">
        <f>SUM(C3:C10)</f>
        <v>10849770</v>
      </c>
    </row>
    <row r="12" spans="1:3" x14ac:dyDescent="0.2">
      <c r="A12" s="79"/>
      <c r="B12" s="79"/>
      <c r="C12" s="79"/>
    </row>
    <row r="13" spans="1:3" x14ac:dyDescent="0.2">
      <c r="A13" s="79"/>
      <c r="B13" s="79"/>
      <c r="C13" s="79"/>
    </row>
    <row r="14" spans="1:3" x14ac:dyDescent="0.2">
      <c r="A14" s="79"/>
      <c r="B14" s="79"/>
      <c r="C14" s="79"/>
    </row>
    <row r="15" spans="1:3" x14ac:dyDescent="0.2">
      <c r="A15" s="79"/>
      <c r="B15" s="79"/>
      <c r="C15" s="79"/>
    </row>
  </sheetData>
  <mergeCells count="1">
    <mergeCell ref="A1:C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7"/>
  <sheetViews>
    <sheetView workbookViewId="0">
      <selection activeCell="C20" sqref="C20"/>
    </sheetView>
  </sheetViews>
  <sheetFormatPr defaultRowHeight="14.3" x14ac:dyDescent="0.25"/>
  <cols>
    <col min="1" max="1" width="5.625" style="6" bestFit="1" customWidth="1"/>
    <col min="2" max="2" width="53.875" customWidth="1"/>
    <col min="3" max="4" width="16" style="26" customWidth="1"/>
    <col min="5" max="5" width="12.125" customWidth="1"/>
  </cols>
  <sheetData>
    <row r="1" spans="1:5" ht="15.8" customHeight="1" x14ac:dyDescent="0.25">
      <c r="A1" s="150" t="s">
        <v>0</v>
      </c>
      <c r="B1" s="150" t="s">
        <v>156</v>
      </c>
      <c r="C1" s="151" t="s">
        <v>163</v>
      </c>
      <c r="D1" s="151"/>
      <c r="E1" s="152" t="s">
        <v>164</v>
      </c>
    </row>
    <row r="2" spans="1:5" ht="19.05" customHeight="1" x14ac:dyDescent="0.25">
      <c r="A2" s="150"/>
      <c r="B2" s="150"/>
      <c r="C2" s="32" t="s">
        <v>157</v>
      </c>
      <c r="D2" s="32" t="s">
        <v>158</v>
      </c>
      <c r="E2" s="153"/>
    </row>
    <row r="3" spans="1:5" ht="120.25" customHeight="1" x14ac:dyDescent="0.25">
      <c r="A3" s="4">
        <v>1</v>
      </c>
      <c r="B3" s="30" t="s">
        <v>159</v>
      </c>
      <c r="C3" s="28">
        <v>305000</v>
      </c>
      <c r="D3" s="28">
        <v>629358</v>
      </c>
      <c r="E3" s="27"/>
    </row>
    <row r="4" spans="1:5" ht="28.55" x14ac:dyDescent="0.25">
      <c r="A4" s="4">
        <v>2</v>
      </c>
      <c r="B4" s="31" t="s">
        <v>161</v>
      </c>
      <c r="C4" s="28"/>
      <c r="D4" s="28">
        <v>25000</v>
      </c>
      <c r="E4" s="33" t="s">
        <v>165</v>
      </c>
    </row>
    <row r="5" spans="1:5" ht="34" customHeight="1" x14ac:dyDescent="0.25">
      <c r="A5" s="4">
        <v>3</v>
      </c>
      <c r="B5" s="30" t="s">
        <v>160</v>
      </c>
      <c r="C5" s="28">
        <v>20584</v>
      </c>
      <c r="D5" s="28"/>
      <c r="E5" s="33" t="s">
        <v>166</v>
      </c>
    </row>
    <row r="6" spans="1:5" ht="17.7" customHeight="1" x14ac:dyDescent="0.25">
      <c r="A6" s="4">
        <v>4</v>
      </c>
      <c r="B6" s="31" t="s">
        <v>162</v>
      </c>
      <c r="C6" s="29">
        <v>6764</v>
      </c>
      <c r="D6" s="29">
        <v>30000</v>
      </c>
      <c r="E6" s="27"/>
    </row>
    <row r="7" spans="1:5" ht="19.05" customHeight="1" x14ac:dyDescent="0.25">
      <c r="A7" s="4"/>
      <c r="B7" s="31"/>
      <c r="C7" s="32">
        <f>SUM(C3:C6)</f>
        <v>332348</v>
      </c>
      <c r="D7" s="32">
        <f>SUM(D3:D6)</f>
        <v>684358</v>
      </c>
      <c r="E7" s="27"/>
    </row>
  </sheetData>
  <mergeCells count="4">
    <mergeCell ref="B1:B2"/>
    <mergeCell ref="A1:A2"/>
    <mergeCell ref="C1:D1"/>
    <mergeCell ref="E1:E2"/>
  </mergeCells>
  <printOptions horizontalCentered="1"/>
  <pageMargins left="0.70866141732283472" right="0.70866141732283472" top="0.94488188976377963" bottom="0.74803149606299213" header="0.31496062992125984" footer="0.31496062992125984"/>
  <pageSetup paperSize="9"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F48"/>
  <sheetViews>
    <sheetView topLeftCell="A14" workbookViewId="0">
      <selection activeCell="M36" sqref="M36"/>
    </sheetView>
  </sheetViews>
  <sheetFormatPr defaultRowHeight="14.3" x14ac:dyDescent="0.25"/>
  <cols>
    <col min="2" max="2" width="29.625" bestFit="1" customWidth="1"/>
  </cols>
  <sheetData>
    <row r="3" spans="2:6" x14ac:dyDescent="0.25">
      <c r="B3" s="3" t="s">
        <v>5</v>
      </c>
      <c r="C3" s="13"/>
      <c r="D3" s="13"/>
      <c r="E3" s="99">
        <v>4.13</v>
      </c>
      <c r="F3" s="99">
        <v>7.61</v>
      </c>
    </row>
    <row r="4" spans="2:6" x14ac:dyDescent="0.25">
      <c r="B4" s="3" t="s">
        <v>44</v>
      </c>
      <c r="C4" s="13"/>
      <c r="D4" s="13"/>
      <c r="E4" s="99">
        <v>6.4</v>
      </c>
      <c r="F4" s="99">
        <v>6</v>
      </c>
    </row>
    <row r="5" spans="2:6" x14ac:dyDescent="0.25">
      <c r="B5" s="3" t="s">
        <v>25</v>
      </c>
      <c r="C5" s="13"/>
      <c r="D5" s="13"/>
      <c r="E5" s="99">
        <v>2.4</v>
      </c>
      <c r="F5" s="99">
        <v>3.72</v>
      </c>
    </row>
    <row r="6" spans="2:6" x14ac:dyDescent="0.25">
      <c r="B6" s="3" t="s">
        <v>112</v>
      </c>
      <c r="C6" s="13"/>
      <c r="D6" s="13"/>
      <c r="E6" s="99">
        <v>2.4</v>
      </c>
      <c r="F6" s="99">
        <v>2.4</v>
      </c>
    </row>
    <row r="7" spans="2:6" x14ac:dyDescent="0.25">
      <c r="B7" s="3" t="s">
        <v>6</v>
      </c>
      <c r="C7" s="13"/>
      <c r="D7" s="13"/>
      <c r="E7" s="99">
        <v>3.09</v>
      </c>
      <c r="F7" s="99">
        <v>7.61</v>
      </c>
    </row>
    <row r="8" spans="2:6" x14ac:dyDescent="0.25">
      <c r="B8" s="3" t="s">
        <v>7</v>
      </c>
      <c r="C8" s="13"/>
      <c r="D8" s="13"/>
      <c r="E8" s="99">
        <v>8.65</v>
      </c>
      <c r="F8" s="99">
        <v>7.61</v>
      </c>
    </row>
    <row r="9" spans="2:6" x14ac:dyDescent="0.25">
      <c r="B9" s="3" t="s">
        <v>118</v>
      </c>
      <c r="C9" s="13"/>
      <c r="D9" s="13"/>
      <c r="E9" s="99">
        <v>1.5</v>
      </c>
      <c r="F9" s="99">
        <v>1.8</v>
      </c>
    </row>
    <row r="10" spans="2:6" x14ac:dyDescent="0.25">
      <c r="B10" s="3" t="s">
        <v>8</v>
      </c>
      <c r="C10" s="13"/>
      <c r="D10" s="13"/>
      <c r="E10" s="99">
        <v>2.88</v>
      </c>
      <c r="F10" s="99">
        <v>5.52</v>
      </c>
    </row>
    <row r="11" spans="2:6" x14ac:dyDescent="0.25">
      <c r="B11" s="3" t="s">
        <v>12</v>
      </c>
      <c r="C11" s="13"/>
      <c r="D11" s="13"/>
      <c r="E11" s="99">
        <v>1.2</v>
      </c>
      <c r="F11" s="99">
        <v>1.5</v>
      </c>
    </row>
    <row r="12" spans="2:6" x14ac:dyDescent="0.25">
      <c r="B12" s="3" t="s">
        <v>9</v>
      </c>
      <c r="C12" s="13"/>
      <c r="D12" s="13"/>
      <c r="E12" s="99">
        <v>2.88</v>
      </c>
      <c r="F12" s="99">
        <v>5.52</v>
      </c>
    </row>
    <row r="13" spans="2:6" x14ac:dyDescent="0.25">
      <c r="B13" s="3" t="s">
        <v>13</v>
      </c>
      <c r="C13" s="13"/>
      <c r="D13" s="13"/>
      <c r="E13" s="99">
        <v>1.2</v>
      </c>
      <c r="F13" s="99">
        <v>1.5</v>
      </c>
    </row>
    <row r="14" spans="2:6" x14ac:dyDescent="0.25">
      <c r="B14" s="3" t="s">
        <v>10</v>
      </c>
      <c r="C14" s="13"/>
      <c r="D14" s="13"/>
      <c r="E14" s="99">
        <v>5.87</v>
      </c>
      <c r="F14" s="99">
        <v>4.5999999999999996</v>
      </c>
    </row>
    <row r="15" spans="2:6" x14ac:dyDescent="0.25">
      <c r="B15" s="3" t="s">
        <v>11</v>
      </c>
      <c r="C15" s="13"/>
      <c r="D15" s="13"/>
      <c r="E15" s="99">
        <v>7.14</v>
      </c>
      <c r="F15" s="99">
        <v>3.83</v>
      </c>
    </row>
    <row r="16" spans="2:6" x14ac:dyDescent="0.25">
      <c r="B16" s="3" t="s">
        <v>51</v>
      </c>
      <c r="C16" s="13"/>
      <c r="D16" s="13"/>
      <c r="E16" s="99">
        <v>11.7</v>
      </c>
      <c r="F16" s="99">
        <v>1.8</v>
      </c>
    </row>
    <row r="17" spans="2:6" x14ac:dyDescent="0.25">
      <c r="B17" s="3" t="s">
        <v>14</v>
      </c>
      <c r="C17" s="13"/>
      <c r="D17" s="13"/>
      <c r="E17" s="99">
        <v>1.2</v>
      </c>
      <c r="F17" s="99">
        <v>1.8</v>
      </c>
    </row>
    <row r="18" spans="2:6" x14ac:dyDescent="0.25">
      <c r="B18" s="3" t="s">
        <v>15</v>
      </c>
      <c r="C18" s="13"/>
      <c r="D18" s="13"/>
      <c r="E18" s="99">
        <v>1.2</v>
      </c>
      <c r="F18" s="99">
        <v>1.8</v>
      </c>
    </row>
    <row r="19" spans="2:6" x14ac:dyDescent="0.25">
      <c r="B19" s="3" t="s">
        <v>16</v>
      </c>
      <c r="C19" s="13"/>
      <c r="D19" s="13"/>
      <c r="E19" s="99">
        <v>2.08</v>
      </c>
      <c r="F19" s="99">
        <v>1.8</v>
      </c>
    </row>
    <row r="20" spans="2:6" x14ac:dyDescent="0.25">
      <c r="B20" s="3" t="s">
        <v>17</v>
      </c>
      <c r="C20" s="13"/>
      <c r="D20" s="13"/>
      <c r="E20" s="99">
        <v>1.97</v>
      </c>
      <c r="F20" s="99">
        <v>1.8</v>
      </c>
    </row>
    <row r="21" spans="2:6" x14ac:dyDescent="0.25">
      <c r="B21" s="3" t="s">
        <v>18</v>
      </c>
      <c r="C21" s="13"/>
      <c r="D21" s="13"/>
      <c r="E21" s="99">
        <v>1.95</v>
      </c>
      <c r="F21" s="99">
        <v>1.8</v>
      </c>
    </row>
    <row r="22" spans="2:6" x14ac:dyDescent="0.25">
      <c r="B22" s="3" t="s">
        <v>106</v>
      </c>
      <c r="C22" s="13"/>
      <c r="D22" s="13"/>
      <c r="E22" s="99">
        <v>1.95</v>
      </c>
      <c r="F22" s="99">
        <v>1.8</v>
      </c>
    </row>
    <row r="23" spans="2:6" x14ac:dyDescent="0.25">
      <c r="B23" s="3" t="s">
        <v>19</v>
      </c>
      <c r="C23" s="13"/>
      <c r="D23" s="13"/>
      <c r="E23" s="99">
        <v>6.3</v>
      </c>
      <c r="F23" s="99">
        <v>3.6</v>
      </c>
    </row>
    <row r="24" spans="2:6" x14ac:dyDescent="0.25">
      <c r="B24" s="3" t="s">
        <v>117</v>
      </c>
      <c r="C24" s="13"/>
      <c r="D24" s="13"/>
      <c r="E24" s="99">
        <v>3.14</v>
      </c>
      <c r="F24" s="99">
        <v>3.72</v>
      </c>
    </row>
    <row r="25" spans="2:6" x14ac:dyDescent="0.25">
      <c r="B25" s="3" t="s">
        <v>111</v>
      </c>
      <c r="C25" s="13"/>
      <c r="D25" s="13"/>
      <c r="E25" s="99">
        <v>3.14</v>
      </c>
      <c r="F25" s="99">
        <v>3.52</v>
      </c>
    </row>
    <row r="26" spans="2:6" x14ac:dyDescent="0.25">
      <c r="B26" s="3" t="s">
        <v>22</v>
      </c>
      <c r="C26" s="13"/>
      <c r="D26" s="13"/>
      <c r="E26" s="99">
        <v>3.14</v>
      </c>
      <c r="F26" s="99">
        <v>3.67</v>
      </c>
    </row>
    <row r="27" spans="2:6" x14ac:dyDescent="0.25">
      <c r="B27" s="3" t="s">
        <v>26</v>
      </c>
      <c r="C27" s="13"/>
      <c r="D27" s="13"/>
      <c r="E27" s="99">
        <v>3.14</v>
      </c>
      <c r="F27" s="99">
        <v>2.4</v>
      </c>
    </row>
    <row r="28" spans="2:6" x14ac:dyDescent="0.25">
      <c r="B28" s="3" t="s">
        <v>23</v>
      </c>
      <c r="C28" s="13"/>
      <c r="D28" s="13"/>
      <c r="E28" s="99">
        <v>3.6</v>
      </c>
      <c r="F28" s="99">
        <v>3.72</v>
      </c>
    </row>
    <row r="29" spans="2:6" x14ac:dyDescent="0.25">
      <c r="B29" s="3" t="s">
        <v>24</v>
      </c>
      <c r="C29" s="13"/>
      <c r="D29" s="13"/>
      <c r="E29" s="99">
        <v>3.6</v>
      </c>
      <c r="F29" s="99">
        <v>3.72</v>
      </c>
    </row>
    <row r="30" spans="2:6" x14ac:dyDescent="0.25">
      <c r="B30" s="3" t="s">
        <v>45</v>
      </c>
      <c r="C30" s="13"/>
      <c r="D30" s="13"/>
      <c r="E30" s="99">
        <v>3.6</v>
      </c>
      <c r="F30" s="99">
        <v>2.5</v>
      </c>
    </row>
    <row r="31" spans="2:6" x14ac:dyDescent="0.25">
      <c r="B31" s="3" t="s">
        <v>27</v>
      </c>
      <c r="C31" s="13"/>
      <c r="D31" s="13"/>
      <c r="E31" s="99">
        <v>3.6</v>
      </c>
      <c r="F31" s="99">
        <v>3.72</v>
      </c>
    </row>
    <row r="32" spans="2:6" x14ac:dyDescent="0.25">
      <c r="B32" s="3" t="s">
        <v>28</v>
      </c>
      <c r="C32" s="13"/>
      <c r="D32" s="13"/>
      <c r="E32" s="99">
        <v>3.63</v>
      </c>
      <c r="F32" s="99">
        <v>3.72</v>
      </c>
    </row>
    <row r="33" spans="2:6" x14ac:dyDescent="0.25">
      <c r="B33" s="3" t="s">
        <v>29</v>
      </c>
      <c r="C33" s="13"/>
      <c r="D33" s="13"/>
      <c r="E33" s="99">
        <v>5.87</v>
      </c>
      <c r="F33" s="99">
        <v>6.23</v>
      </c>
    </row>
    <row r="34" spans="2:6" x14ac:dyDescent="0.25">
      <c r="B34" s="3" t="s">
        <v>30</v>
      </c>
      <c r="C34" s="13"/>
      <c r="D34" s="13"/>
      <c r="E34" s="99">
        <v>7.8</v>
      </c>
      <c r="F34" s="99">
        <v>7.09</v>
      </c>
    </row>
    <row r="35" spans="2:6" x14ac:dyDescent="0.25">
      <c r="B35" s="3" t="s">
        <v>119</v>
      </c>
      <c r="C35" s="13"/>
      <c r="D35" s="13"/>
      <c r="E35" s="99">
        <v>1.5</v>
      </c>
      <c r="F35" s="99">
        <v>1.8</v>
      </c>
    </row>
    <row r="36" spans="2:6" x14ac:dyDescent="0.25">
      <c r="B36" s="3" t="s">
        <v>31</v>
      </c>
      <c r="C36" s="13"/>
      <c r="D36" s="13"/>
      <c r="E36" s="99">
        <v>4.95</v>
      </c>
      <c r="F36" s="99">
        <v>7.2</v>
      </c>
    </row>
    <row r="37" spans="2:6" x14ac:dyDescent="0.25">
      <c r="B37" s="3" t="s">
        <v>34</v>
      </c>
      <c r="C37" s="13"/>
      <c r="D37" s="13"/>
      <c r="E37" s="99">
        <v>3.37</v>
      </c>
      <c r="F37" s="99">
        <v>3.22</v>
      </c>
    </row>
    <row r="38" spans="2:6" x14ac:dyDescent="0.25">
      <c r="B38" s="3" t="s">
        <v>32</v>
      </c>
      <c r="C38" s="13"/>
      <c r="D38" s="13"/>
      <c r="E38" s="99">
        <v>3.16</v>
      </c>
      <c r="F38" s="99">
        <v>3.22</v>
      </c>
    </row>
    <row r="39" spans="2:6" x14ac:dyDescent="0.25">
      <c r="B39" s="3" t="s">
        <v>33</v>
      </c>
      <c r="C39" s="13"/>
      <c r="D39" s="13"/>
      <c r="E39" s="99">
        <v>3.05</v>
      </c>
      <c r="F39" s="99">
        <v>3.22</v>
      </c>
    </row>
    <row r="40" spans="2:6" x14ac:dyDescent="0.25">
      <c r="B40" s="3" t="s">
        <v>35</v>
      </c>
      <c r="C40" s="13"/>
      <c r="D40" s="13"/>
      <c r="E40" s="99">
        <v>3</v>
      </c>
      <c r="F40" s="99">
        <v>3.22</v>
      </c>
    </row>
    <row r="41" spans="2:6" x14ac:dyDescent="0.25">
      <c r="B41" s="3" t="s">
        <v>36</v>
      </c>
      <c r="C41" s="13"/>
      <c r="D41" s="13"/>
      <c r="E41" s="99">
        <v>15.79</v>
      </c>
      <c r="F41" s="99">
        <v>1.38</v>
      </c>
    </row>
    <row r="42" spans="2:6" x14ac:dyDescent="0.25">
      <c r="B42" s="3" t="s">
        <v>37</v>
      </c>
      <c r="C42" s="13"/>
      <c r="D42" s="13"/>
      <c r="E42" s="99">
        <v>2.02</v>
      </c>
      <c r="F42" s="99">
        <v>8.3000000000000007</v>
      </c>
    </row>
    <row r="43" spans="2:6" x14ac:dyDescent="0.25">
      <c r="B43" s="3" t="s">
        <v>38</v>
      </c>
      <c r="C43" s="13"/>
      <c r="D43" s="13"/>
      <c r="E43" s="99">
        <v>34.36</v>
      </c>
      <c r="F43" s="99">
        <v>2.4</v>
      </c>
    </row>
    <row r="44" spans="2:6" x14ac:dyDescent="0.25">
      <c r="B44" s="3" t="s">
        <v>39</v>
      </c>
      <c r="C44" s="13"/>
      <c r="D44" s="13"/>
      <c r="E44" s="99">
        <v>3</v>
      </c>
      <c r="F44" s="99">
        <v>15.05</v>
      </c>
    </row>
    <row r="45" spans="2:6" x14ac:dyDescent="0.25">
      <c r="B45" s="3" t="s">
        <v>40</v>
      </c>
      <c r="C45" s="13"/>
      <c r="D45" s="13"/>
      <c r="E45" s="99">
        <v>2.4</v>
      </c>
      <c r="F45" s="99">
        <v>15.05</v>
      </c>
    </row>
    <row r="46" spans="2:6" x14ac:dyDescent="0.25">
      <c r="B46" s="3" t="s">
        <v>41</v>
      </c>
      <c r="C46" s="13"/>
      <c r="D46" s="13"/>
      <c r="E46" s="99">
        <v>34.36</v>
      </c>
      <c r="F46" s="99">
        <v>2.4</v>
      </c>
    </row>
    <row r="47" spans="2:6" x14ac:dyDescent="0.25">
      <c r="B47" s="3" t="s">
        <v>42</v>
      </c>
      <c r="C47" s="13"/>
      <c r="D47" s="13"/>
      <c r="E47" s="99">
        <v>1.62</v>
      </c>
      <c r="F47" s="99">
        <v>7.55</v>
      </c>
    </row>
    <row r="48" spans="2:6" x14ac:dyDescent="0.25">
      <c r="B48" s="3" t="s">
        <v>43</v>
      </c>
      <c r="C48" s="13"/>
      <c r="D48" s="13"/>
      <c r="E48" s="99">
        <v>35.65</v>
      </c>
      <c r="F48" s="99">
        <v>2.02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K1434"/>
  <sheetViews>
    <sheetView tabSelected="1" topLeftCell="A14" workbookViewId="0">
      <selection activeCell="P22" sqref="P22"/>
    </sheetView>
  </sheetViews>
  <sheetFormatPr defaultRowHeight="14.3" x14ac:dyDescent="0.2"/>
  <cols>
    <col min="1" max="1" width="5.5" style="39" customWidth="1"/>
    <col min="2" max="2" width="39.125" style="37" customWidth="1"/>
    <col min="3" max="4" width="4.5" style="39" customWidth="1"/>
    <col min="5" max="7" width="7.625" style="39" customWidth="1"/>
    <col min="8" max="8" width="8.375" style="39" bestFit="1" customWidth="1"/>
    <col min="9" max="9" width="8" style="39" customWidth="1"/>
    <col min="10" max="10" width="9.375" style="62" customWidth="1"/>
    <col min="11" max="11" width="13" style="58" customWidth="1"/>
    <col min="12" max="16384" width="9" style="35"/>
  </cols>
  <sheetData>
    <row r="1" spans="1:11" x14ac:dyDescent="0.2">
      <c r="A1" s="125"/>
      <c r="B1" s="126"/>
      <c r="C1" s="126"/>
      <c r="D1" s="126"/>
      <c r="E1" s="126"/>
      <c r="F1" s="126"/>
      <c r="G1" s="126"/>
      <c r="H1" s="126"/>
      <c r="I1" s="126"/>
      <c r="J1" s="126"/>
      <c r="K1" s="127"/>
    </row>
    <row r="2" spans="1:11" ht="17" customHeight="1" x14ac:dyDescent="0.2">
      <c r="A2" s="128" t="s">
        <v>167</v>
      </c>
      <c r="B2" s="129"/>
      <c r="C2" s="129"/>
      <c r="D2" s="129"/>
      <c r="E2" s="129"/>
      <c r="F2" s="129"/>
      <c r="G2" s="129"/>
      <c r="H2" s="129"/>
      <c r="I2" s="129"/>
      <c r="J2" s="129"/>
      <c r="K2" s="130"/>
    </row>
    <row r="3" spans="1:11" ht="22.6" customHeight="1" x14ac:dyDescent="0.2">
      <c r="A3" s="131" t="s">
        <v>168</v>
      </c>
      <c r="B3" s="132" t="s">
        <v>169</v>
      </c>
      <c r="C3" s="131" t="s">
        <v>170</v>
      </c>
      <c r="D3" s="131"/>
      <c r="E3" s="131"/>
      <c r="F3" s="131"/>
      <c r="G3" s="131"/>
      <c r="H3" s="131"/>
      <c r="I3" s="134" t="s">
        <v>171</v>
      </c>
      <c r="J3" s="134"/>
      <c r="K3" s="135" t="s">
        <v>172</v>
      </c>
    </row>
    <row r="4" spans="1:11" ht="22.6" customHeight="1" x14ac:dyDescent="0.2">
      <c r="A4" s="131"/>
      <c r="B4" s="133"/>
      <c r="C4" s="131" t="s">
        <v>173</v>
      </c>
      <c r="D4" s="131"/>
      <c r="E4" s="97" t="s">
        <v>174</v>
      </c>
      <c r="F4" s="97" t="s">
        <v>175</v>
      </c>
      <c r="G4" s="97" t="s">
        <v>176</v>
      </c>
      <c r="H4" s="97" t="s">
        <v>91</v>
      </c>
      <c r="I4" s="97" t="s">
        <v>177</v>
      </c>
      <c r="J4" s="59" t="s">
        <v>178</v>
      </c>
      <c r="K4" s="136"/>
    </row>
    <row r="5" spans="1:11" ht="27.85" customHeight="1" x14ac:dyDescent="0.2">
      <c r="A5" s="38">
        <v>1</v>
      </c>
      <c r="B5" s="157" t="s">
        <v>516</v>
      </c>
      <c r="C5" s="158"/>
      <c r="D5" s="158"/>
      <c r="E5" s="158"/>
      <c r="F5" s="158"/>
      <c r="G5" s="159"/>
      <c r="H5" s="38"/>
      <c r="I5" s="38"/>
      <c r="J5" s="60"/>
      <c r="K5" s="56"/>
    </row>
    <row r="6" spans="1:11" ht="20.05" customHeight="1" x14ac:dyDescent="0.2">
      <c r="A6" s="38"/>
      <c r="B6" s="36" t="s">
        <v>180</v>
      </c>
      <c r="C6" s="38">
        <v>1</v>
      </c>
      <c r="D6" s="38">
        <v>1</v>
      </c>
      <c r="E6" s="38"/>
      <c r="F6" s="38"/>
      <c r="G6" s="38"/>
      <c r="H6" s="38">
        <f>PRODUCT(C6:G6)</f>
        <v>1</v>
      </c>
      <c r="I6" s="38"/>
      <c r="J6" s="60"/>
      <c r="K6" s="56"/>
    </row>
    <row r="7" spans="1:11" ht="20.05" customHeight="1" x14ac:dyDescent="0.2">
      <c r="A7" s="38"/>
      <c r="B7" s="36" t="s">
        <v>12</v>
      </c>
      <c r="C7" s="38">
        <v>1</v>
      </c>
      <c r="D7" s="38">
        <v>1</v>
      </c>
      <c r="E7" s="38"/>
      <c r="F7" s="38"/>
      <c r="G7" s="38"/>
      <c r="H7" s="38">
        <f t="shared" ref="H7:H12" si="0">PRODUCT(C7:G7)</f>
        <v>1</v>
      </c>
      <c r="I7" s="38"/>
      <c r="J7" s="60"/>
      <c r="K7" s="56"/>
    </row>
    <row r="8" spans="1:11" ht="20.05" customHeight="1" x14ac:dyDescent="0.2">
      <c r="A8" s="38"/>
      <c r="B8" s="36" t="s">
        <v>517</v>
      </c>
      <c r="C8" s="38">
        <v>1</v>
      </c>
      <c r="D8" s="38">
        <v>1</v>
      </c>
      <c r="E8" s="38"/>
      <c r="F8" s="38"/>
      <c r="G8" s="38"/>
      <c r="H8" s="38">
        <f t="shared" si="0"/>
        <v>1</v>
      </c>
      <c r="I8" s="38"/>
      <c r="J8" s="60"/>
      <c r="K8" s="56"/>
    </row>
    <row r="9" spans="1:11" ht="20.05" customHeight="1" x14ac:dyDescent="0.2">
      <c r="A9" s="38"/>
      <c r="B9" s="36" t="s">
        <v>51</v>
      </c>
      <c r="C9" s="38">
        <v>1</v>
      </c>
      <c r="D9" s="38">
        <v>2</v>
      </c>
      <c r="E9" s="38"/>
      <c r="F9" s="38"/>
      <c r="G9" s="38"/>
      <c r="H9" s="38">
        <f t="shared" si="0"/>
        <v>2</v>
      </c>
      <c r="I9" s="38"/>
      <c r="J9" s="60"/>
      <c r="K9" s="56"/>
    </row>
    <row r="10" spans="1:11" ht="20.05" customHeight="1" x14ac:dyDescent="0.2">
      <c r="A10" s="38"/>
      <c r="B10" s="36" t="s">
        <v>199</v>
      </c>
      <c r="C10" s="38">
        <v>1</v>
      </c>
      <c r="D10" s="38">
        <v>1</v>
      </c>
      <c r="E10" s="38"/>
      <c r="F10" s="38"/>
      <c r="G10" s="38"/>
      <c r="H10" s="38">
        <f t="shared" si="0"/>
        <v>1</v>
      </c>
      <c r="I10" s="38"/>
      <c r="J10" s="60"/>
      <c r="K10" s="56"/>
    </row>
    <row r="11" spans="1:11" ht="20.05" customHeight="1" x14ac:dyDescent="0.2">
      <c r="A11" s="38"/>
      <c r="B11" s="36" t="s">
        <v>200</v>
      </c>
      <c r="C11" s="38">
        <v>1</v>
      </c>
      <c r="D11" s="38">
        <v>1</v>
      </c>
      <c r="E11" s="38"/>
      <c r="F11" s="38"/>
      <c r="G11" s="38"/>
      <c r="H11" s="38">
        <f t="shared" si="0"/>
        <v>1</v>
      </c>
      <c r="I11" s="38"/>
      <c r="J11" s="60"/>
      <c r="K11" s="56"/>
    </row>
    <row r="12" spans="1:11" ht="20.05" customHeight="1" x14ac:dyDescent="0.2">
      <c r="A12" s="38"/>
      <c r="B12" s="36" t="s">
        <v>181</v>
      </c>
      <c r="C12" s="38">
        <v>1</v>
      </c>
      <c r="D12" s="38">
        <v>1</v>
      </c>
      <c r="E12" s="38"/>
      <c r="F12" s="38"/>
      <c r="G12" s="38"/>
      <c r="H12" s="38">
        <f t="shared" si="0"/>
        <v>1</v>
      </c>
      <c r="I12" s="38"/>
      <c r="J12" s="60"/>
      <c r="K12" s="56"/>
    </row>
    <row r="13" spans="1:11" ht="20.05" customHeight="1" x14ac:dyDescent="0.2">
      <c r="A13" s="38"/>
      <c r="B13" s="36"/>
      <c r="C13" s="38"/>
      <c r="D13" s="38"/>
      <c r="E13" s="38"/>
      <c r="F13" s="38"/>
      <c r="G13" s="38"/>
      <c r="H13" s="98">
        <f>SUM(H6:H12)</f>
        <v>8</v>
      </c>
      <c r="I13" s="38" t="s">
        <v>155</v>
      </c>
      <c r="J13" s="60"/>
      <c r="K13" s="56"/>
    </row>
    <row r="14" spans="1:11" ht="29.25" customHeight="1" x14ac:dyDescent="0.2">
      <c r="A14" s="38">
        <v>2</v>
      </c>
      <c r="B14" s="154" t="s">
        <v>518</v>
      </c>
      <c r="C14" s="155"/>
      <c r="D14" s="155"/>
      <c r="E14" s="155"/>
      <c r="F14" s="155"/>
      <c r="G14" s="156"/>
      <c r="H14" s="38"/>
      <c r="I14" s="38"/>
      <c r="J14" s="60"/>
      <c r="K14" s="56"/>
    </row>
    <row r="15" spans="1:11" ht="20.05" customHeight="1" x14ac:dyDescent="0.2">
      <c r="A15" s="38"/>
      <c r="B15" s="36" t="s">
        <v>180</v>
      </c>
      <c r="C15" s="38">
        <v>1</v>
      </c>
      <c r="D15" s="38">
        <v>1</v>
      </c>
      <c r="E15" s="38"/>
      <c r="F15" s="38"/>
      <c r="G15" s="38"/>
      <c r="H15" s="38">
        <f t="shared" ref="H15:H20" si="1">PRODUCT(C15:G15)</f>
        <v>1</v>
      </c>
      <c r="I15" s="38"/>
      <c r="J15" s="60"/>
      <c r="K15" s="56"/>
    </row>
    <row r="16" spans="1:11" ht="20.05" customHeight="1" x14ac:dyDescent="0.2">
      <c r="A16" s="38"/>
      <c r="B16" s="36" t="s">
        <v>12</v>
      </c>
      <c r="C16" s="38">
        <v>1</v>
      </c>
      <c r="D16" s="38">
        <v>1</v>
      </c>
      <c r="E16" s="38"/>
      <c r="F16" s="38"/>
      <c r="G16" s="38"/>
      <c r="H16" s="38">
        <f t="shared" si="1"/>
        <v>1</v>
      </c>
      <c r="I16" s="38"/>
      <c r="J16" s="60"/>
      <c r="K16" s="56"/>
    </row>
    <row r="17" spans="1:11" ht="20.05" customHeight="1" x14ac:dyDescent="0.2">
      <c r="A17" s="38"/>
      <c r="B17" s="36" t="s">
        <v>517</v>
      </c>
      <c r="C17" s="38">
        <v>1</v>
      </c>
      <c r="D17" s="38">
        <v>1</v>
      </c>
      <c r="E17" s="38"/>
      <c r="F17" s="38"/>
      <c r="G17" s="38"/>
      <c r="H17" s="38">
        <f t="shared" si="1"/>
        <v>1</v>
      </c>
      <c r="I17" s="38"/>
      <c r="J17" s="60"/>
      <c r="K17" s="56"/>
    </row>
    <row r="18" spans="1:11" ht="20.05" customHeight="1" x14ac:dyDescent="0.2">
      <c r="A18" s="38"/>
      <c r="B18" s="36" t="s">
        <v>199</v>
      </c>
      <c r="C18" s="38">
        <v>1</v>
      </c>
      <c r="D18" s="38">
        <v>1</v>
      </c>
      <c r="E18" s="38"/>
      <c r="F18" s="38"/>
      <c r="G18" s="38"/>
      <c r="H18" s="38">
        <f t="shared" si="1"/>
        <v>1</v>
      </c>
      <c r="I18" s="38"/>
      <c r="J18" s="60"/>
      <c r="K18" s="56"/>
    </row>
    <row r="19" spans="1:11" ht="20.05" customHeight="1" x14ac:dyDescent="0.2">
      <c r="A19" s="38"/>
      <c r="B19" s="36" t="s">
        <v>200</v>
      </c>
      <c r="C19" s="38">
        <v>1</v>
      </c>
      <c r="D19" s="38">
        <v>1</v>
      </c>
      <c r="E19" s="38"/>
      <c r="F19" s="38"/>
      <c r="G19" s="38"/>
      <c r="H19" s="38">
        <f t="shared" si="1"/>
        <v>1</v>
      </c>
      <c r="I19" s="38"/>
      <c r="J19" s="60"/>
      <c r="K19" s="56"/>
    </row>
    <row r="20" spans="1:11" ht="20.05" customHeight="1" x14ac:dyDescent="0.2">
      <c r="A20" s="38"/>
      <c r="B20" s="36" t="s">
        <v>181</v>
      </c>
      <c r="C20" s="38">
        <v>1</v>
      </c>
      <c r="D20" s="38">
        <v>1</v>
      </c>
      <c r="E20" s="38"/>
      <c r="F20" s="38"/>
      <c r="G20" s="38"/>
      <c r="H20" s="38">
        <f t="shared" si="1"/>
        <v>1</v>
      </c>
      <c r="I20" s="38"/>
      <c r="J20" s="60"/>
      <c r="K20" s="56"/>
    </row>
    <row r="21" spans="1:11" ht="20.05" customHeight="1" x14ac:dyDescent="0.2">
      <c r="A21" s="38"/>
      <c r="B21" s="36"/>
      <c r="C21" s="38"/>
      <c r="D21" s="38"/>
      <c r="E21" s="38"/>
      <c r="F21" s="38"/>
      <c r="G21" s="38"/>
      <c r="H21" s="98">
        <f>SUM(H15:H20)</f>
        <v>6</v>
      </c>
      <c r="I21" s="38" t="s">
        <v>155</v>
      </c>
      <c r="J21" s="60"/>
      <c r="K21" s="56"/>
    </row>
    <row r="22" spans="1:11" ht="27.85" customHeight="1" x14ac:dyDescent="0.2">
      <c r="A22" s="38">
        <v>3</v>
      </c>
      <c r="B22" s="154" t="s">
        <v>519</v>
      </c>
      <c r="C22" s="155"/>
      <c r="D22" s="155"/>
      <c r="E22" s="155"/>
      <c r="F22" s="155"/>
      <c r="G22" s="156"/>
      <c r="H22" s="38"/>
      <c r="I22" s="38"/>
      <c r="J22" s="60"/>
      <c r="K22" s="56"/>
    </row>
    <row r="23" spans="1:11" ht="20.05" customHeight="1" x14ac:dyDescent="0.2">
      <c r="A23" s="38"/>
      <c r="B23" s="36" t="s">
        <v>51</v>
      </c>
      <c r="C23" s="38">
        <v>1</v>
      </c>
      <c r="D23" s="38">
        <v>1</v>
      </c>
      <c r="E23" s="38"/>
      <c r="F23" s="38"/>
      <c r="G23" s="38"/>
      <c r="H23" s="38">
        <f t="shared" ref="H23" si="2">PRODUCT(C23:G23)</f>
        <v>1</v>
      </c>
      <c r="I23" s="38"/>
      <c r="J23" s="60"/>
      <c r="K23" s="56"/>
    </row>
    <row r="24" spans="1:11" ht="20.05" customHeight="1" x14ac:dyDescent="0.2">
      <c r="A24" s="38"/>
      <c r="B24" s="36"/>
      <c r="C24" s="38"/>
      <c r="D24" s="38"/>
      <c r="E24" s="38"/>
      <c r="F24" s="38"/>
      <c r="G24" s="38"/>
      <c r="H24" s="98">
        <f>SUM(H23)</f>
        <v>1</v>
      </c>
      <c r="I24" s="38" t="s">
        <v>155</v>
      </c>
      <c r="J24" s="60"/>
      <c r="K24" s="56"/>
    </row>
    <row r="25" spans="1:11" ht="28.55" customHeight="1" x14ac:dyDescent="0.2">
      <c r="A25" s="38">
        <v>4</v>
      </c>
      <c r="B25" s="154" t="s">
        <v>520</v>
      </c>
      <c r="C25" s="155"/>
      <c r="D25" s="155"/>
      <c r="E25" s="155"/>
      <c r="F25" s="155"/>
      <c r="G25" s="156"/>
      <c r="H25" s="38"/>
      <c r="I25" s="38"/>
      <c r="J25" s="60"/>
      <c r="K25" s="56"/>
    </row>
    <row r="26" spans="1:11" ht="20.05" customHeight="1" x14ac:dyDescent="0.2">
      <c r="A26" s="38"/>
      <c r="B26" s="36"/>
      <c r="C26" s="38"/>
      <c r="D26" s="38"/>
      <c r="E26" s="38"/>
      <c r="F26" s="38"/>
      <c r="G26" s="38"/>
      <c r="H26" s="98"/>
      <c r="I26" s="38"/>
      <c r="J26" s="60"/>
      <c r="K26" s="56"/>
    </row>
    <row r="27" spans="1:11" ht="20.05" customHeight="1" x14ac:dyDescent="0.2">
      <c r="A27" s="38"/>
      <c r="B27" s="160"/>
      <c r="C27" s="160"/>
      <c r="D27" s="160"/>
      <c r="E27" s="160"/>
      <c r="F27" s="160"/>
      <c r="G27" s="160"/>
      <c r="H27" s="98"/>
      <c r="I27" s="38"/>
      <c r="J27" s="60"/>
      <c r="K27" s="56"/>
    </row>
    <row r="28" spans="1:11" ht="20.05" customHeight="1" x14ac:dyDescent="0.2">
      <c r="A28" s="38"/>
      <c r="B28" s="36"/>
      <c r="C28" s="38"/>
      <c r="D28" s="38"/>
      <c r="E28" s="38"/>
      <c r="F28" s="38"/>
      <c r="G28" s="38"/>
      <c r="H28" s="38"/>
      <c r="I28" s="38"/>
      <c r="J28" s="60"/>
      <c r="K28" s="56"/>
    </row>
    <row r="29" spans="1:11" ht="20.05" customHeight="1" x14ac:dyDescent="0.2">
      <c r="A29" s="38"/>
      <c r="B29" s="36"/>
      <c r="C29" s="38"/>
      <c r="D29" s="38"/>
      <c r="E29" s="38"/>
      <c r="F29" s="38"/>
      <c r="G29" s="38"/>
      <c r="H29" s="38"/>
      <c r="I29" s="38"/>
      <c r="J29" s="60"/>
      <c r="K29" s="56"/>
    </row>
    <row r="30" spans="1:11" ht="20.05" customHeight="1" x14ac:dyDescent="0.2">
      <c r="A30" s="38"/>
      <c r="B30" s="36"/>
      <c r="C30" s="38"/>
      <c r="D30" s="38"/>
      <c r="E30" s="38"/>
      <c r="F30" s="38"/>
      <c r="G30" s="38"/>
      <c r="H30" s="38"/>
      <c r="I30" s="38"/>
      <c r="J30" s="60"/>
      <c r="K30" s="56"/>
    </row>
    <row r="31" spans="1:11" ht="20.05" customHeight="1" x14ac:dyDescent="0.2">
      <c r="A31" s="38"/>
      <c r="B31" s="36"/>
      <c r="C31" s="38"/>
      <c r="D31" s="38"/>
      <c r="E31" s="38"/>
      <c r="F31" s="38"/>
      <c r="G31" s="38"/>
      <c r="H31" s="98"/>
      <c r="I31" s="38"/>
      <c r="J31" s="60"/>
      <c r="K31" s="56"/>
    </row>
    <row r="32" spans="1:11" ht="20.05" customHeight="1" x14ac:dyDescent="0.2">
      <c r="A32" s="38"/>
      <c r="B32" s="160"/>
      <c r="C32" s="160"/>
      <c r="D32" s="160"/>
      <c r="E32" s="160"/>
      <c r="F32" s="160"/>
      <c r="G32" s="160"/>
      <c r="H32" s="38"/>
      <c r="I32" s="38"/>
      <c r="J32" s="60"/>
      <c r="K32" s="56"/>
    </row>
    <row r="33" spans="1:11" ht="20.05" customHeight="1" x14ac:dyDescent="0.2">
      <c r="A33" s="38"/>
      <c r="B33" s="36"/>
      <c r="C33" s="38"/>
      <c r="D33" s="38"/>
      <c r="E33" s="38"/>
      <c r="F33" s="38"/>
      <c r="G33" s="38"/>
      <c r="H33" s="38"/>
      <c r="I33" s="38"/>
      <c r="J33" s="60"/>
      <c r="K33" s="56"/>
    </row>
    <row r="34" spans="1:11" ht="20.05" customHeight="1" x14ac:dyDescent="0.2">
      <c r="A34" s="38"/>
      <c r="B34" s="36"/>
      <c r="C34" s="38"/>
      <c r="D34" s="38"/>
      <c r="E34" s="38"/>
      <c r="F34" s="38"/>
      <c r="G34" s="38"/>
      <c r="H34" s="38"/>
      <c r="I34" s="38"/>
      <c r="J34" s="60"/>
      <c r="K34" s="56"/>
    </row>
    <row r="35" spans="1:11" ht="20.05" customHeight="1" x14ac:dyDescent="0.2">
      <c r="A35" s="38"/>
      <c r="B35" s="36"/>
      <c r="C35" s="38"/>
      <c r="D35" s="38"/>
      <c r="E35" s="38"/>
      <c r="F35" s="38"/>
      <c r="G35" s="38"/>
      <c r="H35" s="98"/>
      <c r="I35" s="38"/>
      <c r="J35" s="60"/>
      <c r="K35" s="56"/>
    </row>
    <row r="36" spans="1:11" ht="20.05" customHeight="1" x14ac:dyDescent="0.2">
      <c r="A36" s="38"/>
      <c r="B36" s="160"/>
      <c r="C36" s="160"/>
      <c r="D36" s="160"/>
      <c r="E36" s="160"/>
      <c r="F36" s="160"/>
      <c r="G36" s="160"/>
      <c r="H36" s="38"/>
      <c r="I36" s="38"/>
      <c r="J36" s="60"/>
      <c r="K36" s="56"/>
    </row>
    <row r="37" spans="1:11" ht="20.05" customHeight="1" x14ac:dyDescent="0.2">
      <c r="A37" s="38"/>
      <c r="B37" s="36"/>
      <c r="C37" s="38"/>
      <c r="D37" s="38"/>
      <c r="E37" s="38"/>
      <c r="F37" s="38"/>
      <c r="G37" s="38"/>
      <c r="H37" s="38"/>
      <c r="I37" s="38"/>
      <c r="J37" s="60"/>
      <c r="K37" s="56"/>
    </row>
    <row r="38" spans="1:11" ht="20.05" customHeight="1" x14ac:dyDescent="0.2">
      <c r="A38" s="38"/>
      <c r="B38" s="36"/>
      <c r="C38" s="38"/>
      <c r="D38" s="38"/>
      <c r="E38" s="38"/>
      <c r="F38" s="38"/>
      <c r="G38" s="38"/>
      <c r="H38" s="38"/>
      <c r="I38" s="38"/>
      <c r="J38" s="60"/>
      <c r="K38" s="56"/>
    </row>
    <row r="39" spans="1:11" ht="20.05" customHeight="1" x14ac:dyDescent="0.2">
      <c r="A39" s="38"/>
      <c r="B39" s="36"/>
      <c r="C39" s="38"/>
      <c r="D39" s="38"/>
      <c r="E39" s="38"/>
      <c r="F39" s="38"/>
      <c r="G39" s="38"/>
      <c r="H39" s="38"/>
      <c r="I39" s="38"/>
      <c r="J39" s="60"/>
      <c r="K39" s="56"/>
    </row>
    <row r="40" spans="1:11" ht="20.05" customHeight="1" x14ac:dyDescent="0.2">
      <c r="A40" s="38"/>
      <c r="B40" s="36"/>
      <c r="C40" s="38"/>
      <c r="D40" s="38"/>
      <c r="E40" s="38"/>
      <c r="F40" s="38"/>
      <c r="G40" s="38"/>
      <c r="H40" s="38"/>
      <c r="I40" s="38"/>
      <c r="J40" s="60"/>
      <c r="K40" s="56"/>
    </row>
    <row r="41" spans="1:11" ht="20.05" customHeight="1" x14ac:dyDescent="0.2">
      <c r="A41" s="38"/>
      <c r="B41" s="36"/>
      <c r="C41" s="38"/>
      <c r="D41" s="38"/>
      <c r="E41" s="38"/>
      <c r="F41" s="38"/>
      <c r="G41" s="38"/>
      <c r="H41" s="38"/>
      <c r="I41" s="38"/>
      <c r="J41" s="60"/>
      <c r="K41" s="56"/>
    </row>
    <row r="42" spans="1:11" ht="20.05" customHeight="1" x14ac:dyDescent="0.2">
      <c r="A42" s="38"/>
      <c r="B42" s="36"/>
      <c r="C42" s="38"/>
      <c r="D42" s="38"/>
      <c r="E42" s="38"/>
      <c r="F42" s="38"/>
      <c r="G42" s="38"/>
      <c r="H42" s="38"/>
      <c r="I42" s="38"/>
      <c r="J42" s="60"/>
      <c r="K42" s="56"/>
    </row>
    <row r="43" spans="1:11" ht="20.05" customHeight="1" x14ac:dyDescent="0.2">
      <c r="A43" s="38"/>
      <c r="B43" s="36"/>
      <c r="C43" s="38"/>
      <c r="D43" s="38"/>
      <c r="E43" s="38"/>
      <c r="F43" s="38"/>
      <c r="G43" s="38"/>
      <c r="H43" s="98"/>
      <c r="I43" s="38"/>
      <c r="J43" s="60"/>
      <c r="K43" s="56"/>
    </row>
    <row r="44" spans="1:11" ht="20.05" customHeight="1" x14ac:dyDescent="0.2">
      <c r="A44" s="38"/>
      <c r="B44" s="160"/>
      <c r="C44" s="160"/>
      <c r="D44" s="160"/>
      <c r="E44" s="160"/>
      <c r="F44" s="160"/>
      <c r="G44" s="160"/>
      <c r="H44" s="38"/>
      <c r="I44" s="38"/>
      <c r="J44" s="60"/>
      <c r="K44" s="56"/>
    </row>
    <row r="45" spans="1:11" ht="20.05" customHeight="1" x14ac:dyDescent="0.2">
      <c r="A45" s="38"/>
      <c r="B45" s="36"/>
      <c r="C45" s="38"/>
      <c r="D45" s="38"/>
      <c r="E45" s="38"/>
      <c r="F45" s="38"/>
      <c r="G45" s="38"/>
      <c r="H45" s="38"/>
      <c r="I45" s="38"/>
      <c r="J45" s="60"/>
      <c r="K45" s="56"/>
    </row>
    <row r="46" spans="1:11" ht="20.05" customHeight="1" x14ac:dyDescent="0.2">
      <c r="A46" s="38"/>
      <c r="B46" s="36"/>
      <c r="C46" s="38"/>
      <c r="D46" s="38"/>
      <c r="E46" s="38"/>
      <c r="F46" s="38"/>
      <c r="G46" s="38"/>
      <c r="H46" s="38"/>
      <c r="I46" s="38"/>
      <c r="J46" s="60"/>
      <c r="K46" s="56"/>
    </row>
    <row r="47" spans="1:11" ht="20.05" customHeight="1" x14ac:dyDescent="0.2">
      <c r="A47" s="38"/>
      <c r="B47" s="36"/>
      <c r="C47" s="38"/>
      <c r="D47" s="38"/>
      <c r="E47" s="38"/>
      <c r="F47" s="38"/>
      <c r="G47" s="38"/>
      <c r="H47" s="38"/>
      <c r="I47" s="38"/>
      <c r="J47" s="60"/>
      <c r="K47" s="56"/>
    </row>
    <row r="48" spans="1:11" ht="20.05" customHeight="1" x14ac:dyDescent="0.2">
      <c r="A48" s="38"/>
      <c r="B48" s="36"/>
      <c r="C48" s="38"/>
      <c r="D48" s="38"/>
      <c r="E48" s="38"/>
      <c r="F48" s="38"/>
      <c r="G48" s="38"/>
      <c r="H48" s="38"/>
      <c r="I48" s="38"/>
      <c r="J48" s="60"/>
      <c r="K48" s="56"/>
    </row>
    <row r="49" spans="1:11" ht="20.05" customHeight="1" x14ac:dyDescent="0.2">
      <c r="A49" s="38"/>
      <c r="B49" s="36"/>
      <c r="C49" s="38"/>
      <c r="D49" s="38"/>
      <c r="E49" s="38"/>
      <c r="F49" s="38"/>
      <c r="G49" s="38"/>
      <c r="H49" s="38"/>
      <c r="I49" s="38"/>
      <c r="J49" s="60"/>
      <c r="K49" s="56"/>
    </row>
    <row r="50" spans="1:11" ht="20.05" customHeight="1" x14ac:dyDescent="0.2">
      <c r="A50" s="38"/>
      <c r="B50" s="36"/>
      <c r="C50" s="38"/>
      <c r="D50" s="38"/>
      <c r="E50" s="38"/>
      <c r="F50" s="38"/>
      <c r="G50" s="38"/>
      <c r="H50" s="38"/>
      <c r="I50" s="38"/>
      <c r="J50" s="60"/>
      <c r="K50" s="56"/>
    </row>
    <row r="51" spans="1:11" ht="20.05" customHeight="1" x14ac:dyDescent="0.2">
      <c r="A51" s="38"/>
      <c r="B51" s="36"/>
      <c r="C51" s="38"/>
      <c r="D51" s="38"/>
      <c r="E51" s="38"/>
      <c r="F51" s="38"/>
      <c r="G51" s="38"/>
      <c r="H51" s="98"/>
      <c r="I51" s="38"/>
      <c r="J51" s="60"/>
      <c r="K51" s="56"/>
    </row>
    <row r="52" spans="1:11" ht="20.05" customHeight="1" x14ac:dyDescent="0.2">
      <c r="A52" s="38"/>
      <c r="B52" s="160"/>
      <c r="C52" s="160"/>
      <c r="D52" s="160"/>
      <c r="E52" s="160"/>
      <c r="F52" s="160"/>
      <c r="G52" s="160"/>
      <c r="H52" s="38"/>
      <c r="I52" s="38"/>
      <c r="J52" s="60"/>
      <c r="K52" s="56"/>
    </row>
    <row r="53" spans="1:11" ht="20.05" customHeight="1" x14ac:dyDescent="0.2">
      <c r="A53" s="38"/>
      <c r="B53" s="36"/>
      <c r="C53" s="38"/>
      <c r="D53" s="38"/>
      <c r="E53" s="38"/>
      <c r="F53" s="38"/>
      <c r="G53" s="38"/>
      <c r="H53" s="38"/>
      <c r="I53" s="38"/>
      <c r="J53" s="60"/>
      <c r="K53" s="56"/>
    </row>
    <row r="54" spans="1:11" ht="20.05" customHeight="1" x14ac:dyDescent="0.2">
      <c r="A54" s="38"/>
      <c r="B54" s="36"/>
      <c r="C54" s="38"/>
      <c r="D54" s="38"/>
      <c r="E54" s="38"/>
      <c r="F54" s="38"/>
      <c r="G54" s="38"/>
      <c r="H54" s="38"/>
      <c r="I54" s="38"/>
      <c r="J54" s="60"/>
      <c r="K54" s="56"/>
    </row>
    <row r="55" spans="1:11" ht="20.05" customHeight="1" x14ac:dyDescent="0.2">
      <c r="A55" s="38"/>
      <c r="B55" s="36"/>
      <c r="C55" s="38"/>
      <c r="D55" s="38"/>
      <c r="E55" s="38"/>
      <c r="F55" s="38"/>
      <c r="G55" s="38"/>
      <c r="H55" s="38"/>
      <c r="I55" s="38"/>
      <c r="J55" s="60"/>
      <c r="K55" s="56"/>
    </row>
    <row r="56" spans="1:11" ht="20.05" customHeight="1" x14ac:dyDescent="0.2">
      <c r="A56" s="38"/>
      <c r="B56" s="36"/>
      <c r="C56" s="38"/>
      <c r="D56" s="38"/>
      <c r="E56" s="38"/>
      <c r="F56" s="38"/>
      <c r="G56" s="38"/>
      <c r="H56" s="38"/>
      <c r="I56" s="38"/>
      <c r="J56" s="60"/>
      <c r="K56" s="56"/>
    </row>
    <row r="57" spans="1:11" ht="20.05" customHeight="1" x14ac:dyDescent="0.2">
      <c r="A57" s="38"/>
      <c r="B57" s="36"/>
      <c r="C57" s="38"/>
      <c r="D57" s="38"/>
      <c r="E57" s="38"/>
      <c r="F57" s="38"/>
      <c r="G57" s="38"/>
      <c r="H57" s="98"/>
      <c r="I57" s="38"/>
      <c r="J57" s="60"/>
      <c r="K57" s="56"/>
    </row>
    <row r="58" spans="1:11" ht="20.05" customHeight="1" x14ac:dyDescent="0.2">
      <c r="A58" s="38"/>
      <c r="B58" s="160"/>
      <c r="C58" s="160"/>
      <c r="D58" s="160"/>
      <c r="E58" s="160"/>
      <c r="F58" s="160"/>
      <c r="G58" s="160"/>
      <c r="H58" s="38"/>
      <c r="I58" s="38"/>
      <c r="J58" s="60"/>
      <c r="K58" s="56"/>
    </row>
    <row r="59" spans="1:11" ht="20.05" customHeight="1" x14ac:dyDescent="0.2">
      <c r="A59" s="38"/>
      <c r="B59" s="36"/>
      <c r="C59" s="38"/>
      <c r="D59" s="38"/>
      <c r="E59" s="38"/>
      <c r="F59" s="38"/>
      <c r="G59" s="38"/>
      <c r="H59" s="38"/>
      <c r="I59" s="38"/>
      <c r="J59" s="60"/>
      <c r="K59" s="56"/>
    </row>
    <row r="60" spans="1:11" ht="20.05" customHeight="1" x14ac:dyDescent="0.2">
      <c r="A60" s="38"/>
      <c r="B60" s="36"/>
      <c r="C60" s="38"/>
      <c r="D60" s="38"/>
      <c r="E60" s="38"/>
      <c r="F60" s="38"/>
      <c r="G60" s="38"/>
      <c r="H60" s="38"/>
      <c r="I60" s="38"/>
      <c r="J60" s="60"/>
      <c r="K60" s="56"/>
    </row>
    <row r="61" spans="1:11" ht="20.05" customHeight="1" x14ac:dyDescent="0.2">
      <c r="A61" s="38"/>
      <c r="B61" s="36"/>
      <c r="C61" s="38"/>
      <c r="D61" s="38"/>
      <c r="E61" s="38"/>
      <c r="F61" s="38"/>
      <c r="G61" s="38"/>
      <c r="H61" s="38"/>
      <c r="I61" s="38"/>
      <c r="J61" s="60"/>
      <c r="K61" s="56"/>
    </row>
    <row r="62" spans="1:11" ht="20.05" customHeight="1" x14ac:dyDescent="0.2">
      <c r="A62" s="38"/>
      <c r="B62" s="36"/>
      <c r="C62" s="38"/>
      <c r="D62" s="38"/>
      <c r="E62" s="38"/>
      <c r="F62" s="38"/>
      <c r="G62" s="38"/>
      <c r="H62" s="38"/>
      <c r="I62" s="38"/>
      <c r="J62" s="60"/>
      <c r="K62" s="56"/>
    </row>
    <row r="63" spans="1:11" ht="20.05" customHeight="1" x14ac:dyDescent="0.2">
      <c r="A63" s="38"/>
      <c r="B63" s="36"/>
      <c r="C63" s="38"/>
      <c r="D63" s="38"/>
      <c r="E63" s="38"/>
      <c r="F63" s="38"/>
      <c r="G63" s="38"/>
      <c r="H63" s="38"/>
      <c r="I63" s="38"/>
      <c r="J63" s="60"/>
      <c r="K63" s="56"/>
    </row>
    <row r="64" spans="1:11" ht="20.05" customHeight="1" x14ac:dyDescent="0.2">
      <c r="A64" s="38"/>
      <c r="B64" s="36"/>
      <c r="C64" s="38"/>
      <c r="D64" s="38"/>
      <c r="E64" s="38"/>
      <c r="F64" s="38"/>
      <c r="G64" s="38"/>
      <c r="H64" s="38"/>
      <c r="I64" s="38"/>
      <c r="J64" s="60"/>
      <c r="K64" s="56"/>
    </row>
    <row r="65" spans="1:11" ht="20.05" customHeight="1" x14ac:dyDescent="0.2">
      <c r="A65" s="38"/>
      <c r="B65" s="36"/>
      <c r="C65" s="38"/>
      <c r="D65" s="38"/>
      <c r="E65" s="38"/>
      <c r="F65" s="38"/>
      <c r="G65" s="38"/>
      <c r="H65" s="38"/>
      <c r="I65" s="38"/>
      <c r="J65" s="60"/>
      <c r="K65" s="56"/>
    </row>
    <row r="66" spans="1:11" ht="20.05" customHeight="1" x14ac:dyDescent="0.2">
      <c r="A66" s="38"/>
      <c r="B66" s="36"/>
      <c r="C66" s="38"/>
      <c r="D66" s="38"/>
      <c r="E66" s="38"/>
      <c r="F66" s="38"/>
      <c r="G66" s="38"/>
      <c r="H66" s="38"/>
      <c r="I66" s="38"/>
      <c r="J66" s="60"/>
      <c r="K66" s="56"/>
    </row>
    <row r="67" spans="1:11" ht="20.05" customHeight="1" x14ac:dyDescent="0.2">
      <c r="A67" s="38"/>
      <c r="B67" s="36"/>
      <c r="C67" s="38"/>
      <c r="D67" s="38"/>
      <c r="E67" s="38"/>
      <c r="F67" s="38"/>
      <c r="G67" s="38"/>
      <c r="H67" s="38"/>
      <c r="I67" s="38"/>
      <c r="J67" s="60"/>
      <c r="K67" s="56"/>
    </row>
    <row r="68" spans="1:11" ht="20.05" customHeight="1" x14ac:dyDescent="0.2">
      <c r="A68" s="38"/>
      <c r="B68" s="36"/>
      <c r="C68" s="38"/>
      <c r="D68" s="38"/>
      <c r="E68" s="38"/>
      <c r="F68" s="38"/>
      <c r="G68" s="38"/>
      <c r="H68" s="38"/>
      <c r="I68" s="38"/>
      <c r="J68" s="60"/>
      <c r="K68" s="56"/>
    </row>
    <row r="69" spans="1:11" ht="20.05" customHeight="1" x14ac:dyDescent="0.2">
      <c r="A69" s="38"/>
      <c r="B69" s="36"/>
      <c r="C69" s="38"/>
      <c r="D69" s="38"/>
      <c r="E69" s="38"/>
      <c r="F69" s="38"/>
      <c r="G69" s="38"/>
      <c r="H69" s="38"/>
      <c r="I69" s="38"/>
      <c r="J69" s="60"/>
      <c r="K69" s="56"/>
    </row>
    <row r="70" spans="1:11" ht="20.05" customHeight="1" x14ac:dyDescent="0.2">
      <c r="A70" s="38"/>
      <c r="B70" s="36"/>
      <c r="C70" s="38"/>
      <c r="D70" s="38"/>
      <c r="E70" s="38"/>
      <c r="F70" s="38"/>
      <c r="G70" s="38"/>
      <c r="H70" s="38"/>
      <c r="I70" s="38"/>
      <c r="J70" s="60"/>
      <c r="K70" s="56"/>
    </row>
    <row r="71" spans="1:11" ht="20.05" customHeight="1" x14ac:dyDescent="0.2">
      <c r="A71" s="38"/>
      <c r="B71" s="36"/>
      <c r="C71" s="38"/>
      <c r="D71" s="38"/>
      <c r="E71" s="38"/>
      <c r="F71" s="38"/>
      <c r="G71" s="38"/>
      <c r="H71" s="38"/>
      <c r="I71" s="38"/>
      <c r="J71" s="60"/>
      <c r="K71" s="56"/>
    </row>
    <row r="72" spans="1:11" ht="20.05" customHeight="1" x14ac:dyDescent="0.2">
      <c r="A72" s="38"/>
      <c r="B72" s="36"/>
      <c r="C72" s="38"/>
      <c r="D72" s="38"/>
      <c r="E72" s="38"/>
      <c r="F72" s="38"/>
      <c r="G72" s="38"/>
      <c r="H72" s="38"/>
      <c r="I72" s="38"/>
      <c r="J72" s="60"/>
      <c r="K72" s="56"/>
    </row>
    <row r="73" spans="1:11" ht="20.05" customHeight="1" x14ac:dyDescent="0.2">
      <c r="A73" s="38"/>
      <c r="B73" s="36"/>
      <c r="C73" s="38"/>
      <c r="D73" s="38"/>
      <c r="E73" s="38"/>
      <c r="F73" s="38"/>
      <c r="G73" s="38"/>
      <c r="H73" s="38"/>
      <c r="I73" s="38"/>
      <c r="J73" s="60"/>
      <c r="K73" s="56"/>
    </row>
    <row r="74" spans="1:11" ht="20.05" customHeight="1" x14ac:dyDescent="0.2">
      <c r="A74" s="38"/>
      <c r="B74" s="36"/>
      <c r="C74" s="38"/>
      <c r="D74" s="38"/>
      <c r="E74" s="38"/>
      <c r="F74" s="38"/>
      <c r="G74" s="38"/>
      <c r="H74" s="38"/>
      <c r="I74" s="38"/>
      <c r="J74" s="60"/>
      <c r="K74" s="56"/>
    </row>
    <row r="75" spans="1:11" ht="20.05" customHeight="1" x14ac:dyDescent="0.2">
      <c r="A75" s="38"/>
      <c r="B75" s="36"/>
      <c r="C75" s="38"/>
      <c r="D75" s="38"/>
      <c r="E75" s="38"/>
      <c r="F75" s="38"/>
      <c r="G75" s="38"/>
      <c r="H75" s="38"/>
      <c r="I75" s="38"/>
      <c r="J75" s="60"/>
      <c r="K75" s="56"/>
    </row>
    <row r="76" spans="1:11" ht="20.05" customHeight="1" x14ac:dyDescent="0.2">
      <c r="A76" s="38"/>
      <c r="B76" s="36"/>
      <c r="C76" s="38"/>
      <c r="D76" s="38"/>
      <c r="E76" s="38"/>
      <c r="F76" s="38"/>
      <c r="G76" s="38"/>
      <c r="H76" s="38"/>
      <c r="I76" s="38"/>
      <c r="J76" s="60"/>
      <c r="K76" s="56"/>
    </row>
    <row r="77" spans="1:11" ht="20.05" customHeight="1" x14ac:dyDescent="0.2">
      <c r="A77" s="38"/>
      <c r="B77" s="36"/>
      <c r="C77" s="38"/>
      <c r="D77" s="38"/>
      <c r="E77" s="38"/>
      <c r="F77" s="38"/>
      <c r="G77" s="38"/>
      <c r="H77" s="38"/>
      <c r="I77" s="38"/>
      <c r="J77" s="60"/>
      <c r="K77" s="56"/>
    </row>
    <row r="78" spans="1:11" ht="20.05" customHeight="1" x14ac:dyDescent="0.2">
      <c r="A78" s="38"/>
      <c r="B78" s="36"/>
      <c r="C78" s="38"/>
      <c r="D78" s="38"/>
      <c r="E78" s="38"/>
      <c r="F78" s="38"/>
      <c r="G78" s="38"/>
      <c r="H78" s="38"/>
      <c r="I78" s="38"/>
      <c r="J78" s="60"/>
      <c r="K78" s="56"/>
    </row>
    <row r="79" spans="1:11" ht="20.05" customHeight="1" x14ac:dyDescent="0.2">
      <c r="A79" s="38"/>
      <c r="B79" s="36"/>
      <c r="C79" s="38"/>
      <c r="D79" s="38"/>
      <c r="E79" s="38"/>
      <c r="F79" s="38"/>
      <c r="G79" s="38"/>
      <c r="H79" s="38"/>
      <c r="I79" s="38"/>
      <c r="J79" s="60"/>
      <c r="K79" s="56"/>
    </row>
    <row r="80" spans="1:11" ht="20.05" customHeight="1" x14ac:dyDescent="0.2">
      <c r="A80" s="38"/>
      <c r="B80" s="36"/>
      <c r="C80" s="38"/>
      <c r="D80" s="38"/>
      <c r="E80" s="38"/>
      <c r="F80" s="38"/>
      <c r="G80" s="38"/>
      <c r="H80" s="38"/>
      <c r="I80" s="38"/>
      <c r="J80" s="60"/>
      <c r="K80" s="56"/>
    </row>
    <row r="81" spans="1:11" ht="20.05" customHeight="1" x14ac:dyDescent="0.2">
      <c r="A81" s="38"/>
      <c r="B81" s="36"/>
      <c r="C81" s="38"/>
      <c r="D81" s="38"/>
      <c r="E81" s="38"/>
      <c r="F81" s="38"/>
      <c r="G81" s="38"/>
      <c r="H81" s="38"/>
      <c r="I81" s="38"/>
      <c r="J81" s="60"/>
      <c r="K81" s="56"/>
    </row>
    <row r="82" spans="1:11" ht="20.05" customHeight="1" x14ac:dyDescent="0.2">
      <c r="A82" s="38"/>
      <c r="B82" s="36"/>
      <c r="C82" s="38"/>
      <c r="D82" s="38"/>
      <c r="E82" s="38"/>
      <c r="F82" s="38"/>
      <c r="G82" s="38"/>
      <c r="H82" s="38"/>
      <c r="I82" s="38"/>
      <c r="J82" s="60"/>
      <c r="K82" s="56"/>
    </row>
    <row r="83" spans="1:11" ht="20.05" customHeight="1" x14ac:dyDescent="0.2">
      <c r="A83" s="38"/>
      <c r="B83" s="36"/>
      <c r="C83" s="38"/>
      <c r="D83" s="38"/>
      <c r="E83" s="38"/>
      <c r="F83" s="38"/>
      <c r="G83" s="38"/>
      <c r="H83" s="38"/>
      <c r="I83" s="38"/>
      <c r="J83" s="60"/>
      <c r="K83" s="56"/>
    </row>
    <row r="84" spans="1:11" ht="20.05" customHeight="1" x14ac:dyDescent="0.2">
      <c r="A84" s="38"/>
      <c r="B84" s="36"/>
      <c r="C84" s="38"/>
      <c r="D84" s="38"/>
      <c r="E84" s="38"/>
      <c r="F84" s="38"/>
      <c r="G84" s="38"/>
      <c r="H84" s="38"/>
      <c r="I84" s="38"/>
      <c r="J84" s="60"/>
      <c r="K84" s="56"/>
    </row>
    <row r="85" spans="1:11" ht="20.05" customHeight="1" x14ac:dyDescent="0.2">
      <c r="A85" s="38"/>
      <c r="B85" s="36"/>
      <c r="C85" s="38"/>
      <c r="D85" s="38"/>
      <c r="E85" s="38"/>
      <c r="F85" s="38"/>
      <c r="G85" s="38"/>
      <c r="H85" s="38"/>
      <c r="I85" s="38"/>
      <c r="J85" s="60"/>
      <c r="K85" s="56"/>
    </row>
    <row r="86" spans="1:11" ht="20.05" customHeight="1" x14ac:dyDescent="0.2">
      <c r="A86" s="38"/>
      <c r="B86" s="36"/>
      <c r="C86" s="38"/>
      <c r="D86" s="38"/>
      <c r="E86" s="38"/>
      <c r="F86" s="38"/>
      <c r="G86" s="38"/>
      <c r="H86" s="38"/>
      <c r="I86" s="38"/>
      <c r="J86" s="60"/>
      <c r="K86" s="56"/>
    </row>
    <row r="87" spans="1:11" ht="20.05" customHeight="1" x14ac:dyDescent="0.2">
      <c r="A87" s="38"/>
      <c r="B87" s="36"/>
      <c r="C87" s="38"/>
      <c r="D87" s="38"/>
      <c r="E87" s="38"/>
      <c r="F87" s="38"/>
      <c r="G87" s="38"/>
      <c r="H87" s="38"/>
      <c r="I87" s="38"/>
      <c r="J87" s="60"/>
      <c r="K87" s="56"/>
    </row>
    <row r="88" spans="1:11" ht="20.05" customHeight="1" x14ac:dyDescent="0.2">
      <c r="A88" s="38"/>
      <c r="B88" s="36"/>
      <c r="C88" s="38"/>
      <c r="D88" s="38"/>
      <c r="E88" s="38"/>
      <c r="F88" s="38"/>
      <c r="G88" s="38"/>
      <c r="H88" s="38"/>
      <c r="I88" s="38"/>
      <c r="J88" s="60"/>
      <c r="K88" s="56"/>
    </row>
    <row r="89" spans="1:11" ht="20.05" customHeight="1" x14ac:dyDescent="0.2">
      <c r="A89" s="38"/>
      <c r="B89" s="36"/>
      <c r="C89" s="38"/>
      <c r="D89" s="38"/>
      <c r="E89" s="38"/>
      <c r="F89" s="38"/>
      <c r="G89" s="38"/>
      <c r="H89" s="98"/>
      <c r="I89" s="38"/>
      <c r="J89" s="60"/>
      <c r="K89" s="56"/>
    </row>
    <row r="90" spans="1:11" ht="20.05" customHeight="1" x14ac:dyDescent="0.2">
      <c r="A90" s="38"/>
      <c r="B90" s="160"/>
      <c r="C90" s="161"/>
      <c r="D90" s="161"/>
      <c r="E90" s="161"/>
      <c r="F90" s="161"/>
      <c r="G90" s="161"/>
      <c r="H90" s="38"/>
      <c r="I90" s="38"/>
      <c r="J90" s="60"/>
      <c r="K90" s="56"/>
    </row>
    <row r="91" spans="1:11" ht="20.05" customHeight="1" x14ac:dyDescent="0.2">
      <c r="A91" s="38"/>
      <c r="B91" s="36"/>
      <c r="C91" s="38"/>
      <c r="D91" s="38"/>
      <c r="E91" s="38"/>
      <c r="F91" s="38"/>
      <c r="G91" s="38"/>
      <c r="H91" s="38"/>
      <c r="I91" s="38"/>
      <c r="J91" s="60"/>
      <c r="K91" s="56"/>
    </row>
    <row r="92" spans="1:11" ht="20.05" customHeight="1" x14ac:dyDescent="0.2">
      <c r="A92" s="38"/>
      <c r="B92" s="36"/>
      <c r="C92" s="38"/>
      <c r="D92" s="38"/>
      <c r="E92" s="38"/>
      <c r="F92" s="38"/>
      <c r="G92" s="38"/>
      <c r="H92" s="38"/>
      <c r="I92" s="38"/>
      <c r="J92" s="60"/>
      <c r="K92" s="56"/>
    </row>
    <row r="93" spans="1:11" ht="20.05" customHeight="1" x14ac:dyDescent="0.2">
      <c r="A93" s="38"/>
      <c r="B93" s="36"/>
      <c r="C93" s="38"/>
      <c r="D93" s="38"/>
      <c r="E93" s="38"/>
      <c r="F93" s="38"/>
      <c r="G93" s="38"/>
      <c r="H93" s="38"/>
      <c r="I93" s="38"/>
      <c r="J93" s="60"/>
      <c r="K93" s="56"/>
    </row>
    <row r="94" spans="1:11" ht="20.05" customHeight="1" x14ac:dyDescent="0.2">
      <c r="A94" s="38"/>
      <c r="B94" s="36"/>
      <c r="C94" s="38"/>
      <c r="D94" s="38"/>
      <c r="E94" s="38"/>
      <c r="F94" s="38"/>
      <c r="G94" s="38"/>
      <c r="H94" s="38"/>
      <c r="I94" s="38"/>
      <c r="J94" s="60"/>
      <c r="K94" s="56"/>
    </row>
    <row r="95" spans="1:11" ht="20.05" customHeight="1" x14ac:dyDescent="0.2">
      <c r="A95" s="38"/>
      <c r="B95" s="36"/>
      <c r="C95" s="38"/>
      <c r="D95" s="38"/>
      <c r="E95" s="38"/>
      <c r="F95" s="38"/>
      <c r="G95" s="38"/>
      <c r="H95" s="38"/>
      <c r="I95" s="38"/>
      <c r="J95" s="60"/>
      <c r="K95" s="56"/>
    </row>
    <row r="96" spans="1:11" ht="20.05" customHeight="1" x14ac:dyDescent="0.2">
      <c r="A96" s="38"/>
      <c r="B96" s="36"/>
      <c r="C96" s="38"/>
      <c r="D96" s="38"/>
      <c r="E96" s="38"/>
      <c r="F96" s="38"/>
      <c r="G96" s="38"/>
      <c r="H96" s="38"/>
      <c r="I96" s="38"/>
      <c r="J96" s="60"/>
      <c r="K96" s="56"/>
    </row>
    <row r="97" spans="1:11" ht="20.05" customHeight="1" x14ac:dyDescent="0.2">
      <c r="A97" s="38"/>
      <c r="B97" s="36"/>
      <c r="C97" s="38"/>
      <c r="D97" s="38"/>
      <c r="E97" s="38"/>
      <c r="F97" s="38"/>
      <c r="G97" s="38"/>
      <c r="H97" s="98"/>
      <c r="I97" s="38"/>
      <c r="J97" s="60"/>
      <c r="K97" s="56"/>
    </row>
    <row r="98" spans="1:11" ht="20.05" customHeight="1" x14ac:dyDescent="0.2">
      <c r="A98" s="38"/>
      <c r="B98" s="160"/>
      <c r="C98" s="160"/>
      <c r="D98" s="160"/>
      <c r="E98" s="160"/>
      <c r="F98" s="160"/>
      <c r="G98" s="160"/>
      <c r="H98" s="38"/>
      <c r="I98" s="38"/>
      <c r="J98" s="60"/>
      <c r="K98" s="56"/>
    </row>
    <row r="99" spans="1:11" ht="20.05" customHeight="1" x14ac:dyDescent="0.2">
      <c r="A99" s="38"/>
      <c r="B99" s="36"/>
      <c r="C99" s="38"/>
      <c r="D99" s="38"/>
      <c r="E99" s="41"/>
      <c r="F99" s="41"/>
      <c r="G99" s="38"/>
      <c r="H99" s="41"/>
      <c r="I99" s="38"/>
      <c r="J99" s="60"/>
      <c r="K99" s="56"/>
    </row>
    <row r="100" spans="1:11" ht="20.05" customHeight="1" x14ac:dyDescent="0.2">
      <c r="A100" s="38"/>
      <c r="B100" s="36"/>
      <c r="C100" s="38"/>
      <c r="D100" s="38"/>
      <c r="E100" s="41"/>
      <c r="F100" s="41"/>
      <c r="G100" s="38"/>
      <c r="H100" s="41"/>
      <c r="I100" s="38"/>
      <c r="J100" s="60"/>
      <c r="K100" s="56"/>
    </row>
    <row r="101" spans="1:11" ht="20.05" customHeight="1" x14ac:dyDescent="0.2">
      <c r="A101" s="38"/>
      <c r="B101" s="36"/>
      <c r="C101" s="38"/>
      <c r="D101" s="38"/>
      <c r="E101" s="41"/>
      <c r="F101" s="41"/>
      <c r="G101" s="38"/>
      <c r="H101" s="41"/>
      <c r="I101" s="38"/>
      <c r="J101" s="60"/>
      <c r="K101" s="56"/>
    </row>
    <row r="102" spans="1:11" ht="20.05" customHeight="1" x14ac:dyDescent="0.2">
      <c r="A102" s="38"/>
      <c r="B102" s="36"/>
      <c r="C102" s="38"/>
      <c r="D102" s="38"/>
      <c r="E102" s="41"/>
      <c r="F102" s="41"/>
      <c r="G102" s="38"/>
      <c r="H102" s="41"/>
      <c r="I102" s="38"/>
      <c r="J102" s="60"/>
      <c r="K102" s="56"/>
    </row>
    <row r="103" spans="1:11" ht="20.05" customHeight="1" x14ac:dyDescent="0.2">
      <c r="A103" s="38"/>
      <c r="B103" s="36"/>
      <c r="C103" s="38"/>
      <c r="D103" s="38"/>
      <c r="E103" s="41"/>
      <c r="F103" s="41"/>
      <c r="G103" s="38"/>
      <c r="H103" s="41"/>
      <c r="I103" s="38"/>
      <c r="J103" s="60"/>
      <c r="K103" s="56"/>
    </row>
    <row r="104" spans="1:11" ht="20.05" customHeight="1" x14ac:dyDescent="0.2">
      <c r="A104" s="38"/>
      <c r="B104" s="36"/>
      <c r="C104" s="38"/>
      <c r="D104" s="38"/>
      <c r="E104" s="41"/>
      <c r="F104" s="41"/>
      <c r="G104" s="38"/>
      <c r="H104" s="41"/>
      <c r="I104" s="38"/>
      <c r="J104" s="60"/>
      <c r="K104" s="56"/>
    </row>
    <row r="105" spans="1:11" ht="20.05" customHeight="1" x14ac:dyDescent="0.2">
      <c r="A105" s="38"/>
      <c r="B105" s="36"/>
      <c r="C105" s="38"/>
      <c r="D105" s="38"/>
      <c r="E105" s="41"/>
      <c r="F105" s="41"/>
      <c r="G105" s="38"/>
      <c r="H105" s="41"/>
      <c r="I105" s="38"/>
      <c r="J105" s="60"/>
      <c r="K105" s="56"/>
    </row>
    <row r="106" spans="1:11" ht="20.05" customHeight="1" x14ac:dyDescent="0.2">
      <c r="A106" s="38"/>
      <c r="B106" s="36"/>
      <c r="C106" s="38"/>
      <c r="D106" s="38"/>
      <c r="E106" s="41"/>
      <c r="F106" s="41"/>
      <c r="G106" s="38"/>
      <c r="H106" s="41"/>
      <c r="I106" s="38"/>
      <c r="J106" s="60"/>
      <c r="K106" s="56"/>
    </row>
    <row r="107" spans="1:11" ht="20.05" customHeight="1" x14ac:dyDescent="0.2">
      <c r="A107" s="38"/>
      <c r="B107" s="36"/>
      <c r="C107" s="38"/>
      <c r="D107" s="38"/>
      <c r="E107" s="41"/>
      <c r="F107" s="41"/>
      <c r="G107" s="38"/>
      <c r="H107" s="41"/>
      <c r="I107" s="38"/>
      <c r="J107" s="60"/>
      <c r="K107" s="56"/>
    </row>
    <row r="108" spans="1:11" ht="20.05" customHeight="1" x14ac:dyDescent="0.2">
      <c r="A108" s="38"/>
      <c r="B108" s="36"/>
      <c r="C108" s="38"/>
      <c r="D108" s="38"/>
      <c r="E108" s="41"/>
      <c r="F108" s="41"/>
      <c r="G108" s="38"/>
      <c r="H108" s="41"/>
      <c r="I108" s="38"/>
      <c r="J108" s="60"/>
      <c r="K108" s="56"/>
    </row>
    <row r="109" spans="1:11" ht="20.05" customHeight="1" x14ac:dyDescent="0.2">
      <c r="A109" s="38"/>
      <c r="B109" s="36"/>
      <c r="C109" s="38"/>
      <c r="D109" s="38"/>
      <c r="E109" s="41"/>
      <c r="F109" s="41"/>
      <c r="G109" s="38"/>
      <c r="H109" s="41"/>
      <c r="I109" s="38"/>
      <c r="J109" s="60"/>
      <c r="K109" s="56"/>
    </row>
    <row r="110" spans="1:11" ht="20.05" customHeight="1" x14ac:dyDescent="0.2">
      <c r="A110" s="38"/>
      <c r="B110" s="36"/>
      <c r="C110" s="38"/>
      <c r="D110" s="38"/>
      <c r="E110" s="41"/>
      <c r="F110" s="41"/>
      <c r="G110" s="38"/>
      <c r="H110" s="41"/>
      <c r="I110" s="38"/>
      <c r="J110" s="60"/>
      <c r="K110" s="56"/>
    </row>
    <row r="111" spans="1:11" ht="20.05" customHeight="1" x14ac:dyDescent="0.2">
      <c r="A111" s="38"/>
      <c r="B111" s="36"/>
      <c r="C111" s="38"/>
      <c r="D111" s="38"/>
      <c r="E111" s="41"/>
      <c r="F111" s="41"/>
      <c r="G111" s="38"/>
      <c r="H111" s="41"/>
      <c r="I111" s="38"/>
      <c r="J111" s="60"/>
      <c r="K111" s="56"/>
    </row>
    <row r="112" spans="1:11" ht="20.05" customHeight="1" x14ac:dyDescent="0.2">
      <c r="A112" s="38"/>
      <c r="B112" s="36"/>
      <c r="C112" s="38"/>
      <c r="D112" s="38"/>
      <c r="E112" s="41"/>
      <c r="F112" s="41"/>
      <c r="G112" s="38"/>
      <c r="H112" s="41"/>
      <c r="I112" s="38"/>
      <c r="J112" s="60"/>
      <c r="K112" s="56"/>
    </row>
    <row r="113" spans="1:11" ht="20.05" customHeight="1" x14ac:dyDescent="0.2">
      <c r="A113" s="38"/>
      <c r="B113" s="36"/>
      <c r="C113" s="38"/>
      <c r="D113" s="38"/>
      <c r="E113" s="41"/>
      <c r="F113" s="41"/>
      <c r="G113" s="38"/>
      <c r="H113" s="41"/>
      <c r="I113" s="38"/>
      <c r="J113" s="60"/>
      <c r="K113" s="56"/>
    </row>
    <row r="114" spans="1:11" ht="20.05" customHeight="1" x14ac:dyDescent="0.2">
      <c r="A114" s="38"/>
      <c r="B114" s="36"/>
      <c r="C114" s="38"/>
      <c r="D114" s="38"/>
      <c r="E114" s="41"/>
      <c r="F114" s="41"/>
      <c r="G114" s="38"/>
      <c r="H114" s="41"/>
      <c r="I114" s="38"/>
      <c r="J114" s="60"/>
      <c r="K114" s="56"/>
    </row>
    <row r="115" spans="1:11" ht="20.05" customHeight="1" x14ac:dyDescent="0.2">
      <c r="A115" s="38"/>
      <c r="B115" s="36"/>
      <c r="C115" s="38"/>
      <c r="D115" s="38"/>
      <c r="E115" s="41"/>
      <c r="F115" s="41"/>
      <c r="G115" s="38"/>
      <c r="H115" s="41"/>
      <c r="I115" s="38"/>
      <c r="J115" s="60"/>
      <c r="K115" s="56"/>
    </row>
    <row r="116" spans="1:11" ht="20.05" customHeight="1" x14ac:dyDescent="0.2">
      <c r="A116" s="38"/>
      <c r="B116" s="36"/>
      <c r="C116" s="38"/>
      <c r="D116" s="38"/>
      <c r="E116" s="41"/>
      <c r="F116" s="41"/>
      <c r="G116" s="38"/>
      <c r="H116" s="41"/>
      <c r="I116" s="38"/>
      <c r="J116" s="60"/>
      <c r="K116" s="56"/>
    </row>
    <row r="117" spans="1:11" ht="20.05" customHeight="1" x14ac:dyDescent="0.2">
      <c r="A117" s="38"/>
      <c r="B117" s="36"/>
      <c r="C117" s="38"/>
      <c r="D117" s="38"/>
      <c r="E117" s="41"/>
      <c r="F117" s="41"/>
      <c r="G117" s="38"/>
      <c r="H117" s="41"/>
      <c r="I117" s="38"/>
      <c r="J117" s="60"/>
      <c r="K117" s="56"/>
    </row>
    <row r="118" spans="1:11" ht="20.05" customHeight="1" x14ac:dyDescent="0.2">
      <c r="A118" s="38"/>
      <c r="B118" s="36"/>
      <c r="C118" s="38"/>
      <c r="D118" s="38"/>
      <c r="E118" s="41"/>
      <c r="F118" s="41"/>
      <c r="G118" s="38"/>
      <c r="H118" s="41"/>
      <c r="I118" s="38"/>
      <c r="J118" s="60"/>
      <c r="K118" s="56"/>
    </row>
    <row r="119" spans="1:11" ht="20.05" customHeight="1" x14ac:dyDescent="0.2">
      <c r="A119" s="38"/>
      <c r="B119" s="36"/>
      <c r="C119" s="38"/>
      <c r="D119" s="38"/>
      <c r="E119" s="41"/>
      <c r="F119" s="41"/>
      <c r="G119" s="38"/>
      <c r="H119" s="41"/>
      <c r="I119" s="38"/>
      <c r="J119" s="60"/>
      <c r="K119" s="56"/>
    </row>
    <row r="120" spans="1:11" ht="20.05" customHeight="1" x14ac:dyDescent="0.2">
      <c r="A120" s="38"/>
      <c r="B120" s="36"/>
      <c r="C120" s="38"/>
      <c r="D120" s="38"/>
      <c r="E120" s="41"/>
      <c r="F120" s="41"/>
      <c r="G120" s="38"/>
      <c r="H120" s="41"/>
      <c r="I120" s="38"/>
      <c r="J120" s="60"/>
      <c r="K120" s="56"/>
    </row>
    <row r="121" spans="1:11" ht="20.05" customHeight="1" x14ac:dyDescent="0.2">
      <c r="A121" s="38"/>
      <c r="B121" s="36"/>
      <c r="C121" s="38"/>
      <c r="D121" s="38"/>
      <c r="E121" s="41"/>
      <c r="F121" s="41"/>
      <c r="G121" s="38"/>
      <c r="H121" s="41"/>
      <c r="I121" s="38"/>
      <c r="J121" s="60"/>
      <c r="K121" s="56"/>
    </row>
    <row r="122" spans="1:11" ht="20.05" customHeight="1" x14ac:dyDescent="0.2">
      <c r="A122" s="38"/>
      <c r="B122" s="36"/>
      <c r="C122" s="38"/>
      <c r="D122" s="38"/>
      <c r="E122" s="41"/>
      <c r="F122" s="41"/>
      <c r="G122" s="38"/>
      <c r="H122" s="41"/>
      <c r="I122" s="38"/>
      <c r="J122" s="60"/>
      <c r="K122" s="56"/>
    </row>
    <row r="123" spans="1:11" ht="20.05" customHeight="1" x14ac:dyDescent="0.2">
      <c r="A123" s="38"/>
      <c r="B123" s="36"/>
      <c r="C123" s="38"/>
      <c r="D123" s="38"/>
      <c r="E123" s="41"/>
      <c r="F123" s="41"/>
      <c r="G123" s="38"/>
      <c r="H123" s="41"/>
      <c r="I123" s="38"/>
      <c r="J123" s="60"/>
      <c r="K123" s="56"/>
    </row>
    <row r="124" spans="1:11" ht="20.05" customHeight="1" x14ac:dyDescent="0.2">
      <c r="A124" s="38"/>
      <c r="B124" s="36"/>
      <c r="C124" s="38"/>
      <c r="D124" s="38"/>
      <c r="E124" s="41"/>
      <c r="F124" s="41"/>
      <c r="G124" s="38"/>
      <c r="H124" s="41"/>
      <c r="I124" s="38"/>
      <c r="J124" s="60"/>
      <c r="K124" s="56"/>
    </row>
    <row r="125" spans="1:11" ht="20.05" customHeight="1" x14ac:dyDescent="0.2">
      <c r="A125" s="38"/>
      <c r="B125" s="36"/>
      <c r="C125" s="38"/>
      <c r="D125" s="38"/>
      <c r="E125" s="41"/>
      <c r="F125" s="41"/>
      <c r="G125" s="38"/>
      <c r="H125" s="41"/>
      <c r="I125" s="38"/>
      <c r="J125" s="60"/>
      <c r="K125" s="56"/>
    </row>
    <row r="126" spans="1:11" ht="20.05" customHeight="1" x14ac:dyDescent="0.2">
      <c r="A126" s="38"/>
      <c r="B126" s="36"/>
      <c r="C126" s="38"/>
      <c r="D126" s="38"/>
      <c r="E126" s="41"/>
      <c r="F126" s="41"/>
      <c r="G126" s="38"/>
      <c r="H126" s="41"/>
      <c r="I126" s="38"/>
      <c r="J126" s="60"/>
      <c r="K126" s="56"/>
    </row>
    <row r="127" spans="1:11" ht="20.05" customHeight="1" x14ac:dyDescent="0.2">
      <c r="A127" s="38"/>
      <c r="B127" s="36"/>
      <c r="C127" s="38"/>
      <c r="D127" s="38"/>
      <c r="E127" s="41"/>
      <c r="F127" s="41"/>
      <c r="G127" s="38"/>
      <c r="H127" s="41"/>
      <c r="I127" s="38"/>
      <c r="J127" s="60"/>
      <c r="K127" s="56"/>
    </row>
    <row r="128" spans="1:11" ht="20.05" customHeight="1" x14ac:dyDescent="0.2">
      <c r="A128" s="38"/>
      <c r="B128" s="36"/>
      <c r="C128" s="38"/>
      <c r="D128" s="38"/>
      <c r="E128" s="41"/>
      <c r="F128" s="41"/>
      <c r="G128" s="38"/>
      <c r="H128" s="41"/>
      <c r="I128" s="38"/>
      <c r="J128" s="60"/>
      <c r="K128" s="56"/>
    </row>
    <row r="129" spans="1:11" ht="20.05" customHeight="1" x14ac:dyDescent="0.2">
      <c r="A129" s="38"/>
      <c r="B129" s="36"/>
      <c r="C129" s="38"/>
      <c r="D129" s="38"/>
      <c r="E129" s="41"/>
      <c r="F129" s="41"/>
      <c r="G129" s="38"/>
      <c r="H129" s="41"/>
      <c r="I129" s="38"/>
      <c r="J129" s="60"/>
      <c r="K129" s="56"/>
    </row>
    <row r="130" spans="1:11" ht="20.05" customHeight="1" x14ac:dyDescent="0.2">
      <c r="A130" s="38"/>
      <c r="B130" s="36"/>
      <c r="C130" s="38"/>
      <c r="D130" s="38"/>
      <c r="E130" s="41"/>
      <c r="F130" s="41"/>
      <c r="G130" s="38"/>
      <c r="H130" s="41"/>
      <c r="I130" s="38"/>
      <c r="J130" s="60"/>
      <c r="K130" s="56"/>
    </row>
    <row r="131" spans="1:11" ht="20.05" customHeight="1" x14ac:dyDescent="0.2">
      <c r="A131" s="38"/>
      <c r="B131" s="36"/>
      <c r="C131" s="38"/>
      <c r="D131" s="38"/>
      <c r="E131" s="41"/>
      <c r="F131" s="41"/>
      <c r="G131" s="38"/>
      <c r="H131" s="41"/>
      <c r="I131" s="38"/>
      <c r="J131" s="60"/>
      <c r="K131" s="56"/>
    </row>
    <row r="132" spans="1:11" ht="20.05" customHeight="1" x14ac:dyDescent="0.2">
      <c r="A132" s="38"/>
      <c r="B132" s="36"/>
      <c r="C132" s="38"/>
      <c r="D132" s="38"/>
      <c r="E132" s="41"/>
      <c r="F132" s="41"/>
      <c r="G132" s="38"/>
      <c r="H132" s="41"/>
      <c r="I132" s="38"/>
      <c r="J132" s="60"/>
      <c r="K132" s="56"/>
    </row>
    <row r="133" spans="1:11" ht="20.05" customHeight="1" x14ac:dyDescent="0.2">
      <c r="A133" s="38"/>
      <c r="B133" s="36"/>
      <c r="C133" s="38"/>
      <c r="D133" s="38"/>
      <c r="E133" s="41"/>
      <c r="F133" s="41"/>
      <c r="G133" s="38"/>
      <c r="H133" s="41"/>
      <c r="I133" s="38"/>
      <c r="J133" s="60"/>
      <c r="K133" s="56"/>
    </row>
    <row r="134" spans="1:11" ht="20.05" customHeight="1" x14ac:dyDescent="0.2">
      <c r="A134" s="38"/>
      <c r="B134" s="36"/>
      <c r="C134" s="38"/>
      <c r="D134" s="38"/>
      <c r="E134" s="41"/>
      <c r="F134" s="41"/>
      <c r="G134" s="38"/>
      <c r="H134" s="41"/>
      <c r="I134" s="38"/>
      <c r="J134" s="60"/>
      <c r="K134" s="56"/>
    </row>
    <row r="135" spans="1:11" ht="20.05" customHeight="1" x14ac:dyDescent="0.2">
      <c r="A135" s="38"/>
      <c r="B135" s="36"/>
      <c r="C135" s="38"/>
      <c r="D135" s="38"/>
      <c r="E135" s="41"/>
      <c r="F135" s="41"/>
      <c r="G135" s="38"/>
      <c r="H135" s="41"/>
      <c r="I135" s="38"/>
      <c r="J135" s="60"/>
      <c r="K135" s="56"/>
    </row>
    <row r="136" spans="1:11" ht="20.05" customHeight="1" x14ac:dyDescent="0.2">
      <c r="A136" s="38"/>
      <c r="B136" s="36"/>
      <c r="C136" s="38"/>
      <c r="D136" s="38"/>
      <c r="E136" s="41"/>
      <c r="F136" s="41"/>
      <c r="G136" s="38"/>
      <c r="H136" s="41"/>
      <c r="I136" s="38"/>
      <c r="J136" s="60"/>
      <c r="K136" s="56"/>
    </row>
    <row r="137" spans="1:11" ht="20.05" customHeight="1" x14ac:dyDescent="0.2">
      <c r="A137" s="38"/>
      <c r="B137" s="36"/>
      <c r="C137" s="38"/>
      <c r="D137" s="38"/>
      <c r="E137" s="41"/>
      <c r="F137" s="41"/>
      <c r="G137" s="38"/>
      <c r="H137" s="41"/>
      <c r="I137" s="38"/>
      <c r="J137" s="60"/>
      <c r="K137" s="56"/>
    </row>
    <row r="138" spans="1:11" ht="20.05" customHeight="1" x14ac:dyDescent="0.2">
      <c r="A138" s="38"/>
      <c r="B138" s="36"/>
      <c r="C138" s="38"/>
      <c r="D138" s="38"/>
      <c r="E138" s="41"/>
      <c r="F138" s="41"/>
      <c r="G138" s="38"/>
      <c r="H138" s="41"/>
      <c r="I138" s="38"/>
      <c r="J138" s="60"/>
      <c r="K138" s="56"/>
    </row>
    <row r="139" spans="1:11" ht="20.05" customHeight="1" x14ac:dyDescent="0.2">
      <c r="A139" s="38"/>
      <c r="B139" s="36"/>
      <c r="C139" s="38"/>
      <c r="D139" s="38"/>
      <c r="E139" s="41"/>
      <c r="F139" s="41"/>
      <c r="G139" s="38"/>
      <c r="H139" s="41"/>
      <c r="I139" s="38"/>
      <c r="J139" s="60"/>
      <c r="K139" s="56"/>
    </row>
    <row r="140" spans="1:11" ht="20.05" customHeight="1" x14ac:dyDescent="0.2">
      <c r="A140" s="38"/>
      <c r="B140" s="36"/>
      <c r="C140" s="38"/>
      <c r="D140" s="38"/>
      <c r="E140" s="41"/>
      <c r="F140" s="41"/>
      <c r="G140" s="38"/>
      <c r="H140" s="41"/>
      <c r="I140" s="38"/>
      <c r="J140" s="60"/>
      <c r="K140" s="56"/>
    </row>
    <row r="141" spans="1:11" ht="20.05" customHeight="1" x14ac:dyDescent="0.2">
      <c r="A141" s="38"/>
      <c r="B141" s="36"/>
      <c r="C141" s="38"/>
      <c r="D141" s="38"/>
      <c r="E141" s="41"/>
      <c r="F141" s="41"/>
      <c r="G141" s="38"/>
      <c r="H141" s="41"/>
      <c r="I141" s="38"/>
      <c r="J141" s="60"/>
      <c r="K141" s="56"/>
    </row>
    <row r="142" spans="1:11" ht="20.05" customHeight="1" x14ac:dyDescent="0.2">
      <c r="A142" s="38"/>
      <c r="B142" s="36"/>
      <c r="C142" s="38"/>
      <c r="D142" s="38"/>
      <c r="E142" s="41"/>
      <c r="F142" s="41"/>
      <c r="G142" s="38"/>
      <c r="H142" s="41"/>
      <c r="I142" s="38"/>
      <c r="J142" s="60"/>
      <c r="K142" s="56"/>
    </row>
    <row r="143" spans="1:11" ht="20.05" customHeight="1" x14ac:dyDescent="0.2">
      <c r="A143" s="38"/>
      <c r="B143" s="36"/>
      <c r="C143" s="38"/>
      <c r="D143" s="38"/>
      <c r="E143" s="41"/>
      <c r="F143" s="41"/>
      <c r="G143" s="38"/>
      <c r="H143" s="41"/>
      <c r="I143" s="38"/>
      <c r="J143" s="60"/>
      <c r="K143" s="56"/>
    </row>
    <row r="144" spans="1:11" ht="20.05" customHeight="1" x14ac:dyDescent="0.2">
      <c r="A144" s="38"/>
      <c r="B144" s="36"/>
      <c r="C144" s="38"/>
      <c r="D144" s="38"/>
      <c r="E144" s="38"/>
      <c r="F144" s="38"/>
      <c r="G144" s="38"/>
      <c r="H144" s="42"/>
      <c r="I144" s="38"/>
      <c r="J144" s="60"/>
      <c r="K144" s="56"/>
    </row>
    <row r="145" spans="1:11" ht="20.05" customHeight="1" x14ac:dyDescent="0.2">
      <c r="A145" s="38"/>
      <c r="B145" s="160"/>
      <c r="C145" s="160"/>
      <c r="D145" s="160"/>
      <c r="E145" s="160"/>
      <c r="F145" s="160"/>
      <c r="G145" s="160"/>
      <c r="H145" s="38"/>
      <c r="I145" s="38"/>
      <c r="J145" s="60"/>
      <c r="K145" s="56"/>
    </row>
    <row r="146" spans="1:11" ht="20.05" customHeight="1" x14ac:dyDescent="0.2">
      <c r="A146" s="38"/>
      <c r="B146" s="36"/>
      <c r="C146" s="38"/>
      <c r="D146" s="38"/>
      <c r="E146" s="41"/>
      <c r="F146" s="38"/>
      <c r="G146" s="38"/>
      <c r="H146" s="41"/>
      <c r="I146" s="38"/>
      <c r="J146" s="60"/>
      <c r="K146" s="56"/>
    </row>
    <row r="147" spans="1:11" ht="20.05" customHeight="1" x14ac:dyDescent="0.2">
      <c r="A147" s="38"/>
      <c r="B147" s="36"/>
      <c r="C147" s="38"/>
      <c r="D147" s="38"/>
      <c r="E147" s="41"/>
      <c r="F147" s="38"/>
      <c r="G147" s="38"/>
      <c r="H147" s="41"/>
      <c r="I147" s="38"/>
      <c r="J147" s="60"/>
      <c r="K147" s="56"/>
    </row>
    <row r="148" spans="1:11" ht="20.05" customHeight="1" x14ac:dyDescent="0.2">
      <c r="A148" s="38"/>
      <c r="B148" s="36"/>
      <c r="C148" s="38"/>
      <c r="D148" s="38"/>
      <c r="E148" s="41"/>
      <c r="F148" s="38"/>
      <c r="G148" s="38"/>
      <c r="H148" s="41"/>
      <c r="I148" s="38"/>
      <c r="J148" s="60"/>
      <c r="K148" s="56"/>
    </row>
    <row r="149" spans="1:11" ht="20.05" customHeight="1" x14ac:dyDescent="0.2">
      <c r="A149" s="38"/>
      <c r="B149" s="36"/>
      <c r="C149" s="38"/>
      <c r="D149" s="38"/>
      <c r="E149" s="41"/>
      <c r="F149" s="38"/>
      <c r="G149" s="38"/>
      <c r="H149" s="41"/>
      <c r="I149" s="38"/>
      <c r="J149" s="60"/>
      <c r="K149" s="56"/>
    </row>
    <row r="150" spans="1:11" ht="20.05" customHeight="1" x14ac:dyDescent="0.2">
      <c r="A150" s="38"/>
      <c r="B150" s="36"/>
      <c r="C150" s="38"/>
      <c r="D150" s="38"/>
      <c r="E150" s="41"/>
      <c r="F150" s="38"/>
      <c r="G150" s="38"/>
      <c r="H150" s="41"/>
      <c r="I150" s="38"/>
      <c r="J150" s="60"/>
      <c r="K150" s="56"/>
    </row>
    <row r="151" spans="1:11" ht="20.05" customHeight="1" x14ac:dyDescent="0.2">
      <c r="A151" s="38"/>
      <c r="B151" s="36"/>
      <c r="C151" s="38"/>
      <c r="D151" s="38"/>
      <c r="E151" s="41"/>
      <c r="F151" s="38"/>
      <c r="G151" s="38"/>
      <c r="H151" s="41"/>
      <c r="I151" s="38"/>
      <c r="J151" s="60"/>
      <c r="K151" s="56"/>
    </row>
    <row r="152" spans="1:11" ht="20.05" customHeight="1" x14ac:dyDescent="0.2">
      <c r="A152" s="38"/>
      <c r="B152" s="36"/>
      <c r="C152" s="38"/>
      <c r="D152" s="38"/>
      <c r="E152" s="41"/>
      <c r="F152" s="38"/>
      <c r="G152" s="38"/>
      <c r="H152" s="41"/>
      <c r="I152" s="38"/>
      <c r="J152" s="60"/>
      <c r="K152" s="56"/>
    </row>
    <row r="153" spans="1:11" ht="20.05" customHeight="1" x14ac:dyDescent="0.2">
      <c r="A153" s="38"/>
      <c r="B153" s="36"/>
      <c r="C153" s="38"/>
      <c r="D153" s="38"/>
      <c r="E153" s="41"/>
      <c r="F153" s="38"/>
      <c r="G153" s="38"/>
      <c r="H153" s="41"/>
      <c r="I153" s="38"/>
      <c r="J153" s="60"/>
      <c r="K153" s="56"/>
    </row>
    <row r="154" spans="1:11" ht="20.05" customHeight="1" x14ac:dyDescent="0.2">
      <c r="A154" s="38"/>
      <c r="B154" s="36"/>
      <c r="C154" s="38"/>
      <c r="D154" s="38"/>
      <c r="E154" s="41"/>
      <c r="F154" s="38"/>
      <c r="G154" s="38"/>
      <c r="H154" s="41"/>
      <c r="I154" s="38"/>
      <c r="J154" s="60"/>
      <c r="K154" s="56"/>
    </row>
    <row r="155" spans="1:11" ht="20.05" customHeight="1" x14ac:dyDescent="0.2">
      <c r="A155" s="38"/>
      <c r="B155" s="36"/>
      <c r="C155" s="38"/>
      <c r="D155" s="38"/>
      <c r="E155" s="41"/>
      <c r="F155" s="38"/>
      <c r="G155" s="38"/>
      <c r="H155" s="41"/>
      <c r="I155" s="38"/>
      <c r="J155" s="60"/>
      <c r="K155" s="56"/>
    </row>
    <row r="156" spans="1:11" ht="20.05" customHeight="1" x14ac:dyDescent="0.2">
      <c r="A156" s="38"/>
      <c r="B156" s="36"/>
      <c r="C156" s="38"/>
      <c r="D156" s="38"/>
      <c r="E156" s="41"/>
      <c r="F156" s="38"/>
      <c r="G156" s="38"/>
      <c r="H156" s="41"/>
      <c r="I156" s="38"/>
      <c r="J156" s="60"/>
      <c r="K156" s="56"/>
    </row>
    <row r="157" spans="1:11" ht="20.05" customHeight="1" x14ac:dyDescent="0.2">
      <c r="A157" s="38"/>
      <c r="B157" s="36"/>
      <c r="C157" s="38"/>
      <c r="D157" s="38"/>
      <c r="E157" s="41"/>
      <c r="F157" s="38"/>
      <c r="G157" s="38"/>
      <c r="H157" s="41"/>
      <c r="I157" s="38"/>
      <c r="J157" s="60"/>
      <c r="K157" s="56"/>
    </row>
    <row r="158" spans="1:11" ht="20.05" customHeight="1" x14ac:dyDescent="0.2">
      <c r="A158" s="38"/>
      <c r="B158" s="36"/>
      <c r="C158" s="38"/>
      <c r="D158" s="38"/>
      <c r="E158" s="41"/>
      <c r="F158" s="38"/>
      <c r="G158" s="38"/>
      <c r="H158" s="41"/>
      <c r="I158" s="38"/>
      <c r="J158" s="60"/>
      <c r="K158" s="56"/>
    </row>
    <row r="159" spans="1:11" ht="20.05" customHeight="1" x14ac:dyDescent="0.2">
      <c r="A159" s="38"/>
      <c r="B159" s="36"/>
      <c r="C159" s="38"/>
      <c r="D159" s="38"/>
      <c r="E159" s="41"/>
      <c r="F159" s="38"/>
      <c r="G159" s="38"/>
      <c r="H159" s="41"/>
      <c r="I159" s="38"/>
      <c r="J159" s="60"/>
      <c r="K159" s="56"/>
    </row>
    <row r="160" spans="1:11" ht="20.05" customHeight="1" x14ac:dyDescent="0.2">
      <c r="A160" s="38"/>
      <c r="B160" s="36"/>
      <c r="C160" s="38"/>
      <c r="D160" s="38"/>
      <c r="E160" s="41"/>
      <c r="F160" s="38"/>
      <c r="G160" s="38"/>
      <c r="H160" s="41"/>
      <c r="I160" s="38"/>
      <c r="J160" s="60"/>
      <c r="K160" s="56"/>
    </row>
    <row r="161" spans="1:11" ht="20.05" customHeight="1" x14ac:dyDescent="0.2">
      <c r="A161" s="38"/>
      <c r="B161" s="36"/>
      <c r="C161" s="38"/>
      <c r="D161" s="38"/>
      <c r="E161" s="41"/>
      <c r="F161" s="38"/>
      <c r="G161" s="38"/>
      <c r="H161" s="41"/>
      <c r="I161" s="38"/>
      <c r="J161" s="60"/>
      <c r="K161" s="56"/>
    </row>
    <row r="162" spans="1:11" ht="20.05" customHeight="1" x14ac:dyDescent="0.2">
      <c r="A162" s="38"/>
      <c r="B162" s="36"/>
      <c r="C162" s="38"/>
      <c r="D162" s="38"/>
      <c r="E162" s="41"/>
      <c r="F162" s="38"/>
      <c r="G162" s="38"/>
      <c r="H162" s="41"/>
      <c r="I162" s="38"/>
      <c r="J162" s="60"/>
      <c r="K162" s="56"/>
    </row>
    <row r="163" spans="1:11" ht="20.05" customHeight="1" x14ac:dyDescent="0.2">
      <c r="A163" s="38"/>
      <c r="B163" s="36"/>
      <c r="C163" s="38"/>
      <c r="D163" s="38"/>
      <c r="E163" s="41"/>
      <c r="F163" s="38"/>
      <c r="G163" s="38"/>
      <c r="H163" s="41"/>
      <c r="I163" s="38"/>
      <c r="J163" s="60"/>
      <c r="K163" s="56"/>
    </row>
    <row r="164" spans="1:11" ht="20.05" customHeight="1" x14ac:dyDescent="0.2">
      <c r="A164" s="38"/>
      <c r="B164" s="36"/>
      <c r="C164" s="38"/>
      <c r="D164" s="38"/>
      <c r="E164" s="41"/>
      <c r="F164" s="38"/>
      <c r="G164" s="38"/>
      <c r="H164" s="41"/>
      <c r="I164" s="38"/>
      <c r="J164" s="60"/>
      <c r="K164" s="56"/>
    </row>
    <row r="165" spans="1:11" ht="20.05" customHeight="1" x14ac:dyDescent="0.2">
      <c r="A165" s="38"/>
      <c r="B165" s="36"/>
      <c r="C165" s="38"/>
      <c r="D165" s="38"/>
      <c r="E165" s="41"/>
      <c r="F165" s="38"/>
      <c r="G165" s="38"/>
      <c r="H165" s="41"/>
      <c r="I165" s="38"/>
      <c r="J165" s="60"/>
      <c r="K165" s="56"/>
    </row>
    <row r="166" spans="1:11" ht="20.05" customHeight="1" x14ac:dyDescent="0.2">
      <c r="A166" s="38"/>
      <c r="B166" s="36"/>
      <c r="C166" s="38"/>
      <c r="D166" s="38"/>
      <c r="E166" s="41"/>
      <c r="F166" s="38"/>
      <c r="G166" s="38"/>
      <c r="H166" s="41"/>
      <c r="I166" s="38"/>
      <c r="J166" s="60"/>
      <c r="K166" s="56"/>
    </row>
    <row r="167" spans="1:11" ht="20.05" customHeight="1" x14ac:dyDescent="0.2">
      <c r="A167" s="38"/>
      <c r="B167" s="36"/>
      <c r="C167" s="38"/>
      <c r="D167" s="38"/>
      <c r="E167" s="41"/>
      <c r="F167" s="38"/>
      <c r="G167" s="38"/>
      <c r="H167" s="41"/>
      <c r="I167" s="38"/>
      <c r="J167" s="60"/>
      <c r="K167" s="56"/>
    </row>
    <row r="168" spans="1:11" ht="20.05" customHeight="1" x14ac:dyDescent="0.2">
      <c r="A168" s="38"/>
      <c r="B168" s="36"/>
      <c r="C168" s="38"/>
      <c r="D168" s="38"/>
      <c r="E168" s="41"/>
      <c r="F168" s="38"/>
      <c r="G168" s="38"/>
      <c r="H168" s="41"/>
      <c r="I168" s="38"/>
      <c r="J168" s="60"/>
      <c r="K168" s="56"/>
    </row>
    <row r="169" spans="1:11" ht="20.05" customHeight="1" x14ac:dyDescent="0.2">
      <c r="A169" s="38"/>
      <c r="B169" s="36"/>
      <c r="C169" s="38"/>
      <c r="D169" s="38"/>
      <c r="E169" s="41"/>
      <c r="F169" s="38"/>
      <c r="G169" s="38"/>
      <c r="H169" s="41"/>
      <c r="I169" s="38"/>
      <c r="J169" s="60"/>
      <c r="K169" s="56"/>
    </row>
    <row r="170" spans="1:11" ht="20.05" customHeight="1" x14ac:dyDescent="0.2">
      <c r="A170" s="38"/>
      <c r="B170" s="36"/>
      <c r="C170" s="38"/>
      <c r="D170" s="38"/>
      <c r="E170" s="41"/>
      <c r="F170" s="38"/>
      <c r="G170" s="38"/>
      <c r="H170" s="41"/>
      <c r="I170" s="38"/>
      <c r="J170" s="60"/>
      <c r="K170" s="56"/>
    </row>
    <row r="171" spans="1:11" ht="20.05" customHeight="1" x14ac:dyDescent="0.2">
      <c r="A171" s="38"/>
      <c r="B171" s="36"/>
      <c r="C171" s="38"/>
      <c r="D171" s="38"/>
      <c r="E171" s="41"/>
      <c r="F171" s="38"/>
      <c r="G171" s="38"/>
      <c r="H171" s="41"/>
      <c r="I171" s="38"/>
      <c r="J171" s="60"/>
      <c r="K171" s="56"/>
    </row>
    <row r="172" spans="1:11" ht="20.05" customHeight="1" x14ac:dyDescent="0.2">
      <c r="A172" s="38"/>
      <c r="B172" s="36"/>
      <c r="C172" s="38"/>
      <c r="D172" s="38"/>
      <c r="E172" s="41"/>
      <c r="F172" s="38"/>
      <c r="G172" s="38"/>
      <c r="H172" s="41"/>
      <c r="I172" s="38"/>
      <c r="J172" s="60"/>
      <c r="K172" s="56"/>
    </row>
    <row r="173" spans="1:11" ht="20.05" customHeight="1" x14ac:dyDescent="0.2">
      <c r="A173" s="38"/>
      <c r="B173" s="36"/>
      <c r="C173" s="38"/>
      <c r="D173" s="38"/>
      <c r="E173" s="41"/>
      <c r="F173" s="38"/>
      <c r="G173" s="38"/>
      <c r="H173" s="41"/>
      <c r="I173" s="38"/>
      <c r="J173" s="60"/>
      <c r="K173" s="56"/>
    </row>
    <row r="174" spans="1:11" ht="20.05" customHeight="1" x14ac:dyDescent="0.2">
      <c r="A174" s="38"/>
      <c r="B174" s="36"/>
      <c r="C174" s="38"/>
      <c r="D174" s="38"/>
      <c r="E174" s="41"/>
      <c r="F174" s="38"/>
      <c r="G174" s="38"/>
      <c r="H174" s="41"/>
      <c r="I174" s="38"/>
      <c r="J174" s="60"/>
      <c r="K174" s="56"/>
    </row>
    <row r="175" spans="1:11" ht="20.05" customHeight="1" x14ac:dyDescent="0.2">
      <c r="A175" s="38"/>
      <c r="B175" s="36"/>
      <c r="C175" s="38"/>
      <c r="D175" s="38"/>
      <c r="E175" s="41"/>
      <c r="F175" s="38"/>
      <c r="G175" s="38"/>
      <c r="H175" s="41"/>
      <c r="I175" s="38"/>
      <c r="J175" s="60"/>
      <c r="K175" s="56"/>
    </row>
    <row r="176" spans="1:11" ht="20.05" customHeight="1" x14ac:dyDescent="0.2">
      <c r="A176" s="38"/>
      <c r="B176" s="36"/>
      <c r="C176" s="38"/>
      <c r="D176" s="38"/>
      <c r="E176" s="41"/>
      <c r="F176" s="38"/>
      <c r="G176" s="38"/>
      <c r="H176" s="41"/>
      <c r="I176" s="38"/>
      <c r="J176" s="60"/>
      <c r="K176" s="56"/>
    </row>
    <row r="177" spans="1:11" ht="20.05" customHeight="1" x14ac:dyDescent="0.2">
      <c r="A177" s="38"/>
      <c r="B177" s="36"/>
      <c r="C177" s="38"/>
      <c r="D177" s="38"/>
      <c r="E177" s="41"/>
      <c r="F177" s="38"/>
      <c r="G177" s="38"/>
      <c r="H177" s="41"/>
      <c r="I177" s="38"/>
      <c r="J177" s="60"/>
      <c r="K177" s="56"/>
    </row>
    <row r="178" spans="1:11" ht="20.05" customHeight="1" x14ac:dyDescent="0.2">
      <c r="A178" s="38"/>
      <c r="B178" s="36"/>
      <c r="C178" s="38"/>
      <c r="D178" s="38"/>
      <c r="E178" s="41"/>
      <c r="F178" s="38"/>
      <c r="G178" s="38"/>
      <c r="H178" s="41"/>
      <c r="I178" s="38"/>
      <c r="J178" s="60"/>
      <c r="K178" s="56"/>
    </row>
    <row r="179" spans="1:11" ht="20.05" customHeight="1" x14ac:dyDescent="0.2">
      <c r="A179" s="38"/>
      <c r="B179" s="36"/>
      <c r="C179" s="38"/>
      <c r="D179" s="38"/>
      <c r="E179" s="41"/>
      <c r="F179" s="38"/>
      <c r="G179" s="38"/>
      <c r="H179" s="41"/>
      <c r="I179" s="38"/>
      <c r="J179" s="60"/>
      <c r="K179" s="56"/>
    </row>
    <row r="180" spans="1:11" ht="20.05" customHeight="1" x14ac:dyDescent="0.2">
      <c r="A180" s="38"/>
      <c r="B180" s="36"/>
      <c r="C180" s="38"/>
      <c r="D180" s="38"/>
      <c r="E180" s="41"/>
      <c r="F180" s="38"/>
      <c r="G180" s="38"/>
      <c r="H180" s="41"/>
      <c r="I180" s="38"/>
      <c r="J180" s="60"/>
      <c r="K180" s="56"/>
    </row>
    <row r="181" spans="1:11" ht="20.05" customHeight="1" x14ac:dyDescent="0.2">
      <c r="A181" s="38"/>
      <c r="B181" s="36"/>
      <c r="C181" s="38"/>
      <c r="D181" s="38"/>
      <c r="E181" s="41"/>
      <c r="F181" s="38"/>
      <c r="G181" s="38"/>
      <c r="H181" s="41"/>
      <c r="I181" s="38"/>
      <c r="J181" s="60"/>
      <c r="K181" s="56"/>
    </row>
    <row r="182" spans="1:11" ht="20.05" customHeight="1" x14ac:dyDescent="0.2">
      <c r="A182" s="38"/>
      <c r="B182" s="36"/>
      <c r="C182" s="38"/>
      <c r="D182" s="38"/>
      <c r="E182" s="41"/>
      <c r="F182" s="38"/>
      <c r="G182" s="38"/>
      <c r="H182" s="41"/>
      <c r="I182" s="38"/>
      <c r="J182" s="60"/>
      <c r="K182" s="56"/>
    </row>
    <row r="183" spans="1:11" ht="20.05" customHeight="1" x14ac:dyDescent="0.2">
      <c r="A183" s="38"/>
      <c r="B183" s="36"/>
      <c r="C183" s="38"/>
      <c r="D183" s="38"/>
      <c r="E183" s="41"/>
      <c r="F183" s="38"/>
      <c r="G183" s="38"/>
      <c r="H183" s="41"/>
      <c r="I183" s="38"/>
      <c r="J183" s="60"/>
      <c r="K183" s="56"/>
    </row>
    <row r="184" spans="1:11" ht="20.05" customHeight="1" x14ac:dyDescent="0.2">
      <c r="A184" s="38"/>
      <c r="B184" s="36"/>
      <c r="C184" s="38"/>
      <c r="D184" s="38"/>
      <c r="E184" s="41"/>
      <c r="F184" s="38"/>
      <c r="G184" s="38"/>
      <c r="H184" s="41"/>
      <c r="I184" s="38"/>
      <c r="J184" s="60"/>
      <c r="K184" s="56"/>
    </row>
    <row r="185" spans="1:11" ht="20.05" customHeight="1" x14ac:dyDescent="0.2">
      <c r="A185" s="38"/>
      <c r="B185" s="36"/>
      <c r="C185" s="38"/>
      <c r="D185" s="38"/>
      <c r="E185" s="41"/>
      <c r="F185" s="38"/>
      <c r="G185" s="38"/>
      <c r="H185" s="41"/>
      <c r="I185" s="38"/>
      <c r="J185" s="60"/>
      <c r="K185" s="56"/>
    </row>
    <row r="186" spans="1:11" ht="20.05" customHeight="1" x14ac:dyDescent="0.2">
      <c r="A186" s="38"/>
      <c r="B186" s="36"/>
      <c r="C186" s="38"/>
      <c r="D186" s="38"/>
      <c r="E186" s="41"/>
      <c r="F186" s="38"/>
      <c r="G186" s="38"/>
      <c r="H186" s="41"/>
      <c r="I186" s="38"/>
      <c r="J186" s="60"/>
      <c r="K186" s="56"/>
    </row>
    <row r="187" spans="1:11" ht="20.05" customHeight="1" x14ac:dyDescent="0.2">
      <c r="A187" s="38"/>
      <c r="B187" s="36"/>
      <c r="C187" s="38"/>
      <c r="D187" s="38"/>
      <c r="E187" s="41"/>
      <c r="F187" s="38"/>
      <c r="G187" s="38"/>
      <c r="H187" s="41"/>
      <c r="I187" s="38"/>
      <c r="J187" s="60"/>
      <c r="K187" s="56"/>
    </row>
    <row r="188" spans="1:11" ht="20.05" customHeight="1" x14ac:dyDescent="0.2">
      <c r="A188" s="38"/>
      <c r="B188" s="36"/>
      <c r="C188" s="38"/>
      <c r="D188" s="38"/>
      <c r="E188" s="41"/>
      <c r="F188" s="38"/>
      <c r="G188" s="38"/>
      <c r="H188" s="41"/>
      <c r="I188" s="38"/>
      <c r="J188" s="60"/>
      <c r="K188" s="56"/>
    </row>
    <row r="189" spans="1:11" ht="20.05" customHeight="1" x14ac:dyDescent="0.2">
      <c r="A189" s="38"/>
      <c r="B189" s="36"/>
      <c r="C189" s="38"/>
      <c r="D189" s="38"/>
      <c r="E189" s="41"/>
      <c r="F189" s="38"/>
      <c r="G189" s="38"/>
      <c r="H189" s="41"/>
      <c r="I189" s="38"/>
      <c r="J189" s="60"/>
      <c r="K189" s="56"/>
    </row>
    <row r="190" spans="1:11" ht="20.05" customHeight="1" x14ac:dyDescent="0.2">
      <c r="A190" s="38"/>
      <c r="B190" s="36"/>
      <c r="C190" s="38"/>
      <c r="D190" s="38"/>
      <c r="E190" s="41"/>
      <c r="F190" s="38"/>
      <c r="G190" s="38"/>
      <c r="H190" s="41"/>
      <c r="I190" s="38"/>
      <c r="J190" s="60"/>
      <c r="K190" s="56"/>
    </row>
    <row r="191" spans="1:11" ht="20.05" customHeight="1" x14ac:dyDescent="0.2">
      <c r="A191" s="38"/>
      <c r="B191" s="36"/>
      <c r="C191" s="38"/>
      <c r="D191" s="38"/>
      <c r="E191" s="41"/>
      <c r="F191" s="38"/>
      <c r="G191" s="38"/>
      <c r="H191" s="41"/>
      <c r="I191" s="38"/>
      <c r="J191" s="60"/>
      <c r="K191" s="56"/>
    </row>
    <row r="192" spans="1:11" ht="20.05" customHeight="1" x14ac:dyDescent="0.2">
      <c r="A192" s="38"/>
      <c r="B192" s="36"/>
      <c r="C192" s="38"/>
      <c r="D192" s="38"/>
      <c r="E192" s="41"/>
      <c r="F192" s="38"/>
      <c r="G192" s="38"/>
      <c r="H192" s="41"/>
      <c r="I192" s="38"/>
      <c r="J192" s="60"/>
      <c r="K192" s="56"/>
    </row>
    <row r="193" spans="1:11" ht="20.05" customHeight="1" x14ac:dyDescent="0.2">
      <c r="A193" s="38"/>
      <c r="B193" s="36"/>
      <c r="C193" s="38"/>
      <c r="D193" s="38"/>
      <c r="E193" s="41"/>
      <c r="F193" s="38"/>
      <c r="G193" s="38"/>
      <c r="H193" s="41"/>
      <c r="I193" s="38"/>
      <c r="J193" s="60"/>
      <c r="K193" s="56"/>
    </row>
    <row r="194" spans="1:11" ht="20.05" customHeight="1" x14ac:dyDescent="0.2">
      <c r="A194" s="38"/>
      <c r="B194" s="36"/>
      <c r="C194" s="38"/>
      <c r="D194" s="38"/>
      <c r="E194" s="41"/>
      <c r="F194" s="38"/>
      <c r="G194" s="38"/>
      <c r="H194" s="41"/>
      <c r="I194" s="38"/>
      <c r="J194" s="60"/>
      <c r="K194" s="56"/>
    </row>
    <row r="195" spans="1:11" ht="20.05" customHeight="1" x14ac:dyDescent="0.2">
      <c r="A195" s="38"/>
      <c r="B195" s="36"/>
      <c r="C195" s="38"/>
      <c r="D195" s="38"/>
      <c r="E195" s="41"/>
      <c r="F195" s="38"/>
      <c r="G195" s="38"/>
      <c r="H195" s="41"/>
      <c r="I195" s="38"/>
      <c r="J195" s="60"/>
      <c r="K195" s="56"/>
    </row>
    <row r="196" spans="1:11" ht="20.05" customHeight="1" x14ac:dyDescent="0.2">
      <c r="A196" s="38"/>
      <c r="B196" s="36"/>
      <c r="C196" s="38"/>
      <c r="D196" s="38"/>
      <c r="E196" s="41"/>
      <c r="F196" s="38"/>
      <c r="G196" s="38"/>
      <c r="H196" s="41"/>
      <c r="I196" s="38"/>
      <c r="J196" s="60"/>
      <c r="K196" s="56"/>
    </row>
    <row r="197" spans="1:11" ht="20.05" customHeight="1" x14ac:dyDescent="0.2">
      <c r="A197" s="38"/>
      <c r="B197" s="36"/>
      <c r="C197" s="38"/>
      <c r="D197" s="38"/>
      <c r="E197" s="41"/>
      <c r="F197" s="38"/>
      <c r="G197" s="38"/>
      <c r="H197" s="41"/>
      <c r="I197" s="38"/>
      <c r="J197" s="60"/>
      <c r="K197" s="56"/>
    </row>
    <row r="198" spans="1:11" ht="20.05" customHeight="1" x14ac:dyDescent="0.2">
      <c r="A198" s="38"/>
      <c r="B198" s="36"/>
      <c r="C198" s="38"/>
      <c r="D198" s="38"/>
      <c r="E198" s="41"/>
      <c r="F198" s="38"/>
      <c r="G198" s="38"/>
      <c r="H198" s="41"/>
      <c r="I198" s="38"/>
      <c r="J198" s="60"/>
      <c r="K198" s="56"/>
    </row>
    <row r="199" spans="1:11" ht="20.05" customHeight="1" x14ac:dyDescent="0.2">
      <c r="A199" s="38"/>
      <c r="B199" s="36"/>
      <c r="C199" s="38"/>
      <c r="D199" s="38"/>
      <c r="E199" s="41"/>
      <c r="F199" s="38"/>
      <c r="G199" s="38"/>
      <c r="H199" s="41"/>
      <c r="I199" s="38"/>
      <c r="J199" s="60"/>
      <c r="K199" s="56"/>
    </row>
    <row r="200" spans="1:11" ht="20.05" customHeight="1" x14ac:dyDescent="0.2">
      <c r="A200" s="38"/>
      <c r="B200" s="36"/>
      <c r="C200" s="38"/>
      <c r="D200" s="38"/>
      <c r="E200" s="41"/>
      <c r="F200" s="38"/>
      <c r="G200" s="38"/>
      <c r="H200" s="41"/>
      <c r="I200" s="38"/>
      <c r="J200" s="60"/>
      <c r="K200" s="56"/>
    </row>
    <row r="201" spans="1:11" ht="20.05" customHeight="1" x14ac:dyDescent="0.2">
      <c r="A201" s="38"/>
      <c r="B201" s="36"/>
      <c r="C201" s="38"/>
      <c r="D201" s="38"/>
      <c r="E201" s="41"/>
      <c r="F201" s="38"/>
      <c r="G201" s="38"/>
      <c r="H201" s="41"/>
      <c r="I201" s="38"/>
      <c r="J201" s="60"/>
      <c r="K201" s="56"/>
    </row>
    <row r="202" spans="1:11" ht="20.05" customHeight="1" x14ac:dyDescent="0.2">
      <c r="A202" s="38"/>
      <c r="B202" s="36"/>
      <c r="C202" s="38"/>
      <c r="D202" s="38"/>
      <c r="E202" s="41"/>
      <c r="F202" s="38"/>
      <c r="G202" s="38"/>
      <c r="H202" s="41"/>
      <c r="I202" s="38"/>
      <c r="J202" s="60"/>
      <c r="K202" s="56"/>
    </row>
    <row r="203" spans="1:11" ht="20.05" customHeight="1" x14ac:dyDescent="0.2">
      <c r="A203" s="38"/>
      <c r="B203" s="36"/>
      <c r="C203" s="38"/>
      <c r="D203" s="38"/>
      <c r="E203" s="41"/>
      <c r="F203" s="38"/>
      <c r="G203" s="38"/>
      <c r="H203" s="41"/>
      <c r="I203" s="38"/>
      <c r="J203" s="60"/>
      <c r="K203" s="56"/>
    </row>
    <row r="204" spans="1:11" ht="20.05" customHeight="1" x14ac:dyDescent="0.2">
      <c r="A204" s="38"/>
      <c r="B204" s="36"/>
      <c r="C204" s="38"/>
      <c r="D204" s="38"/>
      <c r="E204" s="41"/>
      <c r="F204" s="38"/>
      <c r="G204" s="38"/>
      <c r="H204" s="41"/>
      <c r="I204" s="38"/>
      <c r="J204" s="60"/>
      <c r="K204" s="56"/>
    </row>
    <row r="205" spans="1:11" ht="20.05" customHeight="1" x14ac:dyDescent="0.2">
      <c r="A205" s="38"/>
      <c r="B205" s="36"/>
      <c r="C205" s="38"/>
      <c r="D205" s="38"/>
      <c r="E205" s="41"/>
      <c r="F205" s="38"/>
      <c r="G205" s="38"/>
      <c r="H205" s="41"/>
      <c r="I205" s="38"/>
      <c r="J205" s="60"/>
      <c r="K205" s="56"/>
    </row>
    <row r="206" spans="1:11" ht="20.05" customHeight="1" x14ac:dyDescent="0.2">
      <c r="A206" s="38"/>
      <c r="B206" s="36"/>
      <c r="C206" s="38"/>
      <c r="D206" s="38"/>
      <c r="E206" s="41"/>
      <c r="F206" s="38"/>
      <c r="G206" s="38"/>
      <c r="H206" s="41"/>
      <c r="I206" s="38"/>
      <c r="J206" s="60"/>
      <c r="K206" s="56"/>
    </row>
    <row r="207" spans="1:11" ht="20.05" customHeight="1" x14ac:dyDescent="0.2">
      <c r="A207" s="38"/>
      <c r="B207" s="36"/>
      <c r="C207" s="38"/>
      <c r="D207" s="38"/>
      <c r="E207" s="41"/>
      <c r="F207" s="38"/>
      <c r="G207" s="38"/>
      <c r="H207" s="41"/>
      <c r="I207" s="38"/>
      <c r="J207" s="60"/>
      <c r="K207" s="56"/>
    </row>
    <row r="208" spans="1:11" ht="20.05" customHeight="1" x14ac:dyDescent="0.2">
      <c r="A208" s="38"/>
      <c r="B208" s="36"/>
      <c r="C208" s="38"/>
      <c r="D208" s="38"/>
      <c r="E208" s="41"/>
      <c r="F208" s="38"/>
      <c r="G208" s="38"/>
      <c r="H208" s="41"/>
      <c r="I208" s="38"/>
      <c r="J208" s="60"/>
      <c r="K208" s="56"/>
    </row>
    <row r="209" spans="1:11" ht="20.05" customHeight="1" x14ac:dyDescent="0.2">
      <c r="A209" s="38"/>
      <c r="B209" s="36"/>
      <c r="C209" s="38"/>
      <c r="D209" s="38"/>
      <c r="E209" s="38"/>
      <c r="F209" s="38"/>
      <c r="G209" s="38"/>
      <c r="H209" s="42"/>
      <c r="I209" s="38"/>
      <c r="J209" s="60"/>
      <c r="K209" s="56"/>
    </row>
    <row r="210" spans="1:11" ht="20.05" customHeight="1" x14ac:dyDescent="0.2">
      <c r="A210" s="38"/>
      <c r="B210" s="160"/>
      <c r="C210" s="160"/>
      <c r="D210" s="160"/>
      <c r="E210" s="160"/>
      <c r="F210" s="160"/>
      <c r="G210" s="160"/>
      <c r="H210" s="38"/>
      <c r="I210" s="38"/>
      <c r="J210" s="60"/>
      <c r="K210" s="56"/>
    </row>
    <row r="211" spans="1:11" ht="20.05" customHeight="1" x14ac:dyDescent="0.2">
      <c r="A211" s="38"/>
      <c r="B211" s="36"/>
      <c r="C211" s="38"/>
      <c r="D211" s="38"/>
      <c r="E211" s="38"/>
      <c r="F211" s="38"/>
      <c r="G211" s="38"/>
      <c r="H211" s="41"/>
      <c r="I211" s="38"/>
      <c r="J211" s="60"/>
      <c r="K211" s="56"/>
    </row>
    <row r="212" spans="1:11" ht="20.05" customHeight="1" x14ac:dyDescent="0.2">
      <c r="A212" s="38"/>
      <c r="B212" s="36"/>
      <c r="C212" s="38"/>
      <c r="D212" s="38"/>
      <c r="E212" s="38"/>
      <c r="F212" s="38"/>
      <c r="G212" s="38"/>
      <c r="H212" s="41"/>
      <c r="I212" s="38"/>
      <c r="J212" s="60"/>
      <c r="K212" s="56"/>
    </row>
    <row r="213" spans="1:11" ht="20.05" customHeight="1" x14ac:dyDescent="0.2">
      <c r="A213" s="38"/>
      <c r="B213" s="36"/>
      <c r="C213" s="38"/>
      <c r="D213" s="38"/>
      <c r="E213" s="38"/>
      <c r="F213" s="38"/>
      <c r="G213" s="38"/>
      <c r="H213" s="41"/>
      <c r="I213" s="38"/>
      <c r="J213" s="60"/>
      <c r="K213" s="56"/>
    </row>
    <row r="214" spans="1:11" ht="20.05" customHeight="1" x14ac:dyDescent="0.2">
      <c r="A214" s="38"/>
      <c r="B214" s="36"/>
      <c r="C214" s="38"/>
      <c r="D214" s="38"/>
      <c r="E214" s="38"/>
      <c r="F214" s="38"/>
      <c r="G214" s="38"/>
      <c r="H214" s="41"/>
      <c r="I214" s="38"/>
      <c r="J214" s="60"/>
      <c r="K214" s="56"/>
    </row>
    <row r="215" spans="1:11" ht="20.05" customHeight="1" x14ac:dyDescent="0.2">
      <c r="A215" s="38"/>
      <c r="B215" s="36"/>
      <c r="C215" s="38"/>
      <c r="D215" s="38"/>
      <c r="E215" s="38"/>
      <c r="F215" s="38"/>
      <c r="G215" s="38"/>
      <c r="H215" s="41"/>
      <c r="I215" s="38"/>
      <c r="J215" s="60"/>
      <c r="K215" s="56"/>
    </row>
    <row r="216" spans="1:11" ht="20.05" customHeight="1" x14ac:dyDescent="0.2">
      <c r="A216" s="38"/>
      <c r="B216" s="36"/>
      <c r="C216" s="38"/>
      <c r="D216" s="38"/>
      <c r="E216" s="38"/>
      <c r="F216" s="38"/>
      <c r="G216" s="38"/>
      <c r="H216" s="41"/>
      <c r="I216" s="38"/>
      <c r="J216" s="60"/>
      <c r="K216" s="56"/>
    </row>
    <row r="217" spans="1:11" ht="20.05" customHeight="1" x14ac:dyDescent="0.2">
      <c r="A217" s="38"/>
      <c r="B217" s="36"/>
      <c r="C217" s="38"/>
      <c r="D217" s="38"/>
      <c r="E217" s="38"/>
      <c r="F217" s="38"/>
      <c r="G217" s="38"/>
      <c r="H217" s="41"/>
      <c r="I217" s="38"/>
      <c r="J217" s="60"/>
      <c r="K217" s="56"/>
    </row>
    <row r="218" spans="1:11" ht="20.05" customHeight="1" x14ac:dyDescent="0.2">
      <c r="A218" s="38"/>
      <c r="B218" s="36"/>
      <c r="C218" s="38"/>
      <c r="D218" s="38"/>
      <c r="E218" s="38"/>
      <c r="F218" s="38"/>
      <c r="G218" s="38"/>
      <c r="H218" s="41"/>
      <c r="I218" s="38"/>
      <c r="J218" s="60"/>
      <c r="K218" s="56"/>
    </row>
    <row r="219" spans="1:11" ht="20.05" customHeight="1" x14ac:dyDescent="0.2">
      <c r="A219" s="38"/>
      <c r="B219" s="36"/>
      <c r="C219" s="38"/>
      <c r="D219" s="38"/>
      <c r="E219" s="38"/>
      <c r="F219" s="38"/>
      <c r="G219" s="38"/>
      <c r="H219" s="41"/>
      <c r="I219" s="38"/>
      <c r="J219" s="60"/>
      <c r="K219" s="56"/>
    </row>
    <row r="220" spans="1:11" ht="20.05" customHeight="1" x14ac:dyDescent="0.2">
      <c r="A220" s="38"/>
      <c r="B220" s="36"/>
      <c r="C220" s="38"/>
      <c r="D220" s="38"/>
      <c r="E220" s="38"/>
      <c r="F220" s="38"/>
      <c r="G220" s="38"/>
      <c r="H220" s="41"/>
      <c r="I220" s="38"/>
      <c r="J220" s="60"/>
      <c r="K220" s="56"/>
    </row>
    <row r="221" spans="1:11" ht="20.05" customHeight="1" x14ac:dyDescent="0.2">
      <c r="A221" s="38"/>
      <c r="B221" s="36"/>
      <c r="C221" s="38"/>
      <c r="D221" s="38"/>
      <c r="E221" s="38"/>
      <c r="F221" s="38"/>
      <c r="G221" s="38"/>
      <c r="H221" s="41"/>
      <c r="I221" s="38"/>
      <c r="J221" s="60"/>
      <c r="K221" s="56"/>
    </row>
    <row r="222" spans="1:11" ht="20.05" customHeight="1" x14ac:dyDescent="0.2">
      <c r="A222" s="38"/>
      <c r="B222" s="36"/>
      <c r="C222" s="38"/>
      <c r="D222" s="38"/>
      <c r="E222" s="38"/>
      <c r="F222" s="38"/>
      <c r="G222" s="38"/>
      <c r="H222" s="41"/>
      <c r="I222" s="38"/>
      <c r="J222" s="60"/>
      <c r="K222" s="56"/>
    </row>
    <row r="223" spans="1:11" ht="20.05" customHeight="1" x14ac:dyDescent="0.2">
      <c r="A223" s="38"/>
      <c r="B223" s="36"/>
      <c r="C223" s="38"/>
      <c r="D223" s="38"/>
      <c r="E223" s="38"/>
      <c r="F223" s="38"/>
      <c r="G223" s="38"/>
      <c r="H223" s="41"/>
      <c r="I223" s="38"/>
      <c r="J223" s="60"/>
      <c r="K223" s="56"/>
    </row>
    <row r="224" spans="1:11" ht="20.05" customHeight="1" x14ac:dyDescent="0.2">
      <c r="A224" s="38"/>
      <c r="B224" s="36"/>
      <c r="C224" s="38"/>
      <c r="D224" s="38"/>
      <c r="E224" s="38"/>
      <c r="F224" s="38"/>
      <c r="G224" s="38"/>
      <c r="H224" s="41"/>
      <c r="I224" s="38"/>
      <c r="J224" s="60"/>
      <c r="K224" s="56"/>
    </row>
    <row r="225" spans="1:11" ht="20.05" customHeight="1" x14ac:dyDescent="0.2">
      <c r="A225" s="38"/>
      <c r="B225" s="36"/>
      <c r="C225" s="38"/>
      <c r="D225" s="38"/>
      <c r="E225" s="38"/>
      <c r="F225" s="38"/>
      <c r="G225" s="38"/>
      <c r="H225" s="41"/>
      <c r="I225" s="38"/>
      <c r="J225" s="60"/>
      <c r="K225" s="56"/>
    </row>
    <row r="226" spans="1:11" ht="20.05" customHeight="1" x14ac:dyDescent="0.2">
      <c r="A226" s="38"/>
      <c r="B226" s="36"/>
      <c r="C226" s="38"/>
      <c r="D226" s="38"/>
      <c r="E226" s="38"/>
      <c r="F226" s="38"/>
      <c r="G226" s="38"/>
      <c r="H226" s="41"/>
      <c r="I226" s="38"/>
      <c r="J226" s="60"/>
      <c r="K226" s="56"/>
    </row>
    <row r="227" spans="1:11" ht="20.05" customHeight="1" x14ac:dyDescent="0.2">
      <c r="A227" s="38"/>
      <c r="B227" s="36"/>
      <c r="C227" s="38"/>
      <c r="D227" s="38"/>
      <c r="E227" s="38"/>
      <c r="F227" s="38"/>
      <c r="G227" s="38"/>
      <c r="H227" s="41"/>
      <c r="I227" s="38"/>
      <c r="J227" s="60"/>
      <c r="K227" s="56"/>
    </row>
    <row r="228" spans="1:11" ht="20.05" customHeight="1" x14ac:dyDescent="0.2">
      <c r="A228" s="38"/>
      <c r="B228" s="36"/>
      <c r="C228" s="38"/>
      <c r="D228" s="38"/>
      <c r="E228" s="38"/>
      <c r="F228" s="38"/>
      <c r="G228" s="38"/>
      <c r="H228" s="41"/>
      <c r="I228" s="38"/>
      <c r="J228" s="60"/>
      <c r="K228" s="56"/>
    </row>
    <row r="229" spans="1:11" ht="20.05" customHeight="1" x14ac:dyDescent="0.2">
      <c r="A229" s="38"/>
      <c r="B229" s="36"/>
      <c r="C229" s="38"/>
      <c r="D229" s="38"/>
      <c r="E229" s="38"/>
      <c r="F229" s="38"/>
      <c r="G229" s="38"/>
      <c r="H229" s="41"/>
      <c r="I229" s="38"/>
      <c r="J229" s="60"/>
      <c r="K229" s="56"/>
    </row>
    <row r="230" spans="1:11" ht="20.05" customHeight="1" x14ac:dyDescent="0.2">
      <c r="A230" s="38"/>
      <c r="B230" s="36"/>
      <c r="C230" s="38"/>
      <c r="D230" s="38"/>
      <c r="E230" s="38"/>
      <c r="F230" s="38"/>
      <c r="G230" s="38"/>
      <c r="H230" s="41"/>
      <c r="I230" s="38"/>
      <c r="J230" s="60"/>
      <c r="K230" s="56"/>
    </row>
    <row r="231" spans="1:11" ht="20.05" customHeight="1" x14ac:dyDescent="0.2">
      <c r="A231" s="38"/>
      <c r="B231" s="36"/>
      <c r="C231" s="38"/>
      <c r="D231" s="38"/>
      <c r="E231" s="38"/>
      <c r="F231" s="38"/>
      <c r="G231" s="38"/>
      <c r="H231" s="41"/>
      <c r="I231" s="38"/>
      <c r="J231" s="60"/>
      <c r="K231" s="56"/>
    </row>
    <row r="232" spans="1:11" ht="20.05" customHeight="1" x14ac:dyDescent="0.2">
      <c r="A232" s="38"/>
      <c r="B232" s="36"/>
      <c r="C232" s="38"/>
      <c r="D232" s="38"/>
      <c r="E232" s="38"/>
      <c r="F232" s="38"/>
      <c r="G232" s="38"/>
      <c r="H232" s="41"/>
      <c r="I232" s="38"/>
      <c r="J232" s="60"/>
      <c r="K232" s="56"/>
    </row>
    <row r="233" spans="1:11" ht="20.05" customHeight="1" x14ac:dyDescent="0.2">
      <c r="A233" s="38"/>
      <c r="B233" s="36"/>
      <c r="C233" s="38"/>
      <c r="D233" s="38"/>
      <c r="E233" s="38"/>
      <c r="F233" s="38"/>
      <c r="G233" s="38"/>
      <c r="H233" s="41"/>
      <c r="I233" s="38"/>
      <c r="J233" s="60"/>
      <c r="K233" s="56"/>
    </row>
    <row r="234" spans="1:11" ht="20.05" customHeight="1" x14ac:dyDescent="0.2">
      <c r="A234" s="38"/>
      <c r="B234" s="36"/>
      <c r="C234" s="38"/>
      <c r="D234" s="38"/>
      <c r="E234" s="38"/>
      <c r="F234" s="38"/>
      <c r="G234" s="38"/>
      <c r="H234" s="41"/>
      <c r="I234" s="38"/>
      <c r="J234" s="60"/>
      <c r="K234" s="56"/>
    </row>
    <row r="235" spans="1:11" ht="20.05" customHeight="1" x14ac:dyDescent="0.2">
      <c r="A235" s="38"/>
      <c r="B235" s="36"/>
      <c r="C235" s="38"/>
      <c r="D235" s="38"/>
      <c r="E235" s="38"/>
      <c r="F235" s="38"/>
      <c r="G235" s="38"/>
      <c r="H235" s="41"/>
      <c r="I235" s="38"/>
      <c r="J235" s="60"/>
      <c r="K235" s="56"/>
    </row>
    <row r="236" spans="1:11" ht="20.05" customHeight="1" x14ac:dyDescent="0.2">
      <c r="A236" s="38"/>
      <c r="B236" s="36"/>
      <c r="C236" s="38"/>
      <c r="D236" s="38"/>
      <c r="E236" s="38"/>
      <c r="F236" s="38"/>
      <c r="G236" s="38"/>
      <c r="H236" s="41"/>
      <c r="I236" s="38"/>
      <c r="J236" s="60"/>
      <c r="K236" s="56"/>
    </row>
    <row r="237" spans="1:11" ht="20.05" customHeight="1" x14ac:dyDescent="0.2">
      <c r="A237" s="38"/>
      <c r="B237" s="36"/>
      <c r="C237" s="38"/>
      <c r="D237" s="38"/>
      <c r="E237" s="38"/>
      <c r="F237" s="38"/>
      <c r="G237" s="38"/>
      <c r="H237" s="41"/>
      <c r="I237" s="38"/>
      <c r="J237" s="60"/>
      <c r="K237" s="56"/>
    </row>
    <row r="238" spans="1:11" ht="20.05" customHeight="1" x14ac:dyDescent="0.2">
      <c r="A238" s="38"/>
      <c r="B238" s="36"/>
      <c r="C238" s="38"/>
      <c r="D238" s="38"/>
      <c r="E238" s="38"/>
      <c r="F238" s="38"/>
      <c r="G238" s="38"/>
      <c r="H238" s="41"/>
      <c r="I238" s="38"/>
      <c r="J238" s="60"/>
      <c r="K238" s="56"/>
    </row>
    <row r="239" spans="1:11" ht="20.05" customHeight="1" x14ac:dyDescent="0.2">
      <c r="A239" s="38"/>
      <c r="B239" s="36"/>
      <c r="C239" s="38"/>
      <c r="D239" s="38"/>
      <c r="E239" s="38"/>
      <c r="F239" s="38"/>
      <c r="G239" s="38"/>
      <c r="H239" s="41"/>
      <c r="I239" s="38"/>
      <c r="J239" s="60"/>
      <c r="K239" s="56"/>
    </row>
    <row r="240" spans="1:11" ht="20.05" customHeight="1" x14ac:dyDescent="0.2">
      <c r="A240" s="38"/>
      <c r="B240" s="36"/>
      <c r="C240" s="38"/>
      <c r="D240" s="38"/>
      <c r="E240" s="38"/>
      <c r="F240" s="38"/>
      <c r="G240" s="38"/>
      <c r="H240" s="41"/>
      <c r="I240" s="38"/>
      <c r="J240" s="60"/>
      <c r="K240" s="56"/>
    </row>
    <row r="241" spans="1:11" ht="20.05" customHeight="1" x14ac:dyDescent="0.2">
      <c r="A241" s="38"/>
      <c r="B241" s="36"/>
      <c r="C241" s="38"/>
      <c r="D241" s="38"/>
      <c r="E241" s="38"/>
      <c r="F241" s="38"/>
      <c r="G241" s="38"/>
      <c r="H241" s="41"/>
      <c r="I241" s="38"/>
      <c r="J241" s="60"/>
      <c r="K241" s="56"/>
    </row>
    <row r="242" spans="1:11" ht="20.05" customHeight="1" x14ac:dyDescent="0.2">
      <c r="A242" s="38"/>
      <c r="B242" s="36"/>
      <c r="C242" s="38"/>
      <c r="D242" s="38"/>
      <c r="E242" s="38"/>
      <c r="F242" s="38"/>
      <c r="G242" s="38"/>
      <c r="H242" s="41"/>
      <c r="I242" s="38"/>
      <c r="J242" s="60"/>
      <c r="K242" s="56"/>
    </row>
    <row r="243" spans="1:11" ht="20.05" customHeight="1" x14ac:dyDescent="0.2">
      <c r="A243" s="38"/>
      <c r="B243" s="36"/>
      <c r="C243" s="38"/>
      <c r="D243" s="38"/>
      <c r="E243" s="38"/>
      <c r="F243" s="38"/>
      <c r="G243" s="38"/>
      <c r="H243" s="41"/>
      <c r="I243" s="38"/>
      <c r="J243" s="60"/>
      <c r="K243" s="56"/>
    </row>
    <row r="244" spans="1:11" ht="20.05" customHeight="1" x14ac:dyDescent="0.2">
      <c r="A244" s="38"/>
      <c r="B244" s="36"/>
      <c r="C244" s="38"/>
      <c r="D244" s="38"/>
      <c r="E244" s="38"/>
      <c r="F244" s="38"/>
      <c r="G244" s="38"/>
      <c r="H244" s="41"/>
      <c r="I244" s="38"/>
      <c r="J244" s="60"/>
      <c r="K244" s="56"/>
    </row>
    <row r="245" spans="1:11" ht="20.05" customHeight="1" x14ac:dyDescent="0.2">
      <c r="A245" s="38"/>
      <c r="B245" s="36"/>
      <c r="C245" s="38"/>
      <c r="D245" s="38"/>
      <c r="E245" s="38"/>
      <c r="F245" s="38"/>
      <c r="G245" s="38"/>
      <c r="H245" s="41"/>
      <c r="I245" s="38"/>
      <c r="J245" s="60"/>
      <c r="K245" s="56"/>
    </row>
    <row r="246" spans="1:11" ht="20.05" customHeight="1" x14ac:dyDescent="0.2">
      <c r="A246" s="38"/>
      <c r="B246" s="36"/>
      <c r="C246" s="38"/>
      <c r="D246" s="38"/>
      <c r="E246" s="38"/>
      <c r="F246" s="38"/>
      <c r="G246" s="38"/>
      <c r="H246" s="41"/>
      <c r="I246" s="38"/>
      <c r="J246" s="60"/>
      <c r="K246" s="56"/>
    </row>
    <row r="247" spans="1:11" ht="20.05" customHeight="1" x14ac:dyDescent="0.2">
      <c r="A247" s="38"/>
      <c r="B247" s="36"/>
      <c r="C247" s="38"/>
      <c r="D247" s="38"/>
      <c r="E247" s="38"/>
      <c r="F247" s="38"/>
      <c r="G247" s="38"/>
      <c r="H247" s="41"/>
      <c r="I247" s="38"/>
      <c r="J247" s="60"/>
      <c r="K247" s="56"/>
    </row>
    <row r="248" spans="1:11" ht="20.05" customHeight="1" x14ac:dyDescent="0.2">
      <c r="A248" s="38"/>
      <c r="B248" s="36"/>
      <c r="C248" s="38"/>
      <c r="D248" s="38"/>
      <c r="E248" s="38"/>
      <c r="F248" s="38"/>
      <c r="G248" s="38"/>
      <c r="H248" s="41"/>
      <c r="I248" s="38"/>
      <c r="J248" s="60"/>
      <c r="K248" s="56"/>
    </row>
    <row r="249" spans="1:11" ht="20.05" customHeight="1" x14ac:dyDescent="0.2">
      <c r="A249" s="38"/>
      <c r="B249" s="36"/>
      <c r="C249" s="38"/>
      <c r="D249" s="38"/>
      <c r="E249" s="38"/>
      <c r="F249" s="38"/>
      <c r="G249" s="38"/>
      <c r="H249" s="41"/>
      <c r="I249" s="38"/>
      <c r="J249" s="60"/>
      <c r="K249" s="56"/>
    </row>
    <row r="250" spans="1:11" ht="20.05" customHeight="1" x14ac:dyDescent="0.2">
      <c r="A250" s="38"/>
      <c r="B250" s="36"/>
      <c r="C250" s="38"/>
      <c r="D250" s="38"/>
      <c r="E250" s="38"/>
      <c r="F250" s="38"/>
      <c r="G250" s="38"/>
      <c r="H250" s="41"/>
      <c r="I250" s="38"/>
      <c r="J250" s="60"/>
      <c r="K250" s="56"/>
    </row>
    <row r="251" spans="1:11" ht="20.05" customHeight="1" x14ac:dyDescent="0.2">
      <c r="A251" s="38"/>
      <c r="B251" s="36"/>
      <c r="C251" s="38"/>
      <c r="D251" s="38"/>
      <c r="E251" s="38"/>
      <c r="F251" s="38"/>
      <c r="G251" s="38"/>
      <c r="H251" s="41"/>
      <c r="I251" s="38"/>
      <c r="J251" s="60"/>
      <c r="K251" s="56"/>
    </row>
    <row r="252" spans="1:11" ht="20.05" customHeight="1" x14ac:dyDescent="0.2">
      <c r="A252" s="38"/>
      <c r="B252" s="36"/>
      <c r="C252" s="38"/>
      <c r="D252" s="38"/>
      <c r="E252" s="38"/>
      <c r="F252" s="38"/>
      <c r="G252" s="38"/>
      <c r="H252" s="41"/>
      <c r="I252" s="38"/>
      <c r="J252" s="60"/>
      <c r="K252" s="56"/>
    </row>
    <row r="253" spans="1:11" ht="20.05" customHeight="1" x14ac:dyDescent="0.2">
      <c r="A253" s="38"/>
      <c r="B253" s="36"/>
      <c r="C253" s="38"/>
      <c r="D253" s="38"/>
      <c r="E253" s="38"/>
      <c r="F253" s="38"/>
      <c r="G253" s="38"/>
      <c r="H253" s="41"/>
      <c r="I253" s="38"/>
      <c r="J253" s="60"/>
      <c r="K253" s="56"/>
    </row>
    <row r="254" spans="1:11" ht="20.05" customHeight="1" x14ac:dyDescent="0.2">
      <c r="A254" s="38"/>
      <c r="B254" s="36"/>
      <c r="C254" s="38"/>
      <c r="D254" s="38"/>
      <c r="E254" s="38"/>
      <c r="F254" s="38"/>
      <c r="G254" s="38"/>
      <c r="H254" s="41"/>
      <c r="I254" s="38"/>
      <c r="J254" s="60"/>
      <c r="K254" s="56"/>
    </row>
    <row r="255" spans="1:11" ht="20.05" customHeight="1" x14ac:dyDescent="0.2">
      <c r="A255" s="38"/>
      <c r="B255" s="36"/>
      <c r="C255" s="38"/>
      <c r="D255" s="38"/>
      <c r="E255" s="38"/>
      <c r="F255" s="38"/>
      <c r="G255" s="38"/>
      <c r="H255" s="41"/>
      <c r="I255" s="38"/>
      <c r="J255" s="60"/>
      <c r="K255" s="56"/>
    </row>
    <row r="256" spans="1:11" ht="20.05" customHeight="1" x14ac:dyDescent="0.2">
      <c r="A256" s="38"/>
      <c r="B256" s="36"/>
      <c r="C256" s="38"/>
      <c r="D256" s="38"/>
      <c r="E256" s="38"/>
      <c r="F256" s="38"/>
      <c r="G256" s="38"/>
      <c r="H256" s="41"/>
      <c r="I256" s="38"/>
      <c r="J256" s="60"/>
      <c r="K256" s="56"/>
    </row>
    <row r="257" spans="1:11" ht="20.05" customHeight="1" x14ac:dyDescent="0.2">
      <c r="A257" s="38"/>
      <c r="B257" s="36"/>
      <c r="C257" s="38"/>
      <c r="D257" s="38"/>
      <c r="E257" s="38"/>
      <c r="F257" s="38"/>
      <c r="G257" s="38"/>
      <c r="H257" s="41"/>
      <c r="I257" s="38"/>
      <c r="J257" s="60"/>
      <c r="K257" s="56"/>
    </row>
    <row r="258" spans="1:11" ht="20.05" customHeight="1" x14ac:dyDescent="0.2">
      <c r="A258" s="38"/>
      <c r="B258" s="36"/>
      <c r="C258" s="38"/>
      <c r="D258" s="38"/>
      <c r="E258" s="38"/>
      <c r="F258" s="38"/>
      <c r="G258" s="38"/>
      <c r="H258" s="41"/>
      <c r="I258" s="38"/>
      <c r="J258" s="60"/>
      <c r="K258" s="56"/>
    </row>
    <row r="259" spans="1:11" ht="20.05" customHeight="1" x14ac:dyDescent="0.2">
      <c r="A259" s="38"/>
      <c r="B259" s="36"/>
      <c r="C259" s="38"/>
      <c r="D259" s="38"/>
      <c r="E259" s="38"/>
      <c r="F259" s="38"/>
      <c r="G259" s="38"/>
      <c r="H259" s="41"/>
      <c r="I259" s="38"/>
      <c r="J259" s="60"/>
      <c r="K259" s="56"/>
    </row>
    <row r="260" spans="1:11" ht="20.05" customHeight="1" x14ac:dyDescent="0.2">
      <c r="A260" s="38"/>
      <c r="B260" s="36"/>
      <c r="C260" s="38"/>
      <c r="D260" s="38"/>
      <c r="E260" s="38"/>
      <c r="F260" s="38"/>
      <c r="G260" s="38"/>
      <c r="H260" s="41"/>
      <c r="I260" s="38"/>
      <c r="J260" s="60"/>
      <c r="K260" s="56"/>
    </row>
    <row r="261" spans="1:11" ht="20.05" customHeight="1" x14ac:dyDescent="0.2">
      <c r="A261" s="38"/>
      <c r="B261" s="36"/>
      <c r="C261" s="38"/>
      <c r="D261" s="38"/>
      <c r="E261" s="38"/>
      <c r="F261" s="38"/>
      <c r="G261" s="38"/>
      <c r="H261" s="41"/>
      <c r="I261" s="38"/>
      <c r="J261" s="60"/>
      <c r="K261" s="56"/>
    </row>
    <row r="262" spans="1:11" ht="20.05" customHeight="1" x14ac:dyDescent="0.2">
      <c r="A262" s="38"/>
      <c r="B262" s="36"/>
      <c r="C262" s="38"/>
      <c r="D262" s="38"/>
      <c r="E262" s="38"/>
      <c r="F262" s="38"/>
      <c r="G262" s="38"/>
      <c r="H262" s="41"/>
      <c r="I262" s="38"/>
      <c r="J262" s="60"/>
      <c r="K262" s="56"/>
    </row>
    <row r="263" spans="1:11" ht="20.05" customHeight="1" x14ac:dyDescent="0.2">
      <c r="A263" s="38"/>
      <c r="B263" s="36"/>
      <c r="C263" s="38"/>
      <c r="D263" s="38"/>
      <c r="E263" s="38"/>
      <c r="F263" s="38"/>
      <c r="G263" s="38"/>
      <c r="H263" s="41"/>
      <c r="I263" s="38"/>
      <c r="J263" s="60"/>
      <c r="K263" s="56"/>
    </row>
    <row r="264" spans="1:11" ht="20.05" customHeight="1" x14ac:dyDescent="0.2">
      <c r="A264" s="38"/>
      <c r="B264" s="36"/>
      <c r="C264" s="38"/>
      <c r="D264" s="38"/>
      <c r="E264" s="38"/>
      <c r="F264" s="38"/>
      <c r="G264" s="38"/>
      <c r="H264" s="41"/>
      <c r="I264" s="38"/>
      <c r="J264" s="60"/>
      <c r="K264" s="56"/>
    </row>
    <row r="265" spans="1:11" ht="20.05" customHeight="1" x14ac:dyDescent="0.2">
      <c r="A265" s="38"/>
      <c r="B265" s="36"/>
      <c r="C265" s="38"/>
      <c r="D265" s="38"/>
      <c r="E265" s="38"/>
      <c r="F265" s="38"/>
      <c r="G265" s="38"/>
      <c r="H265" s="41"/>
      <c r="I265" s="38"/>
      <c r="J265" s="60"/>
      <c r="K265" s="56"/>
    </row>
    <row r="266" spans="1:11" ht="20.05" customHeight="1" x14ac:dyDescent="0.2">
      <c r="A266" s="38"/>
      <c r="B266" s="36"/>
      <c r="C266" s="38"/>
      <c r="D266" s="38"/>
      <c r="E266" s="38"/>
      <c r="F266" s="38"/>
      <c r="G266" s="38"/>
      <c r="H266" s="41"/>
      <c r="I266" s="38"/>
      <c r="J266" s="60"/>
      <c r="K266" s="56"/>
    </row>
    <row r="267" spans="1:11" ht="20.05" customHeight="1" x14ac:dyDescent="0.2">
      <c r="A267" s="38"/>
      <c r="B267" s="36"/>
      <c r="C267" s="38"/>
      <c r="D267" s="38"/>
      <c r="E267" s="38"/>
      <c r="F267" s="38"/>
      <c r="G267" s="38"/>
      <c r="H267" s="41"/>
      <c r="I267" s="38"/>
      <c r="J267" s="60"/>
      <c r="K267" s="56"/>
    </row>
    <row r="268" spans="1:11" ht="20.05" customHeight="1" x14ac:dyDescent="0.2">
      <c r="A268" s="38"/>
      <c r="B268" s="36"/>
      <c r="C268" s="38"/>
      <c r="D268" s="38"/>
      <c r="E268" s="38"/>
      <c r="F268" s="38"/>
      <c r="G268" s="38"/>
      <c r="H268" s="41"/>
      <c r="I268" s="38"/>
      <c r="J268" s="60"/>
      <c r="K268" s="56"/>
    </row>
    <row r="269" spans="1:11" ht="20.05" customHeight="1" x14ac:dyDescent="0.2">
      <c r="A269" s="38"/>
      <c r="B269" s="36"/>
      <c r="C269" s="38"/>
      <c r="D269" s="38"/>
      <c r="E269" s="38"/>
      <c r="F269" s="38"/>
      <c r="G269" s="38"/>
      <c r="H269" s="41"/>
      <c r="I269" s="38"/>
      <c r="J269" s="60"/>
      <c r="K269" s="56"/>
    </row>
    <row r="270" spans="1:11" ht="20.05" customHeight="1" x14ac:dyDescent="0.2">
      <c r="A270" s="38"/>
      <c r="B270" s="36"/>
      <c r="C270" s="38"/>
      <c r="D270" s="38"/>
      <c r="E270" s="38"/>
      <c r="F270" s="38"/>
      <c r="G270" s="38"/>
      <c r="H270" s="41"/>
      <c r="I270" s="38"/>
      <c r="J270" s="60"/>
      <c r="K270" s="56"/>
    </row>
    <row r="271" spans="1:11" ht="20.05" customHeight="1" x14ac:dyDescent="0.2">
      <c r="A271" s="38"/>
      <c r="B271" s="36"/>
      <c r="C271" s="38"/>
      <c r="D271" s="38"/>
      <c r="E271" s="38"/>
      <c r="F271" s="38"/>
      <c r="G271" s="38"/>
      <c r="H271" s="41"/>
      <c r="I271" s="38"/>
      <c r="J271" s="60"/>
      <c r="K271" s="56"/>
    </row>
    <row r="272" spans="1:11" ht="20.05" customHeight="1" x14ac:dyDescent="0.2">
      <c r="A272" s="38"/>
      <c r="B272" s="36"/>
      <c r="C272" s="38"/>
      <c r="D272" s="38"/>
      <c r="E272" s="38"/>
      <c r="F272" s="38"/>
      <c r="G272" s="38"/>
      <c r="H272" s="41"/>
      <c r="I272" s="38"/>
      <c r="J272" s="60"/>
      <c r="K272" s="56"/>
    </row>
    <row r="273" spans="1:11" ht="20.05" customHeight="1" x14ac:dyDescent="0.2">
      <c r="A273" s="38"/>
      <c r="B273" s="36"/>
      <c r="C273" s="38"/>
      <c r="D273" s="38"/>
      <c r="E273" s="38"/>
      <c r="F273" s="38"/>
      <c r="G273" s="38"/>
      <c r="H273" s="41"/>
      <c r="I273" s="38"/>
      <c r="J273" s="60"/>
      <c r="K273" s="56"/>
    </row>
    <row r="274" spans="1:11" ht="20.05" customHeight="1" x14ac:dyDescent="0.2">
      <c r="A274" s="38"/>
      <c r="B274" s="36"/>
      <c r="C274" s="38"/>
      <c r="D274" s="38"/>
      <c r="E274" s="38"/>
      <c r="F274" s="38"/>
      <c r="G274" s="38"/>
      <c r="H274" s="41"/>
      <c r="I274" s="38"/>
      <c r="J274" s="60"/>
      <c r="K274" s="56"/>
    </row>
    <row r="275" spans="1:11" ht="20.05" customHeight="1" x14ac:dyDescent="0.2">
      <c r="A275" s="38"/>
      <c r="B275" s="36"/>
      <c r="C275" s="38"/>
      <c r="D275" s="38"/>
      <c r="E275" s="38"/>
      <c r="F275" s="38"/>
      <c r="G275" s="38"/>
      <c r="H275" s="41"/>
      <c r="I275" s="38"/>
      <c r="J275" s="60"/>
      <c r="K275" s="56"/>
    </row>
    <row r="276" spans="1:11" ht="20.05" customHeight="1" x14ac:dyDescent="0.2">
      <c r="A276" s="38"/>
      <c r="B276" s="36"/>
      <c r="C276" s="38"/>
      <c r="D276" s="38"/>
      <c r="E276" s="38"/>
      <c r="F276" s="38"/>
      <c r="G276" s="38"/>
      <c r="H276" s="41"/>
      <c r="I276" s="38"/>
      <c r="J276" s="60"/>
      <c r="K276" s="56"/>
    </row>
    <row r="277" spans="1:11" ht="20.05" customHeight="1" x14ac:dyDescent="0.2">
      <c r="A277" s="38"/>
      <c r="B277" s="36"/>
      <c r="C277" s="38"/>
      <c r="D277" s="38"/>
      <c r="E277" s="38"/>
      <c r="F277" s="38"/>
      <c r="G277" s="38"/>
      <c r="H277" s="41"/>
      <c r="I277" s="38"/>
      <c r="J277" s="60"/>
      <c r="K277" s="56"/>
    </row>
    <row r="278" spans="1:11" ht="20.05" customHeight="1" x14ac:dyDescent="0.2">
      <c r="A278" s="38"/>
      <c r="B278" s="36"/>
      <c r="C278" s="38"/>
      <c r="D278" s="38"/>
      <c r="E278" s="38"/>
      <c r="F278" s="38"/>
      <c r="G278" s="38"/>
      <c r="H278" s="41"/>
      <c r="I278" s="38"/>
      <c r="J278" s="60"/>
      <c r="K278" s="56"/>
    </row>
    <row r="279" spans="1:11" ht="20.05" customHeight="1" x14ac:dyDescent="0.2">
      <c r="A279" s="38"/>
      <c r="B279" s="36"/>
      <c r="C279" s="38"/>
      <c r="D279" s="38"/>
      <c r="E279" s="38"/>
      <c r="F279" s="38"/>
      <c r="G279" s="38"/>
      <c r="H279" s="41"/>
      <c r="I279" s="38"/>
      <c r="J279" s="60"/>
      <c r="K279" s="56"/>
    </row>
    <row r="280" spans="1:11" ht="20.05" customHeight="1" x14ac:dyDescent="0.2">
      <c r="A280" s="38"/>
      <c r="B280" s="36"/>
      <c r="C280" s="38"/>
      <c r="D280" s="38"/>
      <c r="E280" s="38"/>
      <c r="F280" s="38"/>
      <c r="G280" s="38"/>
      <c r="H280" s="41"/>
      <c r="I280" s="38"/>
      <c r="J280" s="60"/>
      <c r="K280" s="56"/>
    </row>
    <row r="281" spans="1:11" ht="20.05" customHeight="1" x14ac:dyDescent="0.2">
      <c r="A281" s="38"/>
      <c r="B281" s="36"/>
      <c r="C281" s="38"/>
      <c r="D281" s="38"/>
      <c r="E281" s="38"/>
      <c r="F281" s="38"/>
      <c r="G281" s="38"/>
      <c r="H281" s="41"/>
      <c r="I281" s="38"/>
      <c r="J281" s="60"/>
      <c r="K281" s="56"/>
    </row>
    <row r="282" spans="1:11" ht="20.05" customHeight="1" x14ac:dyDescent="0.2">
      <c r="A282" s="38"/>
      <c r="B282" s="36"/>
      <c r="C282" s="38"/>
      <c r="D282" s="38"/>
      <c r="E282" s="38"/>
      <c r="F282" s="38"/>
      <c r="G282" s="38"/>
      <c r="H282" s="41"/>
      <c r="I282" s="38"/>
      <c r="J282" s="60"/>
      <c r="K282" s="56"/>
    </row>
    <row r="283" spans="1:11" ht="20.05" customHeight="1" x14ac:dyDescent="0.2">
      <c r="A283" s="38"/>
      <c r="B283" s="36"/>
      <c r="C283" s="38"/>
      <c r="D283" s="38"/>
      <c r="E283" s="38"/>
      <c r="F283" s="38"/>
      <c r="G283" s="38"/>
      <c r="H283" s="41"/>
      <c r="I283" s="38"/>
      <c r="J283" s="60"/>
      <c r="K283" s="56"/>
    </row>
    <row r="284" spans="1:11" ht="20.05" customHeight="1" x14ac:dyDescent="0.2">
      <c r="A284" s="38"/>
      <c r="B284" s="36"/>
      <c r="C284" s="38"/>
      <c r="D284" s="38"/>
      <c r="E284" s="38"/>
      <c r="F284" s="38"/>
      <c r="G284" s="38"/>
      <c r="H284" s="41"/>
      <c r="I284" s="38"/>
      <c r="J284" s="60"/>
      <c r="K284" s="56"/>
    </row>
    <row r="285" spans="1:11" ht="20.05" customHeight="1" x14ac:dyDescent="0.2">
      <c r="A285" s="38"/>
      <c r="B285" s="36"/>
      <c r="C285" s="38"/>
      <c r="D285" s="38"/>
      <c r="E285" s="38"/>
      <c r="F285" s="38"/>
      <c r="G285" s="38"/>
      <c r="H285" s="41"/>
      <c r="I285" s="38"/>
      <c r="J285" s="60"/>
      <c r="K285" s="56"/>
    </row>
    <row r="286" spans="1:11" ht="20.05" customHeight="1" x14ac:dyDescent="0.2">
      <c r="A286" s="38"/>
      <c r="B286" s="36"/>
      <c r="C286" s="38"/>
      <c r="D286" s="38"/>
      <c r="E286" s="38"/>
      <c r="F286" s="38"/>
      <c r="G286" s="38"/>
      <c r="H286" s="41"/>
      <c r="I286" s="38"/>
      <c r="J286" s="60"/>
      <c r="K286" s="56"/>
    </row>
    <row r="287" spans="1:11" ht="20.05" customHeight="1" x14ac:dyDescent="0.2">
      <c r="A287" s="38"/>
      <c r="B287" s="36"/>
      <c r="C287" s="38"/>
      <c r="D287" s="38"/>
      <c r="E287" s="38"/>
      <c r="F287" s="38"/>
      <c r="G287" s="38"/>
      <c r="H287" s="41"/>
      <c r="I287" s="38"/>
      <c r="J287" s="60"/>
      <c r="K287" s="56"/>
    </row>
    <row r="288" spans="1:11" ht="20.05" customHeight="1" x14ac:dyDescent="0.2">
      <c r="A288" s="38"/>
      <c r="B288" s="36"/>
      <c r="C288" s="38"/>
      <c r="D288" s="38"/>
      <c r="E288" s="38"/>
      <c r="F288" s="38"/>
      <c r="G288" s="38"/>
      <c r="H288" s="41"/>
      <c r="I288" s="38"/>
      <c r="J288" s="60"/>
      <c r="K288" s="56"/>
    </row>
    <row r="289" spans="1:11" ht="20.05" customHeight="1" x14ac:dyDescent="0.2">
      <c r="A289" s="38"/>
      <c r="B289" s="36"/>
      <c r="C289" s="38"/>
      <c r="D289" s="38"/>
      <c r="E289" s="38"/>
      <c r="F289" s="38"/>
      <c r="G289" s="38"/>
      <c r="H289" s="41"/>
      <c r="I289" s="38"/>
      <c r="J289" s="60"/>
      <c r="K289" s="56"/>
    </row>
    <row r="290" spans="1:11" ht="20.05" customHeight="1" x14ac:dyDescent="0.2">
      <c r="A290" s="38"/>
      <c r="B290" s="36"/>
      <c r="C290" s="38"/>
      <c r="D290" s="38"/>
      <c r="E290" s="38"/>
      <c r="F290" s="38"/>
      <c r="G290" s="38"/>
      <c r="H290" s="41"/>
      <c r="I290" s="38"/>
      <c r="J290" s="60"/>
      <c r="K290" s="56"/>
    </row>
    <row r="291" spans="1:11" ht="20.05" customHeight="1" x14ac:dyDescent="0.2">
      <c r="A291" s="38"/>
      <c r="B291" s="36"/>
      <c r="C291" s="38"/>
      <c r="D291" s="38"/>
      <c r="E291" s="38"/>
      <c r="F291" s="38"/>
      <c r="G291" s="38"/>
      <c r="H291" s="41"/>
      <c r="I291" s="38"/>
      <c r="J291" s="60"/>
      <c r="K291" s="56"/>
    </row>
    <row r="292" spans="1:11" ht="20.05" customHeight="1" x14ac:dyDescent="0.2">
      <c r="A292" s="38"/>
      <c r="B292" s="36"/>
      <c r="C292" s="38"/>
      <c r="D292" s="38"/>
      <c r="E292" s="38"/>
      <c r="F292" s="38"/>
      <c r="G292" s="38"/>
      <c r="H292" s="41"/>
      <c r="I292" s="38"/>
      <c r="J292" s="60"/>
      <c r="K292" s="56"/>
    </row>
    <row r="293" spans="1:11" ht="20.05" customHeight="1" x14ac:dyDescent="0.2">
      <c r="A293" s="38"/>
      <c r="B293" s="36"/>
      <c r="C293" s="38"/>
      <c r="D293" s="38"/>
      <c r="E293" s="38"/>
      <c r="F293" s="38"/>
      <c r="G293" s="38"/>
      <c r="H293" s="41"/>
      <c r="I293" s="38"/>
      <c r="J293" s="60"/>
      <c r="K293" s="56"/>
    </row>
    <row r="294" spans="1:11" ht="20.05" customHeight="1" x14ac:dyDescent="0.2">
      <c r="A294" s="38"/>
      <c r="B294" s="36"/>
      <c r="C294" s="38"/>
      <c r="D294" s="38"/>
      <c r="E294" s="38"/>
      <c r="F294" s="38"/>
      <c r="G294" s="38"/>
      <c r="H294" s="41"/>
      <c r="I294" s="38"/>
      <c r="J294" s="60"/>
      <c r="K294" s="56"/>
    </row>
    <row r="295" spans="1:11" ht="20.05" customHeight="1" x14ac:dyDescent="0.2">
      <c r="A295" s="38"/>
      <c r="B295" s="36"/>
      <c r="C295" s="38"/>
      <c r="D295" s="38"/>
      <c r="E295" s="38"/>
      <c r="F295" s="38"/>
      <c r="G295" s="38"/>
      <c r="H295" s="41"/>
      <c r="I295" s="38"/>
      <c r="J295" s="60"/>
      <c r="K295" s="56"/>
    </row>
    <row r="296" spans="1:11" ht="20.05" customHeight="1" x14ac:dyDescent="0.2">
      <c r="A296" s="38"/>
      <c r="B296" s="36"/>
      <c r="C296" s="38"/>
      <c r="D296" s="38"/>
      <c r="E296" s="38"/>
      <c r="F296" s="38"/>
      <c r="G296" s="38"/>
      <c r="H296" s="41"/>
      <c r="I296" s="38"/>
      <c r="J296" s="60"/>
      <c r="K296" s="56"/>
    </row>
    <row r="297" spans="1:11" ht="20.05" customHeight="1" x14ac:dyDescent="0.2">
      <c r="A297" s="38"/>
      <c r="B297" s="36"/>
      <c r="C297" s="38"/>
      <c r="D297" s="38"/>
      <c r="E297" s="38"/>
      <c r="F297" s="38"/>
      <c r="G297" s="38"/>
      <c r="H297" s="41"/>
      <c r="I297" s="38"/>
      <c r="J297" s="60"/>
      <c r="K297" s="56"/>
    </row>
    <row r="298" spans="1:11" ht="20.05" customHeight="1" x14ac:dyDescent="0.2">
      <c r="A298" s="38"/>
      <c r="B298" s="36"/>
      <c r="C298" s="38"/>
      <c r="D298" s="38"/>
      <c r="E298" s="38"/>
      <c r="F298" s="38"/>
      <c r="G298" s="38"/>
      <c r="H298" s="41"/>
      <c r="I298" s="38"/>
      <c r="J298" s="60"/>
      <c r="K298" s="56"/>
    </row>
    <row r="299" spans="1:11" ht="20.05" customHeight="1" x14ac:dyDescent="0.2">
      <c r="A299" s="38"/>
      <c r="B299" s="36"/>
      <c r="C299" s="38"/>
      <c r="D299" s="38"/>
      <c r="E299" s="38"/>
      <c r="F299" s="38"/>
      <c r="G299" s="38"/>
      <c r="H299" s="41"/>
      <c r="I299" s="38"/>
      <c r="J299" s="60"/>
      <c r="K299" s="56"/>
    </row>
    <row r="300" spans="1:11" ht="20.05" customHeight="1" x14ac:dyDescent="0.2">
      <c r="A300" s="38"/>
      <c r="B300" s="36"/>
      <c r="C300" s="38"/>
      <c r="D300" s="38"/>
      <c r="E300" s="38"/>
      <c r="F300" s="38"/>
      <c r="G300" s="38"/>
      <c r="H300" s="41"/>
      <c r="I300" s="38"/>
      <c r="J300" s="60"/>
      <c r="K300" s="56"/>
    </row>
    <row r="301" spans="1:11" ht="20.05" customHeight="1" x14ac:dyDescent="0.2">
      <c r="A301" s="38"/>
      <c r="B301" s="36"/>
      <c r="C301" s="38"/>
      <c r="D301" s="38"/>
      <c r="E301" s="38"/>
      <c r="F301" s="38"/>
      <c r="G301" s="38"/>
      <c r="H301" s="41"/>
      <c r="I301" s="38"/>
      <c r="J301" s="60"/>
      <c r="K301" s="56"/>
    </row>
    <row r="302" spans="1:11" ht="20.05" customHeight="1" x14ac:dyDescent="0.2">
      <c r="A302" s="38"/>
      <c r="B302" s="36"/>
      <c r="C302" s="38"/>
      <c r="D302" s="38"/>
      <c r="E302" s="38"/>
      <c r="F302" s="38"/>
      <c r="G302" s="38"/>
      <c r="H302" s="42"/>
      <c r="I302" s="38"/>
      <c r="J302" s="60"/>
      <c r="K302" s="56"/>
    </row>
    <row r="303" spans="1:11" ht="20.05" customHeight="1" x14ac:dyDescent="0.2">
      <c r="A303" s="38"/>
      <c r="B303" s="160"/>
      <c r="C303" s="160"/>
      <c r="D303" s="160"/>
      <c r="E303" s="160"/>
      <c r="F303" s="160"/>
      <c r="G303" s="160"/>
      <c r="H303" s="38"/>
      <c r="I303" s="38"/>
      <c r="J303" s="60"/>
      <c r="K303" s="56"/>
    </row>
    <row r="304" spans="1:11" ht="20.05" customHeight="1" x14ac:dyDescent="0.2">
      <c r="A304" s="38"/>
      <c r="B304" s="36"/>
      <c r="C304" s="38"/>
      <c r="D304" s="38"/>
      <c r="E304" s="38"/>
      <c r="F304" s="38"/>
      <c r="G304" s="38"/>
      <c r="H304" s="41"/>
      <c r="I304" s="38"/>
      <c r="J304" s="60"/>
      <c r="K304" s="56"/>
    </row>
    <row r="305" spans="1:11" ht="20.05" customHeight="1" x14ac:dyDescent="0.2">
      <c r="A305" s="38"/>
      <c r="B305" s="36"/>
      <c r="C305" s="38"/>
      <c r="D305" s="38"/>
      <c r="E305" s="38"/>
      <c r="F305" s="38"/>
      <c r="G305" s="38"/>
      <c r="H305" s="41"/>
      <c r="I305" s="38"/>
      <c r="J305" s="60"/>
      <c r="K305" s="56"/>
    </row>
    <row r="306" spans="1:11" ht="20.05" customHeight="1" x14ac:dyDescent="0.2">
      <c r="A306" s="38"/>
      <c r="B306" s="36"/>
      <c r="C306" s="38"/>
      <c r="D306" s="38"/>
      <c r="E306" s="38"/>
      <c r="F306" s="38"/>
      <c r="G306" s="38"/>
      <c r="H306" s="41"/>
      <c r="I306" s="38"/>
      <c r="J306" s="60"/>
      <c r="K306" s="56"/>
    </row>
    <row r="307" spans="1:11" ht="20.05" customHeight="1" x14ac:dyDescent="0.2">
      <c r="A307" s="38"/>
      <c r="B307" s="36"/>
      <c r="C307" s="38"/>
      <c r="D307" s="38"/>
      <c r="E307" s="38"/>
      <c r="F307" s="38"/>
      <c r="G307" s="38"/>
      <c r="H307" s="41"/>
      <c r="I307" s="38"/>
      <c r="J307" s="60"/>
      <c r="K307" s="56"/>
    </row>
    <row r="308" spans="1:11" ht="20.05" customHeight="1" x14ac:dyDescent="0.2">
      <c r="A308" s="38"/>
      <c r="B308" s="36"/>
      <c r="C308" s="38"/>
      <c r="D308" s="38"/>
      <c r="E308" s="38"/>
      <c r="F308" s="38"/>
      <c r="G308" s="38"/>
      <c r="H308" s="41"/>
      <c r="I308" s="38"/>
      <c r="J308" s="60"/>
      <c r="K308" s="56"/>
    </row>
    <row r="309" spans="1:11" ht="20.05" customHeight="1" x14ac:dyDescent="0.2">
      <c r="A309" s="38"/>
      <c r="B309" s="36"/>
      <c r="C309" s="38"/>
      <c r="D309" s="38"/>
      <c r="E309" s="38"/>
      <c r="F309" s="38"/>
      <c r="G309" s="38"/>
      <c r="H309" s="41"/>
      <c r="I309" s="38"/>
      <c r="J309" s="60"/>
      <c r="K309" s="56"/>
    </row>
    <row r="310" spans="1:11" ht="20.05" customHeight="1" x14ac:dyDescent="0.2">
      <c r="A310" s="38"/>
      <c r="B310" s="36"/>
      <c r="C310" s="38"/>
      <c r="D310" s="38"/>
      <c r="E310" s="38"/>
      <c r="F310" s="38"/>
      <c r="G310" s="38"/>
      <c r="H310" s="42"/>
      <c r="I310" s="38"/>
      <c r="J310" s="60"/>
      <c r="K310" s="56"/>
    </row>
    <row r="311" spans="1:11" ht="20.05" customHeight="1" x14ac:dyDescent="0.2">
      <c r="A311" s="38"/>
      <c r="B311" s="160"/>
      <c r="C311" s="160"/>
      <c r="D311" s="160"/>
      <c r="E311" s="160"/>
      <c r="F311" s="160"/>
      <c r="G311" s="160"/>
      <c r="H311" s="38"/>
      <c r="I311" s="38"/>
      <c r="J311" s="60"/>
      <c r="K311" s="56"/>
    </row>
    <row r="312" spans="1:11" ht="20.05" customHeight="1" x14ac:dyDescent="0.2">
      <c r="A312" s="38"/>
      <c r="B312" s="36"/>
      <c r="C312" s="38"/>
      <c r="D312" s="38"/>
      <c r="E312" s="41"/>
      <c r="F312" s="41"/>
      <c r="G312" s="38"/>
      <c r="H312" s="41"/>
      <c r="I312" s="38"/>
      <c r="J312" s="60"/>
      <c r="K312" s="56"/>
    </row>
    <row r="313" spans="1:11" ht="20.05" customHeight="1" x14ac:dyDescent="0.2">
      <c r="A313" s="38"/>
      <c r="B313" s="36"/>
      <c r="C313" s="38"/>
      <c r="D313" s="38"/>
      <c r="E313" s="41"/>
      <c r="F313" s="41"/>
      <c r="G313" s="38"/>
      <c r="H313" s="41"/>
      <c r="I313" s="38"/>
      <c r="J313" s="60"/>
      <c r="K313" s="56"/>
    </row>
    <row r="314" spans="1:11" ht="20.05" customHeight="1" x14ac:dyDescent="0.2">
      <c r="A314" s="38"/>
      <c r="B314" s="36"/>
      <c r="C314" s="38"/>
      <c r="D314" s="38"/>
      <c r="E314" s="41"/>
      <c r="F314" s="41"/>
      <c r="G314" s="38"/>
      <c r="H314" s="41"/>
      <c r="I314" s="38"/>
      <c r="J314" s="60"/>
      <c r="K314" s="56"/>
    </row>
    <row r="315" spans="1:11" ht="20.05" customHeight="1" x14ac:dyDescent="0.2">
      <c r="A315" s="38"/>
      <c r="B315" s="36"/>
      <c r="C315" s="38"/>
      <c r="D315" s="38"/>
      <c r="E315" s="41"/>
      <c r="F315" s="41"/>
      <c r="G315" s="38"/>
      <c r="H315" s="41"/>
      <c r="I315" s="38"/>
      <c r="J315" s="60"/>
      <c r="K315" s="56"/>
    </row>
    <row r="316" spans="1:11" ht="20.05" customHeight="1" x14ac:dyDescent="0.2">
      <c r="A316" s="38"/>
      <c r="B316" s="36"/>
      <c r="C316" s="38"/>
      <c r="D316" s="38"/>
      <c r="E316" s="41"/>
      <c r="F316" s="41"/>
      <c r="G316" s="38"/>
      <c r="H316" s="41"/>
      <c r="I316" s="38"/>
      <c r="J316" s="60"/>
      <c r="K316" s="56"/>
    </row>
    <row r="317" spans="1:11" ht="20.05" customHeight="1" x14ac:dyDescent="0.2">
      <c r="A317" s="38"/>
      <c r="B317" s="36"/>
      <c r="C317" s="38"/>
      <c r="D317" s="38"/>
      <c r="E317" s="41"/>
      <c r="F317" s="41"/>
      <c r="G317" s="38"/>
      <c r="H317" s="41"/>
      <c r="I317" s="38"/>
      <c r="J317" s="60"/>
      <c r="K317" s="56"/>
    </row>
    <row r="318" spans="1:11" ht="20.05" customHeight="1" x14ac:dyDescent="0.2">
      <c r="A318" s="38"/>
      <c r="B318" s="36"/>
      <c r="C318" s="38"/>
      <c r="D318" s="38"/>
      <c r="E318" s="41"/>
      <c r="F318" s="41"/>
      <c r="G318" s="38"/>
      <c r="H318" s="41"/>
      <c r="I318" s="38"/>
      <c r="J318" s="60"/>
      <c r="K318" s="56"/>
    </row>
    <row r="319" spans="1:11" ht="20.05" customHeight="1" x14ac:dyDescent="0.2">
      <c r="A319" s="38"/>
      <c r="B319" s="36"/>
      <c r="C319" s="38"/>
      <c r="D319" s="38"/>
      <c r="E319" s="41"/>
      <c r="F319" s="41"/>
      <c r="G319" s="38"/>
      <c r="H319" s="41"/>
      <c r="I319" s="38"/>
      <c r="J319" s="60"/>
      <c r="K319" s="56"/>
    </row>
    <row r="320" spans="1:11" ht="20.05" customHeight="1" x14ac:dyDescent="0.2">
      <c r="A320" s="38"/>
      <c r="B320" s="36"/>
      <c r="C320" s="38"/>
      <c r="D320" s="38"/>
      <c r="E320" s="41"/>
      <c r="F320" s="41"/>
      <c r="G320" s="38"/>
      <c r="H320" s="41"/>
      <c r="I320" s="38"/>
      <c r="J320" s="60"/>
      <c r="K320" s="56"/>
    </row>
    <row r="321" spans="1:11" ht="20.05" customHeight="1" x14ac:dyDescent="0.2">
      <c r="A321" s="38"/>
      <c r="B321" s="36"/>
      <c r="C321" s="38"/>
      <c r="D321" s="38"/>
      <c r="E321" s="41"/>
      <c r="F321" s="41"/>
      <c r="G321" s="38"/>
      <c r="H321" s="41"/>
      <c r="I321" s="38"/>
      <c r="J321" s="60"/>
      <c r="K321" s="56"/>
    </row>
    <row r="322" spans="1:11" ht="20.05" customHeight="1" x14ac:dyDescent="0.2">
      <c r="A322" s="38"/>
      <c r="B322" s="36"/>
      <c r="C322" s="38"/>
      <c r="D322" s="38"/>
      <c r="E322" s="41"/>
      <c r="F322" s="41"/>
      <c r="G322" s="38"/>
      <c r="H322" s="41"/>
      <c r="I322" s="38"/>
      <c r="J322" s="60"/>
      <c r="K322" s="56"/>
    </row>
    <row r="323" spans="1:11" ht="20.05" customHeight="1" x14ac:dyDescent="0.2">
      <c r="A323" s="38"/>
      <c r="B323" s="36"/>
      <c r="C323" s="38"/>
      <c r="D323" s="38"/>
      <c r="E323" s="41"/>
      <c r="F323" s="41"/>
      <c r="G323" s="38"/>
      <c r="H323" s="41"/>
      <c r="I323" s="38"/>
      <c r="J323" s="60"/>
      <c r="K323" s="56"/>
    </row>
    <row r="324" spans="1:11" ht="20.05" customHeight="1" x14ac:dyDescent="0.2">
      <c r="A324" s="38"/>
      <c r="B324" s="36"/>
      <c r="C324" s="38"/>
      <c r="D324" s="38"/>
      <c r="E324" s="41"/>
      <c r="F324" s="41"/>
      <c r="G324" s="38"/>
      <c r="H324" s="41"/>
      <c r="I324" s="38"/>
      <c r="J324" s="60"/>
      <c r="K324" s="56"/>
    </row>
    <row r="325" spans="1:11" ht="20.05" customHeight="1" x14ac:dyDescent="0.2">
      <c r="A325" s="38"/>
      <c r="B325" s="36"/>
      <c r="C325" s="38"/>
      <c r="D325" s="38"/>
      <c r="E325" s="41"/>
      <c r="F325" s="41"/>
      <c r="G325" s="38"/>
      <c r="H325" s="41"/>
      <c r="I325" s="38"/>
      <c r="J325" s="60"/>
      <c r="K325" s="56"/>
    </row>
    <row r="326" spans="1:11" ht="20.05" customHeight="1" x14ac:dyDescent="0.2">
      <c r="A326" s="38"/>
      <c r="B326" s="36"/>
      <c r="C326" s="38"/>
      <c r="D326" s="38"/>
      <c r="E326" s="38"/>
      <c r="F326" s="38"/>
      <c r="G326" s="38"/>
      <c r="H326" s="42"/>
      <c r="I326" s="38"/>
      <c r="J326" s="60"/>
      <c r="K326" s="56"/>
    </row>
    <row r="327" spans="1:11" ht="20.05" customHeight="1" x14ac:dyDescent="0.2">
      <c r="A327" s="38"/>
      <c r="B327" s="160"/>
      <c r="C327" s="160"/>
      <c r="D327" s="160"/>
      <c r="E327" s="160"/>
      <c r="F327" s="160"/>
      <c r="G327" s="160"/>
      <c r="H327" s="38"/>
      <c r="I327" s="38"/>
      <c r="J327" s="60"/>
      <c r="K327" s="56"/>
    </row>
    <row r="328" spans="1:11" ht="20.05" customHeight="1" x14ac:dyDescent="0.2">
      <c r="A328" s="38"/>
      <c r="B328" s="36"/>
      <c r="C328" s="38"/>
      <c r="D328" s="38"/>
      <c r="E328" s="41"/>
      <c r="F328" s="41"/>
      <c r="G328" s="38"/>
      <c r="H328" s="41"/>
      <c r="I328" s="38"/>
      <c r="J328" s="60"/>
      <c r="K328" s="56"/>
    </row>
    <row r="329" spans="1:11" ht="20.05" customHeight="1" x14ac:dyDescent="0.2">
      <c r="A329" s="38"/>
      <c r="B329" s="36"/>
      <c r="C329" s="38"/>
      <c r="D329" s="38"/>
      <c r="E329" s="41"/>
      <c r="F329" s="41"/>
      <c r="G329" s="38"/>
      <c r="H329" s="41"/>
      <c r="I329" s="38"/>
      <c r="J329" s="60"/>
      <c r="K329" s="56"/>
    </row>
    <row r="330" spans="1:11" ht="20.05" customHeight="1" x14ac:dyDescent="0.2">
      <c r="A330" s="38"/>
      <c r="B330" s="36"/>
      <c r="C330" s="38"/>
      <c r="D330" s="38"/>
      <c r="E330" s="41"/>
      <c r="F330" s="41"/>
      <c r="G330" s="38"/>
      <c r="H330" s="41"/>
      <c r="I330" s="38"/>
      <c r="J330" s="60"/>
      <c r="K330" s="56"/>
    </row>
    <row r="331" spans="1:11" ht="20.05" customHeight="1" x14ac:dyDescent="0.2">
      <c r="A331" s="38"/>
      <c r="B331" s="36"/>
      <c r="C331" s="38"/>
      <c r="D331" s="38"/>
      <c r="E331" s="41"/>
      <c r="F331" s="41"/>
      <c r="G331" s="38"/>
      <c r="H331" s="41"/>
      <c r="I331" s="38"/>
      <c r="J331" s="60"/>
      <c r="K331" s="56"/>
    </row>
    <row r="332" spans="1:11" ht="20.05" customHeight="1" x14ac:dyDescent="0.2">
      <c r="A332" s="38"/>
      <c r="B332" s="36"/>
      <c r="C332" s="38"/>
      <c r="D332" s="38"/>
      <c r="E332" s="41"/>
      <c r="F332" s="41"/>
      <c r="G332" s="38"/>
      <c r="H332" s="41"/>
      <c r="I332" s="38"/>
      <c r="J332" s="60"/>
      <c r="K332" s="56"/>
    </row>
    <row r="333" spans="1:11" ht="20.05" customHeight="1" x14ac:dyDescent="0.2">
      <c r="A333" s="38"/>
      <c r="B333" s="36"/>
      <c r="C333" s="38"/>
      <c r="D333" s="38"/>
      <c r="E333" s="41"/>
      <c r="F333" s="41"/>
      <c r="G333" s="38"/>
      <c r="H333" s="41"/>
      <c r="I333" s="38"/>
      <c r="J333" s="60"/>
      <c r="K333" s="56"/>
    </row>
    <row r="334" spans="1:11" ht="20.05" customHeight="1" x14ac:dyDescent="0.2">
      <c r="A334" s="38"/>
      <c r="B334" s="36"/>
      <c r="C334" s="38"/>
      <c r="D334" s="38"/>
      <c r="E334" s="41"/>
      <c r="F334" s="41"/>
      <c r="G334" s="38"/>
      <c r="H334" s="41"/>
      <c r="I334" s="38"/>
      <c r="J334" s="60"/>
      <c r="K334" s="56"/>
    </row>
    <row r="335" spans="1:11" ht="20.05" customHeight="1" x14ac:dyDescent="0.2">
      <c r="A335" s="38"/>
      <c r="B335" s="36"/>
      <c r="C335" s="38"/>
      <c r="D335" s="38"/>
      <c r="E335" s="41"/>
      <c r="F335" s="41"/>
      <c r="G335" s="38"/>
      <c r="H335" s="41"/>
      <c r="I335" s="38"/>
      <c r="J335" s="60"/>
      <c r="K335" s="56"/>
    </row>
    <row r="336" spans="1:11" ht="20.05" customHeight="1" x14ac:dyDescent="0.2">
      <c r="A336" s="38"/>
      <c r="B336" s="36"/>
      <c r="C336" s="38"/>
      <c r="D336" s="38"/>
      <c r="E336" s="41"/>
      <c r="F336" s="41"/>
      <c r="G336" s="38"/>
      <c r="H336" s="41"/>
      <c r="I336" s="38"/>
      <c r="J336" s="60"/>
      <c r="K336" s="56"/>
    </row>
    <row r="337" spans="1:11" ht="20.05" customHeight="1" x14ac:dyDescent="0.2">
      <c r="A337" s="38"/>
      <c r="B337" s="36"/>
      <c r="C337" s="38"/>
      <c r="D337" s="38"/>
      <c r="E337" s="41"/>
      <c r="F337" s="41"/>
      <c r="G337" s="38"/>
      <c r="H337" s="41"/>
      <c r="I337" s="38"/>
      <c r="J337" s="60"/>
      <c r="K337" s="56"/>
    </row>
    <row r="338" spans="1:11" ht="20.05" customHeight="1" x14ac:dyDescent="0.2">
      <c r="A338" s="38"/>
      <c r="B338" s="36"/>
      <c r="C338" s="38"/>
      <c r="D338" s="38"/>
      <c r="E338" s="41"/>
      <c r="F338" s="41"/>
      <c r="G338" s="38"/>
      <c r="H338" s="41"/>
      <c r="I338" s="38"/>
      <c r="J338" s="60"/>
      <c r="K338" s="56"/>
    </row>
    <row r="339" spans="1:11" ht="20.05" customHeight="1" x14ac:dyDescent="0.2">
      <c r="A339" s="38"/>
      <c r="B339" s="36"/>
      <c r="C339" s="38"/>
      <c r="D339" s="38"/>
      <c r="E339" s="41"/>
      <c r="F339" s="41"/>
      <c r="G339" s="38"/>
      <c r="H339" s="41"/>
      <c r="I339" s="38"/>
      <c r="J339" s="60"/>
      <c r="K339" s="56"/>
    </row>
    <row r="340" spans="1:11" ht="20.05" customHeight="1" x14ac:dyDescent="0.2">
      <c r="A340" s="38"/>
      <c r="B340" s="36"/>
      <c r="C340" s="38"/>
      <c r="D340" s="38"/>
      <c r="E340" s="41"/>
      <c r="F340" s="41"/>
      <c r="G340" s="38"/>
      <c r="H340" s="41"/>
      <c r="I340" s="38"/>
      <c r="J340" s="60"/>
      <c r="K340" s="56"/>
    </row>
    <row r="341" spans="1:11" ht="20.05" customHeight="1" x14ac:dyDescent="0.2">
      <c r="A341" s="38"/>
      <c r="B341" s="36"/>
      <c r="C341" s="38"/>
      <c r="D341" s="38"/>
      <c r="E341" s="41"/>
      <c r="F341" s="41"/>
      <c r="G341" s="38"/>
      <c r="H341" s="41"/>
      <c r="I341" s="38"/>
      <c r="J341" s="60"/>
      <c r="K341" s="56"/>
    </row>
    <row r="342" spans="1:11" ht="20.05" customHeight="1" x14ac:dyDescent="0.2">
      <c r="A342" s="38"/>
      <c r="B342" s="36"/>
      <c r="C342" s="38"/>
      <c r="D342" s="38"/>
      <c r="E342" s="41"/>
      <c r="F342" s="41"/>
      <c r="G342" s="38"/>
      <c r="H342" s="41"/>
      <c r="I342" s="38"/>
      <c r="J342" s="60"/>
      <c r="K342" s="56"/>
    </row>
    <row r="343" spans="1:11" ht="20.05" customHeight="1" x14ac:dyDescent="0.2">
      <c r="A343" s="38"/>
      <c r="B343" s="36"/>
      <c r="C343" s="38"/>
      <c r="D343" s="38"/>
      <c r="E343" s="41"/>
      <c r="F343" s="41"/>
      <c r="G343" s="38"/>
      <c r="H343" s="41"/>
      <c r="I343" s="38"/>
      <c r="J343" s="60"/>
      <c r="K343" s="56"/>
    </row>
    <row r="344" spans="1:11" ht="20.05" customHeight="1" x14ac:dyDescent="0.2">
      <c r="A344" s="38"/>
      <c r="B344" s="36"/>
      <c r="C344" s="38"/>
      <c r="D344" s="38"/>
      <c r="E344" s="41"/>
      <c r="F344" s="41"/>
      <c r="G344" s="38"/>
      <c r="H344" s="41"/>
      <c r="I344" s="38"/>
      <c r="J344" s="60"/>
      <c r="K344" s="56"/>
    </row>
    <row r="345" spans="1:11" ht="20.05" customHeight="1" x14ac:dyDescent="0.2">
      <c r="A345" s="38"/>
      <c r="B345" s="36"/>
      <c r="C345" s="38"/>
      <c r="D345" s="38"/>
      <c r="E345" s="41"/>
      <c r="F345" s="41"/>
      <c r="G345" s="38"/>
      <c r="H345" s="41"/>
      <c r="I345" s="38"/>
      <c r="J345" s="60"/>
      <c r="K345" s="56"/>
    </row>
    <row r="346" spans="1:11" ht="20.05" customHeight="1" x14ac:dyDescent="0.2">
      <c r="A346" s="38"/>
      <c r="B346" s="36"/>
      <c r="C346" s="38"/>
      <c r="D346" s="38"/>
      <c r="E346" s="41"/>
      <c r="F346" s="41"/>
      <c r="G346" s="38"/>
      <c r="H346" s="41"/>
      <c r="I346" s="38"/>
      <c r="J346" s="60"/>
      <c r="K346" s="56"/>
    </row>
    <row r="347" spans="1:11" ht="20.05" customHeight="1" x14ac:dyDescent="0.2">
      <c r="A347" s="38"/>
      <c r="B347" s="36"/>
      <c r="C347" s="38"/>
      <c r="D347" s="38"/>
      <c r="E347" s="41"/>
      <c r="F347" s="41"/>
      <c r="G347" s="38"/>
      <c r="H347" s="41"/>
      <c r="I347" s="38"/>
      <c r="J347" s="60"/>
      <c r="K347" s="56"/>
    </row>
    <row r="348" spans="1:11" ht="20.05" customHeight="1" x14ac:dyDescent="0.2">
      <c r="A348" s="38"/>
      <c r="B348" s="36"/>
      <c r="C348" s="38"/>
      <c r="D348" s="38"/>
      <c r="E348" s="41"/>
      <c r="F348" s="41"/>
      <c r="G348" s="38"/>
      <c r="H348" s="41"/>
      <c r="I348" s="38"/>
      <c r="J348" s="60"/>
      <c r="K348" s="56"/>
    </row>
    <row r="349" spans="1:11" ht="20.05" customHeight="1" x14ac:dyDescent="0.2">
      <c r="A349" s="38"/>
      <c r="B349" s="36"/>
      <c r="C349" s="38"/>
      <c r="D349" s="38"/>
      <c r="E349" s="41"/>
      <c r="F349" s="41"/>
      <c r="G349" s="38"/>
      <c r="H349" s="41"/>
      <c r="I349" s="38"/>
      <c r="J349" s="60"/>
      <c r="K349" s="56"/>
    </row>
    <row r="350" spans="1:11" ht="20.05" customHeight="1" x14ac:dyDescent="0.2">
      <c r="A350" s="38"/>
      <c r="B350" s="36"/>
      <c r="C350" s="38"/>
      <c r="D350" s="38"/>
      <c r="E350" s="41"/>
      <c r="F350" s="41"/>
      <c r="G350" s="38"/>
      <c r="H350" s="41"/>
      <c r="I350" s="38"/>
      <c r="J350" s="60"/>
      <c r="K350" s="56"/>
    </row>
    <row r="351" spans="1:11" ht="20.05" customHeight="1" x14ac:dyDescent="0.2">
      <c r="A351" s="38"/>
      <c r="B351" s="36"/>
      <c r="C351" s="38"/>
      <c r="D351" s="38"/>
      <c r="E351" s="41"/>
      <c r="F351" s="41"/>
      <c r="G351" s="38"/>
      <c r="H351" s="41"/>
      <c r="I351" s="38"/>
      <c r="J351" s="60"/>
      <c r="K351" s="56"/>
    </row>
    <row r="352" spans="1:11" ht="20.05" customHeight="1" x14ac:dyDescent="0.2">
      <c r="A352" s="38"/>
      <c r="B352" s="36"/>
      <c r="C352" s="38"/>
      <c r="D352" s="38"/>
      <c r="E352" s="41"/>
      <c r="F352" s="41"/>
      <c r="G352" s="38"/>
      <c r="H352" s="41"/>
      <c r="I352" s="38"/>
      <c r="J352" s="60"/>
      <c r="K352" s="56"/>
    </row>
    <row r="353" spans="1:11" ht="20.05" customHeight="1" x14ac:dyDescent="0.2">
      <c r="A353" s="38"/>
      <c r="B353" s="36"/>
      <c r="C353" s="38"/>
      <c r="D353" s="38"/>
      <c r="E353" s="41"/>
      <c r="F353" s="41"/>
      <c r="G353" s="38"/>
      <c r="H353" s="41"/>
      <c r="I353" s="38"/>
      <c r="J353" s="60"/>
      <c r="K353" s="56"/>
    </row>
    <row r="354" spans="1:11" ht="20.05" customHeight="1" x14ac:dyDescent="0.2">
      <c r="A354" s="38"/>
      <c r="B354" s="36"/>
      <c r="C354" s="38"/>
      <c r="D354" s="38"/>
      <c r="E354" s="41"/>
      <c r="F354" s="41"/>
      <c r="G354" s="38"/>
      <c r="H354" s="41"/>
      <c r="I354" s="38"/>
      <c r="J354" s="60"/>
      <c r="K354" s="56"/>
    </row>
    <row r="355" spans="1:11" ht="20.05" customHeight="1" x14ac:dyDescent="0.2">
      <c r="A355" s="38"/>
      <c r="B355" s="36"/>
      <c r="C355" s="38"/>
      <c r="D355" s="38"/>
      <c r="E355" s="41"/>
      <c r="F355" s="41"/>
      <c r="G355" s="38"/>
      <c r="H355" s="41"/>
      <c r="I355" s="38"/>
      <c r="J355" s="60"/>
      <c r="K355" s="56"/>
    </row>
    <row r="356" spans="1:11" ht="20.05" customHeight="1" x14ac:dyDescent="0.2">
      <c r="A356" s="38"/>
      <c r="B356" s="36"/>
      <c r="C356" s="38"/>
      <c r="D356" s="38"/>
      <c r="E356" s="41"/>
      <c r="F356" s="41"/>
      <c r="G356" s="38"/>
      <c r="H356" s="41"/>
      <c r="I356" s="38"/>
      <c r="J356" s="60"/>
      <c r="K356" s="56"/>
    </row>
    <row r="357" spans="1:11" ht="20.05" customHeight="1" x14ac:dyDescent="0.2">
      <c r="A357" s="38"/>
      <c r="B357" s="36"/>
      <c r="C357" s="38"/>
      <c r="D357" s="38"/>
      <c r="E357" s="41"/>
      <c r="F357" s="41"/>
      <c r="G357" s="38"/>
      <c r="H357" s="41"/>
      <c r="I357" s="38"/>
      <c r="J357" s="60"/>
      <c r="K357" s="56"/>
    </row>
    <row r="358" spans="1:11" ht="20.05" customHeight="1" x14ac:dyDescent="0.2">
      <c r="A358" s="38"/>
      <c r="B358" s="36"/>
      <c r="C358" s="38"/>
      <c r="D358" s="38"/>
      <c r="E358" s="41"/>
      <c r="F358" s="41"/>
      <c r="G358" s="38"/>
      <c r="H358" s="41"/>
      <c r="I358" s="38"/>
      <c r="J358" s="60"/>
      <c r="K358" s="56"/>
    </row>
    <row r="359" spans="1:11" ht="20.05" customHeight="1" x14ac:dyDescent="0.2">
      <c r="A359" s="38"/>
      <c r="B359" s="36"/>
      <c r="C359" s="38"/>
      <c r="D359" s="38"/>
      <c r="E359" s="41"/>
      <c r="F359" s="41"/>
      <c r="G359" s="38"/>
      <c r="H359" s="41"/>
      <c r="I359" s="38"/>
      <c r="J359" s="60"/>
      <c r="K359" s="56"/>
    </row>
    <row r="360" spans="1:11" ht="20.05" customHeight="1" x14ac:dyDescent="0.2">
      <c r="A360" s="38"/>
      <c r="B360" s="36"/>
      <c r="C360" s="38"/>
      <c r="D360" s="38"/>
      <c r="E360" s="41"/>
      <c r="F360" s="41"/>
      <c r="G360" s="38"/>
      <c r="H360" s="41"/>
      <c r="I360" s="38"/>
      <c r="J360" s="60"/>
      <c r="K360" s="56"/>
    </row>
    <row r="361" spans="1:11" ht="20.05" customHeight="1" x14ac:dyDescent="0.2">
      <c r="A361" s="38"/>
      <c r="B361" s="36"/>
      <c r="C361" s="38"/>
      <c r="D361" s="38"/>
      <c r="E361" s="41"/>
      <c r="F361" s="41"/>
      <c r="G361" s="38"/>
      <c r="H361" s="41"/>
      <c r="I361" s="38"/>
      <c r="J361" s="60"/>
      <c r="K361" s="56"/>
    </row>
    <row r="362" spans="1:11" ht="20.05" customHeight="1" x14ac:dyDescent="0.2">
      <c r="A362" s="38"/>
      <c r="B362" s="36"/>
      <c r="C362" s="38"/>
      <c r="D362" s="38"/>
      <c r="E362" s="41"/>
      <c r="F362" s="41"/>
      <c r="G362" s="38"/>
      <c r="H362" s="41"/>
      <c r="I362" s="38"/>
      <c r="J362" s="60"/>
      <c r="K362" s="56"/>
    </row>
    <row r="363" spans="1:11" ht="20.05" customHeight="1" x14ac:dyDescent="0.2">
      <c r="A363" s="38"/>
      <c r="B363" s="36"/>
      <c r="C363" s="38"/>
      <c r="D363" s="38"/>
      <c r="E363" s="41"/>
      <c r="F363" s="41"/>
      <c r="G363" s="38"/>
      <c r="H363" s="41"/>
      <c r="I363" s="38"/>
      <c r="J363" s="60"/>
      <c r="K363" s="56"/>
    </row>
    <row r="364" spans="1:11" ht="20.05" customHeight="1" x14ac:dyDescent="0.2">
      <c r="A364" s="38"/>
      <c r="B364" s="36"/>
      <c r="C364" s="38"/>
      <c r="D364" s="38"/>
      <c r="E364" s="41"/>
      <c r="F364" s="41"/>
      <c r="G364" s="38"/>
      <c r="H364" s="41"/>
      <c r="I364" s="38"/>
      <c r="J364" s="60"/>
      <c r="K364" s="56"/>
    </row>
    <row r="365" spans="1:11" ht="20.05" customHeight="1" x14ac:dyDescent="0.2">
      <c r="A365" s="38"/>
      <c r="B365" s="36"/>
      <c r="C365" s="38"/>
      <c r="D365" s="38"/>
      <c r="E365" s="41"/>
      <c r="F365" s="41"/>
      <c r="G365" s="38"/>
      <c r="H365" s="41"/>
      <c r="I365" s="38"/>
      <c r="J365" s="60"/>
      <c r="K365" s="56"/>
    </row>
    <row r="366" spans="1:11" ht="20.05" customHeight="1" x14ac:dyDescent="0.2">
      <c r="A366" s="38"/>
      <c r="B366" s="36"/>
      <c r="C366" s="38"/>
      <c r="D366" s="38"/>
      <c r="E366" s="41"/>
      <c r="F366" s="41"/>
      <c r="G366" s="38"/>
      <c r="H366" s="41"/>
      <c r="I366" s="38"/>
      <c r="J366" s="60"/>
      <c r="K366" s="56"/>
    </row>
    <row r="367" spans="1:11" ht="20.05" customHeight="1" x14ac:dyDescent="0.2">
      <c r="A367" s="38"/>
      <c r="B367" s="36"/>
      <c r="C367" s="38"/>
      <c r="D367" s="38"/>
      <c r="E367" s="41"/>
      <c r="F367" s="41"/>
      <c r="G367" s="38"/>
      <c r="H367" s="41"/>
      <c r="I367" s="38"/>
      <c r="J367" s="60"/>
      <c r="K367" s="56"/>
    </row>
    <row r="368" spans="1:11" ht="20.05" customHeight="1" x14ac:dyDescent="0.2">
      <c r="A368" s="38"/>
      <c r="B368" s="36"/>
      <c r="C368" s="38"/>
      <c r="D368" s="38"/>
      <c r="E368" s="41"/>
      <c r="F368" s="41"/>
      <c r="G368" s="38"/>
      <c r="H368" s="41"/>
      <c r="I368" s="38"/>
      <c r="J368" s="60"/>
      <c r="K368" s="56"/>
    </row>
    <row r="369" spans="1:11" ht="20.05" customHeight="1" x14ac:dyDescent="0.2">
      <c r="A369" s="38"/>
      <c r="B369" s="36"/>
      <c r="C369" s="38"/>
      <c r="D369" s="38"/>
      <c r="E369" s="41"/>
      <c r="F369" s="41"/>
      <c r="G369" s="38"/>
      <c r="H369" s="41"/>
      <c r="I369" s="38"/>
      <c r="J369" s="60"/>
      <c r="K369" s="56"/>
    </row>
    <row r="370" spans="1:11" ht="20.05" customHeight="1" x14ac:dyDescent="0.2">
      <c r="A370" s="38"/>
      <c r="B370" s="36"/>
      <c r="C370" s="38"/>
      <c r="D370" s="38"/>
      <c r="E370" s="41"/>
      <c r="F370" s="41"/>
      <c r="G370" s="38"/>
      <c r="H370" s="41"/>
      <c r="I370" s="38"/>
      <c r="J370" s="60"/>
      <c r="K370" s="56"/>
    </row>
    <row r="371" spans="1:11" ht="20.05" customHeight="1" x14ac:dyDescent="0.2">
      <c r="A371" s="38"/>
      <c r="B371" s="36"/>
      <c r="C371" s="38"/>
      <c r="D371" s="38"/>
      <c r="E371" s="41"/>
      <c r="F371" s="41"/>
      <c r="G371" s="38"/>
      <c r="H371" s="41"/>
      <c r="I371" s="38"/>
      <c r="J371" s="60"/>
      <c r="K371" s="56"/>
    </row>
    <row r="372" spans="1:11" ht="20.05" customHeight="1" x14ac:dyDescent="0.2">
      <c r="A372" s="38"/>
      <c r="B372" s="36"/>
      <c r="C372" s="38"/>
      <c r="D372" s="38"/>
      <c r="E372" s="41"/>
      <c r="F372" s="41"/>
      <c r="G372" s="38"/>
      <c r="H372" s="41"/>
      <c r="I372" s="38"/>
      <c r="J372" s="60"/>
      <c r="K372" s="56"/>
    </row>
    <row r="373" spans="1:11" ht="20.05" customHeight="1" x14ac:dyDescent="0.2">
      <c r="A373" s="38"/>
      <c r="B373" s="36"/>
      <c r="C373" s="38"/>
      <c r="D373" s="38"/>
      <c r="E373" s="41"/>
      <c r="F373" s="41"/>
      <c r="G373" s="38"/>
      <c r="H373" s="41"/>
      <c r="I373" s="38"/>
      <c r="J373" s="60"/>
      <c r="K373" s="56"/>
    </row>
    <row r="374" spans="1:11" ht="20.05" customHeight="1" x14ac:dyDescent="0.2">
      <c r="A374" s="38"/>
      <c r="B374" s="36"/>
      <c r="C374" s="38"/>
      <c r="D374" s="38"/>
      <c r="E374" s="38"/>
      <c r="F374" s="38"/>
      <c r="G374" s="38"/>
      <c r="H374" s="42"/>
      <c r="I374" s="38"/>
      <c r="J374" s="60"/>
      <c r="K374" s="56"/>
    </row>
    <row r="375" spans="1:11" ht="20.05" customHeight="1" x14ac:dyDescent="0.2">
      <c r="A375" s="38"/>
      <c r="B375" s="160"/>
      <c r="C375" s="160"/>
      <c r="D375" s="160"/>
      <c r="E375" s="160"/>
      <c r="F375" s="160"/>
      <c r="G375" s="160"/>
      <c r="H375" s="38"/>
      <c r="I375" s="38"/>
      <c r="J375" s="60"/>
      <c r="K375" s="56"/>
    </row>
    <row r="376" spans="1:11" ht="20.05" customHeight="1" x14ac:dyDescent="0.2">
      <c r="A376" s="38"/>
      <c r="B376" s="36"/>
      <c r="C376" s="38"/>
      <c r="D376" s="38"/>
      <c r="E376" s="41"/>
      <c r="F376" s="41"/>
      <c r="G376" s="38"/>
      <c r="H376" s="41"/>
      <c r="I376" s="38"/>
      <c r="J376" s="60"/>
      <c r="K376" s="56"/>
    </row>
    <row r="377" spans="1:11" ht="20.05" customHeight="1" x14ac:dyDescent="0.2">
      <c r="A377" s="38"/>
      <c r="B377" s="36"/>
      <c r="C377" s="38"/>
      <c r="D377" s="38"/>
      <c r="E377" s="41"/>
      <c r="F377" s="41"/>
      <c r="G377" s="38"/>
      <c r="H377" s="41"/>
      <c r="I377" s="38"/>
      <c r="J377" s="60"/>
      <c r="K377" s="56"/>
    </row>
    <row r="378" spans="1:11" ht="20.05" customHeight="1" x14ac:dyDescent="0.2">
      <c r="A378" s="38"/>
      <c r="B378" s="36"/>
      <c r="C378" s="38"/>
      <c r="D378" s="38"/>
      <c r="E378" s="41"/>
      <c r="F378" s="41"/>
      <c r="G378" s="38"/>
      <c r="H378" s="41"/>
      <c r="I378" s="38"/>
      <c r="J378" s="60"/>
      <c r="K378" s="56"/>
    </row>
    <row r="379" spans="1:11" ht="20.05" customHeight="1" x14ac:dyDescent="0.2">
      <c r="A379" s="38"/>
      <c r="B379" s="36"/>
      <c r="C379" s="38"/>
      <c r="D379" s="38"/>
      <c r="E379" s="41"/>
      <c r="F379" s="41"/>
      <c r="G379" s="38"/>
      <c r="H379" s="41"/>
      <c r="I379" s="38"/>
      <c r="J379" s="60"/>
      <c r="K379" s="56"/>
    </row>
    <row r="380" spans="1:11" ht="20.05" customHeight="1" x14ac:dyDescent="0.2">
      <c r="A380" s="38"/>
      <c r="B380" s="36"/>
      <c r="C380" s="38"/>
      <c r="D380" s="38"/>
      <c r="E380" s="41"/>
      <c r="F380" s="41"/>
      <c r="G380" s="38"/>
      <c r="H380" s="41"/>
      <c r="I380" s="38"/>
      <c r="J380" s="60"/>
      <c r="K380" s="56"/>
    </row>
    <row r="381" spans="1:11" ht="20.05" customHeight="1" x14ac:dyDescent="0.2">
      <c r="A381" s="38"/>
      <c r="B381" s="36"/>
      <c r="C381" s="38"/>
      <c r="D381" s="38"/>
      <c r="E381" s="38"/>
      <c r="F381" s="38"/>
      <c r="G381" s="38"/>
      <c r="H381" s="42"/>
      <c r="I381" s="38"/>
      <c r="J381" s="60"/>
      <c r="K381" s="56"/>
    </row>
    <row r="382" spans="1:11" ht="20.05" customHeight="1" x14ac:dyDescent="0.2">
      <c r="A382" s="38"/>
      <c r="B382" s="160"/>
      <c r="C382" s="160"/>
      <c r="D382" s="160"/>
      <c r="E382" s="160"/>
      <c r="F382" s="160"/>
      <c r="G382" s="160"/>
      <c r="H382" s="38"/>
      <c r="I382" s="38"/>
      <c r="J382" s="60"/>
      <c r="K382" s="56"/>
    </row>
    <row r="383" spans="1:11" ht="20.05" customHeight="1" x14ac:dyDescent="0.2">
      <c r="A383" s="38"/>
      <c r="B383" s="36"/>
      <c r="C383" s="38"/>
      <c r="D383" s="38"/>
      <c r="E383" s="38"/>
      <c r="F383" s="38"/>
      <c r="G383" s="38"/>
      <c r="H383" s="41"/>
      <c r="I383" s="38"/>
      <c r="J383" s="60"/>
      <c r="K383" s="56"/>
    </row>
    <row r="384" spans="1:11" ht="20.05" customHeight="1" x14ac:dyDescent="0.2">
      <c r="A384" s="38"/>
      <c r="B384" s="36"/>
      <c r="C384" s="38"/>
      <c r="D384" s="38"/>
      <c r="E384" s="38"/>
      <c r="F384" s="38"/>
      <c r="G384" s="38"/>
      <c r="H384" s="41"/>
      <c r="I384" s="38"/>
      <c r="J384" s="60"/>
      <c r="K384" s="56"/>
    </row>
    <row r="385" spans="1:11" ht="20.05" customHeight="1" x14ac:dyDescent="0.2">
      <c r="A385" s="38"/>
      <c r="B385" s="36"/>
      <c r="C385" s="38"/>
      <c r="D385" s="38"/>
      <c r="E385" s="38"/>
      <c r="F385" s="38"/>
      <c r="G385" s="38"/>
      <c r="H385" s="41"/>
      <c r="I385" s="38"/>
      <c r="J385" s="60"/>
      <c r="K385" s="56"/>
    </row>
    <row r="386" spans="1:11" ht="20.05" customHeight="1" x14ac:dyDescent="0.2">
      <c r="A386" s="38"/>
      <c r="B386" s="36"/>
      <c r="C386" s="38"/>
      <c r="D386" s="38"/>
      <c r="E386" s="38"/>
      <c r="F386" s="38"/>
      <c r="G386" s="38"/>
      <c r="H386" s="41"/>
      <c r="I386" s="38"/>
      <c r="J386" s="60"/>
      <c r="K386" s="56"/>
    </row>
    <row r="387" spans="1:11" ht="20.05" customHeight="1" x14ac:dyDescent="0.2">
      <c r="A387" s="38"/>
      <c r="B387" s="36"/>
      <c r="C387" s="38"/>
      <c r="D387" s="38"/>
      <c r="E387" s="38"/>
      <c r="F387" s="38"/>
      <c r="G387" s="38"/>
      <c r="H387" s="41"/>
      <c r="I387" s="38"/>
      <c r="J387" s="60"/>
      <c r="K387" s="56"/>
    </row>
    <row r="388" spans="1:11" ht="20.05" customHeight="1" x14ac:dyDescent="0.2">
      <c r="A388" s="38"/>
      <c r="B388" s="36"/>
      <c r="C388" s="38"/>
      <c r="D388" s="38"/>
      <c r="E388" s="38"/>
      <c r="F388" s="38"/>
      <c r="G388" s="38"/>
      <c r="H388" s="41"/>
      <c r="I388" s="38"/>
      <c r="J388" s="60"/>
      <c r="K388" s="56"/>
    </row>
    <row r="389" spans="1:11" ht="20.05" customHeight="1" x14ac:dyDescent="0.2">
      <c r="A389" s="38"/>
      <c r="B389" s="36"/>
      <c r="C389" s="38"/>
      <c r="D389" s="38"/>
      <c r="E389" s="38"/>
      <c r="F389" s="38"/>
      <c r="G389" s="38"/>
      <c r="H389" s="41"/>
      <c r="I389" s="38"/>
      <c r="J389" s="60"/>
      <c r="K389" s="56"/>
    </row>
    <row r="390" spans="1:11" ht="20.05" customHeight="1" x14ac:dyDescent="0.2">
      <c r="A390" s="38"/>
      <c r="B390" s="36"/>
      <c r="C390" s="38"/>
      <c r="D390" s="38"/>
      <c r="E390" s="38"/>
      <c r="F390" s="38"/>
      <c r="G390" s="38"/>
      <c r="H390" s="41"/>
      <c r="I390" s="38"/>
      <c r="J390" s="60"/>
      <c r="K390" s="56"/>
    </row>
    <row r="391" spans="1:11" ht="20.05" customHeight="1" x14ac:dyDescent="0.2">
      <c r="A391" s="38"/>
      <c r="B391" s="36"/>
      <c r="C391" s="38"/>
      <c r="D391" s="38"/>
      <c r="E391" s="38"/>
      <c r="F391" s="38"/>
      <c r="G391" s="38"/>
      <c r="H391" s="41"/>
      <c r="I391" s="38"/>
      <c r="J391" s="60"/>
      <c r="K391" s="56"/>
    </row>
    <row r="392" spans="1:11" ht="20.05" customHeight="1" x14ac:dyDescent="0.2">
      <c r="A392" s="38"/>
      <c r="B392" s="36"/>
      <c r="C392" s="38"/>
      <c r="D392" s="38"/>
      <c r="E392" s="38"/>
      <c r="F392" s="38"/>
      <c r="G392" s="38"/>
      <c r="H392" s="41"/>
      <c r="I392" s="38"/>
      <c r="J392" s="60"/>
      <c r="K392" s="56"/>
    </row>
    <row r="393" spans="1:11" ht="20.05" customHeight="1" x14ac:dyDescent="0.2">
      <c r="A393" s="38"/>
      <c r="B393" s="36"/>
      <c r="C393" s="38"/>
      <c r="D393" s="38"/>
      <c r="E393" s="38"/>
      <c r="F393" s="38"/>
      <c r="G393" s="38"/>
      <c r="H393" s="41"/>
      <c r="I393" s="38"/>
      <c r="J393" s="60"/>
      <c r="K393" s="56"/>
    </row>
    <row r="394" spans="1:11" ht="20.05" customHeight="1" x14ac:dyDescent="0.2">
      <c r="A394" s="38"/>
      <c r="B394" s="36"/>
      <c r="C394" s="38"/>
      <c r="D394" s="38"/>
      <c r="E394" s="38"/>
      <c r="F394" s="38"/>
      <c r="G394" s="38"/>
      <c r="H394" s="41"/>
      <c r="I394" s="38"/>
      <c r="J394" s="60"/>
      <c r="K394" s="56"/>
    </row>
    <row r="395" spans="1:11" ht="20.05" customHeight="1" x14ac:dyDescent="0.2">
      <c r="A395" s="38"/>
      <c r="B395" s="36"/>
      <c r="C395" s="38"/>
      <c r="D395" s="38"/>
      <c r="E395" s="38"/>
      <c r="F395" s="38"/>
      <c r="G395" s="38"/>
      <c r="H395" s="41"/>
      <c r="I395" s="38"/>
      <c r="J395" s="60"/>
      <c r="K395" s="56"/>
    </row>
    <row r="396" spans="1:11" ht="20.05" customHeight="1" x14ac:dyDescent="0.2">
      <c r="A396" s="38"/>
      <c r="B396" s="36"/>
      <c r="C396" s="38"/>
      <c r="D396" s="38"/>
      <c r="E396" s="38"/>
      <c r="F396" s="38"/>
      <c r="G396" s="38"/>
      <c r="H396" s="41"/>
      <c r="I396" s="38"/>
      <c r="J396" s="60"/>
      <c r="K396" s="56"/>
    </row>
    <row r="397" spans="1:11" ht="20.05" customHeight="1" x14ac:dyDescent="0.2">
      <c r="A397" s="38"/>
      <c r="B397" s="36"/>
      <c r="C397" s="38"/>
      <c r="D397" s="38"/>
      <c r="E397" s="38"/>
      <c r="F397" s="38"/>
      <c r="G397" s="38"/>
      <c r="H397" s="41"/>
      <c r="I397" s="38"/>
      <c r="J397" s="60"/>
      <c r="K397" s="56"/>
    </row>
    <row r="398" spans="1:11" ht="20.05" customHeight="1" x14ac:dyDescent="0.2">
      <c r="A398" s="38"/>
      <c r="B398" s="36"/>
      <c r="C398" s="38"/>
      <c r="D398" s="38"/>
      <c r="E398" s="38"/>
      <c r="F398" s="38"/>
      <c r="G398" s="38"/>
      <c r="H398" s="41"/>
      <c r="I398" s="38"/>
      <c r="J398" s="60"/>
      <c r="K398" s="56"/>
    </row>
    <row r="399" spans="1:11" ht="20.05" customHeight="1" x14ac:dyDescent="0.2">
      <c r="A399" s="38"/>
      <c r="B399" s="36"/>
      <c r="C399" s="38"/>
      <c r="D399" s="38"/>
      <c r="E399" s="38"/>
      <c r="F399" s="38"/>
      <c r="G399" s="38"/>
      <c r="H399" s="41"/>
      <c r="I399" s="38"/>
      <c r="J399" s="60"/>
      <c r="K399" s="56"/>
    </row>
    <row r="400" spans="1:11" ht="20.05" customHeight="1" x14ac:dyDescent="0.2">
      <c r="A400" s="38"/>
      <c r="B400" s="36"/>
      <c r="C400" s="38"/>
      <c r="D400" s="38"/>
      <c r="E400" s="38"/>
      <c r="F400" s="38"/>
      <c r="G400" s="38"/>
      <c r="H400" s="41"/>
      <c r="I400" s="38"/>
      <c r="J400" s="60"/>
      <c r="K400" s="56"/>
    </row>
    <row r="401" spans="1:11" ht="20.05" customHeight="1" x14ac:dyDescent="0.2">
      <c r="A401" s="38"/>
      <c r="B401" s="36"/>
      <c r="C401" s="38"/>
      <c r="D401" s="38"/>
      <c r="E401" s="38"/>
      <c r="F401" s="38"/>
      <c r="G401" s="38"/>
      <c r="H401" s="41"/>
      <c r="I401" s="38"/>
      <c r="J401" s="60"/>
      <c r="K401" s="56"/>
    </row>
    <row r="402" spans="1:11" ht="20.05" customHeight="1" x14ac:dyDescent="0.2">
      <c r="A402" s="38"/>
      <c r="B402" s="36"/>
      <c r="C402" s="38"/>
      <c r="D402" s="38"/>
      <c r="E402" s="38"/>
      <c r="F402" s="38"/>
      <c r="G402" s="38"/>
      <c r="H402" s="41"/>
      <c r="I402" s="38"/>
      <c r="J402" s="60"/>
      <c r="K402" s="56"/>
    </row>
    <row r="403" spans="1:11" ht="20.05" customHeight="1" x14ac:dyDescent="0.2">
      <c r="A403" s="38"/>
      <c r="B403" s="36"/>
      <c r="C403" s="38"/>
      <c r="D403" s="38"/>
      <c r="E403" s="38"/>
      <c r="F403" s="38"/>
      <c r="G403" s="38"/>
      <c r="H403" s="41"/>
      <c r="I403" s="38"/>
      <c r="J403" s="60"/>
      <c r="K403" s="56"/>
    </row>
    <row r="404" spans="1:11" ht="20.05" customHeight="1" x14ac:dyDescent="0.2">
      <c r="A404" s="38"/>
      <c r="B404" s="36"/>
      <c r="C404" s="38"/>
      <c r="D404" s="38"/>
      <c r="E404" s="38"/>
      <c r="F404" s="38"/>
      <c r="G404" s="38"/>
      <c r="H404" s="41"/>
      <c r="I404" s="38"/>
      <c r="J404" s="60"/>
      <c r="K404" s="56"/>
    </row>
    <row r="405" spans="1:11" ht="20.05" customHeight="1" x14ac:dyDescent="0.2">
      <c r="A405" s="38"/>
      <c r="B405" s="36"/>
      <c r="C405" s="38"/>
      <c r="D405" s="38"/>
      <c r="E405" s="38"/>
      <c r="F405" s="38"/>
      <c r="G405" s="38"/>
      <c r="H405" s="41"/>
      <c r="I405" s="38"/>
      <c r="J405" s="60"/>
      <c r="K405" s="56"/>
    </row>
    <row r="406" spans="1:11" ht="20.05" customHeight="1" x14ac:dyDescent="0.2">
      <c r="A406" s="38"/>
      <c r="B406" s="36"/>
      <c r="C406" s="38"/>
      <c r="D406" s="38"/>
      <c r="E406" s="38"/>
      <c r="F406" s="38"/>
      <c r="G406" s="38"/>
      <c r="H406" s="41"/>
      <c r="I406" s="38"/>
      <c r="J406" s="60"/>
      <c r="K406" s="56"/>
    </row>
    <row r="407" spans="1:11" ht="20.05" customHeight="1" x14ac:dyDescent="0.2">
      <c r="A407" s="38"/>
      <c r="B407" s="36"/>
      <c r="C407" s="38"/>
      <c r="D407" s="38"/>
      <c r="E407" s="38"/>
      <c r="F407" s="38"/>
      <c r="G407" s="38"/>
      <c r="H407" s="41"/>
      <c r="I407" s="38"/>
      <c r="J407" s="60"/>
      <c r="K407" s="56"/>
    </row>
    <row r="408" spans="1:11" ht="20.05" customHeight="1" x14ac:dyDescent="0.2">
      <c r="A408" s="38"/>
      <c r="B408" s="36"/>
      <c r="C408" s="38"/>
      <c r="D408" s="38"/>
      <c r="E408" s="38"/>
      <c r="F408" s="38"/>
      <c r="G408" s="38"/>
      <c r="H408" s="41"/>
      <c r="I408" s="38"/>
      <c r="J408" s="60"/>
      <c r="K408" s="56"/>
    </row>
    <row r="409" spans="1:11" ht="20.05" customHeight="1" x14ac:dyDescent="0.2">
      <c r="A409" s="38"/>
      <c r="B409" s="36"/>
      <c r="C409" s="38"/>
      <c r="D409" s="38"/>
      <c r="E409" s="38"/>
      <c r="F409" s="38"/>
      <c r="G409" s="38"/>
      <c r="H409" s="41"/>
      <c r="I409" s="38"/>
      <c r="J409" s="60"/>
      <c r="K409" s="56"/>
    </row>
    <row r="410" spans="1:11" ht="20.05" customHeight="1" x14ac:dyDescent="0.2">
      <c r="A410" s="38"/>
      <c r="B410" s="36"/>
      <c r="C410" s="38"/>
      <c r="D410" s="38"/>
      <c r="E410" s="38"/>
      <c r="F410" s="38"/>
      <c r="G410" s="38"/>
      <c r="H410" s="41"/>
      <c r="I410" s="38"/>
      <c r="J410" s="60"/>
      <c r="K410" s="56"/>
    </row>
    <row r="411" spans="1:11" ht="20.05" customHeight="1" x14ac:dyDescent="0.2">
      <c r="A411" s="38"/>
      <c r="B411" s="36"/>
      <c r="C411" s="38"/>
      <c r="D411" s="38"/>
      <c r="E411" s="38"/>
      <c r="F411" s="38"/>
      <c r="G411" s="38"/>
      <c r="H411" s="41"/>
      <c r="I411" s="38"/>
      <c r="J411" s="60"/>
      <c r="K411" s="56"/>
    </row>
    <row r="412" spans="1:11" ht="20.05" customHeight="1" x14ac:dyDescent="0.2">
      <c r="A412" s="38"/>
      <c r="B412" s="36"/>
      <c r="C412" s="38"/>
      <c r="D412" s="38"/>
      <c r="E412" s="38"/>
      <c r="F412" s="38"/>
      <c r="G412" s="38"/>
      <c r="H412" s="41"/>
      <c r="I412" s="38"/>
      <c r="J412" s="60"/>
      <c r="K412" s="56"/>
    </row>
    <row r="413" spans="1:11" ht="20.05" customHeight="1" x14ac:dyDescent="0.2">
      <c r="A413" s="38"/>
      <c r="B413" s="36"/>
      <c r="C413" s="38"/>
      <c r="D413" s="38"/>
      <c r="E413" s="38"/>
      <c r="F413" s="38"/>
      <c r="G413" s="38"/>
      <c r="H413" s="41"/>
      <c r="I413" s="38"/>
      <c r="J413" s="60"/>
      <c r="K413" s="56"/>
    </row>
    <row r="414" spans="1:11" ht="20.05" customHeight="1" x14ac:dyDescent="0.2">
      <c r="A414" s="38"/>
      <c r="B414" s="36"/>
      <c r="C414" s="38"/>
      <c r="D414" s="38"/>
      <c r="E414" s="38"/>
      <c r="F414" s="38"/>
      <c r="G414" s="38"/>
      <c r="H414" s="41"/>
      <c r="I414" s="38"/>
      <c r="J414" s="60"/>
      <c r="K414" s="56"/>
    </row>
    <row r="415" spans="1:11" ht="20.05" customHeight="1" x14ac:dyDescent="0.2">
      <c r="A415" s="38"/>
      <c r="B415" s="36"/>
      <c r="C415" s="38"/>
      <c r="D415" s="38"/>
      <c r="E415" s="38"/>
      <c r="F415" s="38"/>
      <c r="G415" s="38"/>
      <c r="H415" s="41"/>
      <c r="I415" s="38"/>
      <c r="J415" s="60"/>
      <c r="K415" s="56"/>
    </row>
    <row r="416" spans="1:11" ht="20.05" customHeight="1" x14ac:dyDescent="0.2">
      <c r="A416" s="38"/>
      <c r="B416" s="36"/>
      <c r="C416" s="38"/>
      <c r="D416" s="38"/>
      <c r="E416" s="38"/>
      <c r="F416" s="38"/>
      <c r="G416" s="38"/>
      <c r="H416" s="41"/>
      <c r="I416" s="38"/>
      <c r="J416" s="60"/>
      <c r="K416" s="56"/>
    </row>
    <row r="417" spans="1:11" ht="20.05" customHeight="1" x14ac:dyDescent="0.2">
      <c r="A417" s="38"/>
      <c r="B417" s="36"/>
      <c r="C417" s="38"/>
      <c r="D417" s="38"/>
      <c r="E417" s="38"/>
      <c r="F417" s="38"/>
      <c r="G417" s="38"/>
      <c r="H417" s="41"/>
      <c r="I417" s="38"/>
      <c r="J417" s="60"/>
      <c r="K417" s="56"/>
    </row>
    <row r="418" spans="1:11" ht="20.05" customHeight="1" x14ac:dyDescent="0.2">
      <c r="A418" s="38"/>
      <c r="B418" s="36"/>
      <c r="C418" s="38"/>
      <c r="D418" s="38"/>
      <c r="E418" s="38"/>
      <c r="F418" s="38"/>
      <c r="G418" s="38"/>
      <c r="H418" s="41"/>
      <c r="I418" s="38"/>
      <c r="J418" s="60"/>
      <c r="K418" s="56"/>
    </row>
    <row r="419" spans="1:11" ht="20.05" customHeight="1" x14ac:dyDescent="0.2">
      <c r="A419" s="38"/>
      <c r="B419" s="36"/>
      <c r="C419" s="38"/>
      <c r="D419" s="38"/>
      <c r="E419" s="38"/>
      <c r="F419" s="38"/>
      <c r="G419" s="38"/>
      <c r="H419" s="41"/>
      <c r="I419" s="38"/>
      <c r="J419" s="60"/>
      <c r="K419" s="56"/>
    </row>
    <row r="420" spans="1:11" ht="20.05" customHeight="1" x14ac:dyDescent="0.2">
      <c r="A420" s="38"/>
      <c r="B420" s="36"/>
      <c r="C420" s="38"/>
      <c r="D420" s="38"/>
      <c r="E420" s="38"/>
      <c r="F420" s="38"/>
      <c r="G420" s="38"/>
      <c r="H420" s="41"/>
      <c r="I420" s="38"/>
      <c r="J420" s="60"/>
      <c r="K420" s="56"/>
    </row>
    <row r="421" spans="1:11" ht="20.05" customHeight="1" x14ac:dyDescent="0.2">
      <c r="A421" s="38"/>
      <c r="B421" s="36"/>
      <c r="C421" s="38"/>
      <c r="D421" s="38"/>
      <c r="E421" s="38"/>
      <c r="F421" s="38"/>
      <c r="G421" s="38"/>
      <c r="H421" s="41"/>
      <c r="I421" s="38"/>
      <c r="J421" s="60"/>
      <c r="K421" s="56"/>
    </row>
    <row r="422" spans="1:11" ht="20.05" customHeight="1" x14ac:dyDescent="0.2">
      <c r="A422" s="38"/>
      <c r="B422" s="36"/>
      <c r="C422" s="38"/>
      <c r="D422" s="38"/>
      <c r="E422" s="38"/>
      <c r="F422" s="38"/>
      <c r="G422" s="38"/>
      <c r="H422" s="41"/>
      <c r="I422" s="38"/>
      <c r="J422" s="60"/>
      <c r="K422" s="56"/>
    </row>
    <row r="423" spans="1:11" ht="20.05" customHeight="1" x14ac:dyDescent="0.2">
      <c r="A423" s="38"/>
      <c r="B423" s="36"/>
      <c r="C423" s="38"/>
      <c r="D423" s="38"/>
      <c r="E423" s="38"/>
      <c r="F423" s="38"/>
      <c r="G423" s="38"/>
      <c r="H423" s="41"/>
      <c r="I423" s="38"/>
      <c r="J423" s="60"/>
      <c r="K423" s="56"/>
    </row>
    <row r="424" spans="1:11" ht="20.05" customHeight="1" x14ac:dyDescent="0.2">
      <c r="A424" s="38"/>
      <c r="B424" s="36"/>
      <c r="C424" s="38"/>
      <c r="D424" s="38"/>
      <c r="E424" s="38"/>
      <c r="F424" s="38"/>
      <c r="G424" s="38"/>
      <c r="H424" s="41"/>
      <c r="I424" s="38"/>
      <c r="J424" s="60"/>
      <c r="K424" s="56"/>
    </row>
    <row r="425" spans="1:11" ht="20.05" customHeight="1" x14ac:dyDescent="0.2">
      <c r="A425" s="38"/>
      <c r="B425" s="36"/>
      <c r="C425" s="38"/>
      <c r="D425" s="38"/>
      <c r="E425" s="38"/>
      <c r="F425" s="38"/>
      <c r="G425" s="38"/>
      <c r="H425" s="41"/>
      <c r="I425" s="38"/>
      <c r="J425" s="60"/>
      <c r="K425" s="56"/>
    </row>
    <row r="426" spans="1:11" ht="20.05" customHeight="1" x14ac:dyDescent="0.2">
      <c r="A426" s="38"/>
      <c r="B426" s="36"/>
      <c r="C426" s="38"/>
      <c r="D426" s="38"/>
      <c r="E426" s="38"/>
      <c r="F426" s="38"/>
      <c r="G426" s="38"/>
      <c r="H426" s="41"/>
      <c r="I426" s="38"/>
      <c r="J426" s="60"/>
      <c r="K426" s="56"/>
    </row>
    <row r="427" spans="1:11" ht="20.05" customHeight="1" x14ac:dyDescent="0.2">
      <c r="A427" s="38"/>
      <c r="B427" s="36"/>
      <c r="C427" s="38"/>
      <c r="D427" s="38"/>
      <c r="E427" s="38"/>
      <c r="F427" s="38"/>
      <c r="G427" s="38"/>
      <c r="H427" s="41"/>
      <c r="I427" s="38"/>
      <c r="J427" s="60"/>
      <c r="K427" s="56"/>
    </row>
    <row r="428" spans="1:11" ht="20.05" customHeight="1" x14ac:dyDescent="0.2">
      <c r="A428" s="38"/>
      <c r="B428" s="36"/>
      <c r="C428" s="38"/>
      <c r="D428" s="38"/>
      <c r="E428" s="38"/>
      <c r="F428" s="38"/>
      <c r="G428" s="38"/>
      <c r="H428" s="41"/>
      <c r="I428" s="38"/>
      <c r="J428" s="60"/>
      <c r="K428" s="56"/>
    </row>
    <row r="429" spans="1:11" ht="20.05" customHeight="1" x14ac:dyDescent="0.2">
      <c r="A429" s="38"/>
      <c r="B429" s="36"/>
      <c r="C429" s="38"/>
      <c r="D429" s="38"/>
      <c r="E429" s="38"/>
      <c r="F429" s="38"/>
      <c r="G429" s="38"/>
      <c r="H429" s="41"/>
      <c r="I429" s="38"/>
      <c r="J429" s="60"/>
      <c r="K429" s="56"/>
    </row>
    <row r="430" spans="1:11" ht="20.05" customHeight="1" x14ac:dyDescent="0.2">
      <c r="A430" s="38"/>
      <c r="B430" s="36"/>
      <c r="C430" s="38"/>
      <c r="D430" s="38"/>
      <c r="E430" s="38"/>
      <c r="F430" s="38"/>
      <c r="G430" s="38"/>
      <c r="H430" s="41"/>
      <c r="I430" s="38"/>
      <c r="J430" s="60"/>
      <c r="K430" s="56"/>
    </row>
    <row r="431" spans="1:11" ht="20.05" customHeight="1" x14ac:dyDescent="0.2">
      <c r="A431" s="38"/>
      <c r="B431" s="36"/>
      <c r="C431" s="38"/>
      <c r="D431" s="38"/>
      <c r="E431" s="38"/>
      <c r="F431" s="38"/>
      <c r="G431" s="38"/>
      <c r="H431" s="41"/>
      <c r="I431" s="38"/>
      <c r="J431" s="60"/>
      <c r="K431" s="56"/>
    </row>
    <row r="432" spans="1:11" ht="20.05" customHeight="1" x14ac:dyDescent="0.2">
      <c r="A432" s="38"/>
      <c r="B432" s="36"/>
      <c r="C432" s="38"/>
      <c r="D432" s="38"/>
      <c r="E432" s="38"/>
      <c r="F432" s="38"/>
      <c r="G432" s="38"/>
      <c r="H432" s="41"/>
      <c r="I432" s="38"/>
      <c r="J432" s="60"/>
      <c r="K432" s="56"/>
    </row>
    <row r="433" spans="1:11" ht="20.05" customHeight="1" x14ac:dyDescent="0.2">
      <c r="A433" s="38"/>
      <c r="B433" s="36"/>
      <c r="C433" s="38"/>
      <c r="D433" s="38"/>
      <c r="E433" s="38"/>
      <c r="F433" s="38"/>
      <c r="G433" s="38"/>
      <c r="H433" s="41"/>
      <c r="I433" s="38"/>
      <c r="J433" s="60"/>
      <c r="K433" s="56"/>
    </row>
    <row r="434" spans="1:11" ht="20.05" customHeight="1" x14ac:dyDescent="0.2">
      <c r="A434" s="38"/>
      <c r="B434" s="36"/>
      <c r="C434" s="38"/>
      <c r="D434" s="38"/>
      <c r="E434" s="38"/>
      <c r="F434" s="38"/>
      <c r="G434" s="38"/>
      <c r="H434" s="41"/>
      <c r="I434" s="38"/>
      <c r="J434" s="60"/>
      <c r="K434" s="56"/>
    </row>
    <row r="435" spans="1:11" ht="20.05" customHeight="1" x14ac:dyDescent="0.2">
      <c r="A435" s="38"/>
      <c r="B435" s="36"/>
      <c r="C435" s="38"/>
      <c r="D435" s="38"/>
      <c r="E435" s="38"/>
      <c r="F435" s="38"/>
      <c r="G435" s="38"/>
      <c r="H435" s="41"/>
      <c r="I435" s="38"/>
      <c r="J435" s="60"/>
      <c r="K435" s="56"/>
    </row>
    <row r="436" spans="1:11" ht="20.05" customHeight="1" x14ac:dyDescent="0.2">
      <c r="A436" s="38"/>
      <c r="B436" s="36"/>
      <c r="C436" s="38"/>
      <c r="D436" s="38"/>
      <c r="E436" s="38"/>
      <c r="F436" s="38"/>
      <c r="G436" s="38"/>
      <c r="H436" s="41"/>
      <c r="I436" s="38"/>
      <c r="J436" s="60"/>
      <c r="K436" s="56"/>
    </row>
    <row r="437" spans="1:11" ht="20.05" customHeight="1" x14ac:dyDescent="0.2">
      <c r="A437" s="38"/>
      <c r="B437" s="36"/>
      <c r="C437" s="38"/>
      <c r="D437" s="38"/>
      <c r="E437" s="38"/>
      <c r="F437" s="38"/>
      <c r="G437" s="38"/>
      <c r="H437" s="41"/>
      <c r="I437" s="38"/>
      <c r="J437" s="60"/>
      <c r="K437" s="56"/>
    </row>
    <row r="438" spans="1:11" ht="20.05" customHeight="1" x14ac:dyDescent="0.2">
      <c r="A438" s="38"/>
      <c r="B438" s="36"/>
      <c r="C438" s="38"/>
      <c r="D438" s="38"/>
      <c r="E438" s="38"/>
      <c r="F438" s="38"/>
      <c r="G438" s="38"/>
      <c r="H438" s="41"/>
      <c r="I438" s="38"/>
      <c r="J438" s="60"/>
      <c r="K438" s="56"/>
    </row>
    <row r="439" spans="1:11" ht="20.05" customHeight="1" x14ac:dyDescent="0.2">
      <c r="A439" s="38"/>
      <c r="B439" s="36"/>
      <c r="C439" s="38"/>
      <c r="D439" s="38"/>
      <c r="E439" s="38"/>
      <c r="F439" s="38"/>
      <c r="G439" s="38"/>
      <c r="H439" s="41"/>
      <c r="I439" s="38"/>
      <c r="J439" s="60"/>
      <c r="K439" s="56"/>
    </row>
    <row r="440" spans="1:11" ht="20.05" customHeight="1" x14ac:dyDescent="0.2">
      <c r="A440" s="38"/>
      <c r="B440" s="36"/>
      <c r="C440" s="38"/>
      <c r="D440" s="38"/>
      <c r="E440" s="38"/>
      <c r="F440" s="38"/>
      <c r="G440" s="38"/>
      <c r="H440" s="41"/>
      <c r="I440" s="38"/>
      <c r="J440" s="60"/>
      <c r="K440" s="56"/>
    </row>
    <row r="441" spans="1:11" ht="20.05" customHeight="1" x14ac:dyDescent="0.2">
      <c r="A441" s="38"/>
      <c r="B441" s="36"/>
      <c r="C441" s="38"/>
      <c r="D441" s="38"/>
      <c r="E441" s="38"/>
      <c r="F441" s="38"/>
      <c r="G441" s="38"/>
      <c r="H441" s="41"/>
      <c r="I441" s="38"/>
      <c r="J441" s="60"/>
      <c r="K441" s="56"/>
    </row>
    <row r="442" spans="1:11" ht="20.05" customHeight="1" x14ac:dyDescent="0.2">
      <c r="A442" s="38"/>
      <c r="B442" s="36"/>
      <c r="C442" s="38"/>
      <c r="D442" s="38"/>
      <c r="E442" s="38"/>
      <c r="F442" s="38"/>
      <c r="G442" s="38"/>
      <c r="H442" s="41"/>
      <c r="I442" s="38"/>
      <c r="J442" s="60"/>
      <c r="K442" s="56"/>
    </row>
    <row r="443" spans="1:11" ht="20.05" customHeight="1" x14ac:dyDescent="0.2">
      <c r="A443" s="38"/>
      <c r="B443" s="36"/>
      <c r="C443" s="38"/>
      <c r="D443" s="38"/>
      <c r="E443" s="38"/>
      <c r="F443" s="38"/>
      <c r="G443" s="38"/>
      <c r="H443" s="41"/>
      <c r="I443" s="38"/>
      <c r="J443" s="60"/>
      <c r="K443" s="56"/>
    </row>
    <row r="444" spans="1:11" ht="20.05" customHeight="1" x14ac:dyDescent="0.2">
      <c r="A444" s="38"/>
      <c r="B444" s="36"/>
      <c r="C444" s="38"/>
      <c r="D444" s="38"/>
      <c r="E444" s="38"/>
      <c r="F444" s="38"/>
      <c r="G444" s="38"/>
      <c r="H444" s="41"/>
      <c r="I444" s="38"/>
      <c r="J444" s="60"/>
      <c r="K444" s="56"/>
    </row>
    <row r="445" spans="1:11" ht="20.05" customHeight="1" x14ac:dyDescent="0.2">
      <c r="A445" s="38"/>
      <c r="B445" s="36"/>
      <c r="C445" s="38"/>
      <c r="D445" s="38"/>
      <c r="E445" s="38"/>
      <c r="F445" s="38"/>
      <c r="G445" s="38"/>
      <c r="H445" s="41"/>
      <c r="I445" s="38"/>
      <c r="J445" s="60"/>
      <c r="K445" s="56"/>
    </row>
    <row r="446" spans="1:11" ht="20.05" customHeight="1" x14ac:dyDescent="0.2">
      <c r="A446" s="38"/>
      <c r="B446" s="36"/>
      <c r="C446" s="38"/>
      <c r="D446" s="38"/>
      <c r="E446" s="38"/>
      <c r="F446" s="38"/>
      <c r="G446" s="38"/>
      <c r="H446" s="41"/>
      <c r="I446" s="38"/>
      <c r="J446" s="60"/>
      <c r="K446" s="56"/>
    </row>
    <row r="447" spans="1:11" ht="20.05" customHeight="1" x14ac:dyDescent="0.2">
      <c r="A447" s="38"/>
      <c r="B447" s="36"/>
      <c r="C447" s="38"/>
      <c r="D447" s="38"/>
      <c r="E447" s="38"/>
      <c r="F447" s="38"/>
      <c r="G447" s="38"/>
      <c r="H447" s="41"/>
      <c r="I447" s="38"/>
      <c r="J447" s="60"/>
      <c r="K447" s="56"/>
    </row>
    <row r="448" spans="1:11" ht="20.05" customHeight="1" x14ac:dyDescent="0.2">
      <c r="A448" s="38"/>
      <c r="B448" s="36"/>
      <c r="C448" s="38"/>
      <c r="D448" s="38"/>
      <c r="E448" s="38"/>
      <c r="F448" s="38"/>
      <c r="G448" s="38"/>
      <c r="H448" s="41"/>
      <c r="I448" s="38"/>
      <c r="J448" s="60"/>
      <c r="K448" s="56"/>
    </row>
    <row r="449" spans="1:11" ht="20.05" customHeight="1" x14ac:dyDescent="0.2">
      <c r="A449" s="38"/>
      <c r="B449" s="36"/>
      <c r="C449" s="38"/>
      <c r="D449" s="38"/>
      <c r="E449" s="38"/>
      <c r="F449" s="38"/>
      <c r="G449" s="38"/>
      <c r="H449" s="41"/>
      <c r="I449" s="38"/>
      <c r="J449" s="60"/>
      <c r="K449" s="56"/>
    </row>
    <row r="450" spans="1:11" ht="20.05" customHeight="1" x14ac:dyDescent="0.2">
      <c r="A450" s="38"/>
      <c r="B450" s="36"/>
      <c r="C450" s="38"/>
      <c r="D450" s="38"/>
      <c r="E450" s="38"/>
      <c r="F450" s="38"/>
      <c r="G450" s="38"/>
      <c r="H450" s="41"/>
      <c r="I450" s="38"/>
      <c r="J450" s="60"/>
      <c r="K450" s="56"/>
    </row>
    <row r="451" spans="1:11" ht="20.05" customHeight="1" x14ac:dyDescent="0.2">
      <c r="A451" s="38"/>
      <c r="B451" s="36"/>
      <c r="C451" s="38"/>
      <c r="D451" s="38"/>
      <c r="E451" s="38"/>
      <c r="F451" s="38"/>
      <c r="G451" s="38"/>
      <c r="H451" s="41"/>
      <c r="I451" s="38"/>
      <c r="J451" s="60"/>
      <c r="K451" s="56"/>
    </row>
    <row r="452" spans="1:11" ht="20.05" customHeight="1" x14ac:dyDescent="0.2">
      <c r="A452" s="38"/>
      <c r="B452" s="36"/>
      <c r="C452" s="38"/>
      <c r="D452" s="38"/>
      <c r="E452" s="38"/>
      <c r="F452" s="38"/>
      <c r="G452" s="38"/>
      <c r="H452" s="41"/>
      <c r="I452" s="38"/>
      <c r="J452" s="60"/>
      <c r="K452" s="56"/>
    </row>
    <row r="453" spans="1:11" ht="20.05" customHeight="1" x14ac:dyDescent="0.2">
      <c r="A453" s="38"/>
      <c r="B453" s="36"/>
      <c r="C453" s="38"/>
      <c r="D453" s="38"/>
      <c r="E453" s="38"/>
      <c r="F453" s="38"/>
      <c r="G453" s="38"/>
      <c r="H453" s="41"/>
      <c r="I453" s="38"/>
      <c r="J453" s="60"/>
      <c r="K453" s="56"/>
    </row>
    <row r="454" spans="1:11" ht="20.05" customHeight="1" x14ac:dyDescent="0.2">
      <c r="A454" s="38"/>
      <c r="B454" s="36"/>
      <c r="C454" s="38"/>
      <c r="D454" s="38"/>
      <c r="E454" s="38"/>
      <c r="F454" s="38"/>
      <c r="G454" s="38"/>
      <c r="H454" s="41"/>
      <c r="I454" s="38"/>
      <c r="J454" s="60"/>
      <c r="K454" s="56"/>
    </row>
    <row r="455" spans="1:11" ht="20.05" customHeight="1" x14ac:dyDescent="0.2">
      <c r="A455" s="38"/>
      <c r="B455" s="36"/>
      <c r="C455" s="38"/>
      <c r="D455" s="38"/>
      <c r="E455" s="38"/>
      <c r="F455" s="38"/>
      <c r="G455" s="38"/>
      <c r="H455" s="41"/>
      <c r="I455" s="38"/>
      <c r="J455" s="60"/>
      <c r="K455" s="56"/>
    </row>
    <row r="456" spans="1:11" ht="20.05" customHeight="1" x14ac:dyDescent="0.2">
      <c r="A456" s="38"/>
      <c r="B456" s="36"/>
      <c r="C456" s="38"/>
      <c r="D456" s="38"/>
      <c r="E456" s="38"/>
      <c r="F456" s="38"/>
      <c r="G456" s="38"/>
      <c r="H456" s="41"/>
      <c r="I456" s="38"/>
      <c r="J456" s="60"/>
      <c r="K456" s="56"/>
    </row>
    <row r="457" spans="1:11" ht="20.05" customHeight="1" x14ac:dyDescent="0.2">
      <c r="A457" s="38"/>
      <c r="B457" s="36"/>
      <c r="C457" s="38"/>
      <c r="D457" s="38"/>
      <c r="E457" s="38"/>
      <c r="F457" s="38"/>
      <c r="G457" s="38"/>
      <c r="H457" s="41"/>
      <c r="I457" s="38"/>
      <c r="J457" s="60"/>
      <c r="K457" s="56"/>
    </row>
    <row r="458" spans="1:11" ht="20.05" customHeight="1" x14ac:dyDescent="0.2">
      <c r="A458" s="38"/>
      <c r="B458" s="36"/>
      <c r="C458" s="38"/>
      <c r="D458" s="38"/>
      <c r="E458" s="38"/>
      <c r="F458" s="38"/>
      <c r="G458" s="38"/>
      <c r="H458" s="41"/>
      <c r="I458" s="38"/>
      <c r="J458" s="60"/>
      <c r="K458" s="56"/>
    </row>
    <row r="459" spans="1:11" ht="20.05" customHeight="1" x14ac:dyDescent="0.2">
      <c r="A459" s="38"/>
      <c r="B459" s="36"/>
      <c r="C459" s="38"/>
      <c r="D459" s="38"/>
      <c r="E459" s="38"/>
      <c r="F459" s="38"/>
      <c r="G459" s="38"/>
      <c r="H459" s="41"/>
      <c r="I459" s="38"/>
      <c r="J459" s="60"/>
      <c r="K459" s="56"/>
    </row>
    <row r="460" spans="1:11" ht="20.05" customHeight="1" x14ac:dyDescent="0.2">
      <c r="A460" s="38"/>
      <c r="B460" s="36"/>
      <c r="C460" s="38"/>
      <c r="D460" s="38"/>
      <c r="E460" s="38"/>
      <c r="F460" s="38"/>
      <c r="G460" s="38"/>
      <c r="H460" s="41"/>
      <c r="I460" s="38"/>
      <c r="J460" s="60"/>
      <c r="K460" s="56"/>
    </row>
    <row r="461" spans="1:11" ht="20.05" customHeight="1" x14ac:dyDescent="0.2">
      <c r="A461" s="38"/>
      <c r="B461" s="36"/>
      <c r="C461" s="38"/>
      <c r="D461" s="38"/>
      <c r="E461" s="38"/>
      <c r="F461" s="38"/>
      <c r="G461" s="38"/>
      <c r="H461" s="41"/>
      <c r="I461" s="38"/>
      <c r="J461" s="60"/>
      <c r="K461" s="56"/>
    </row>
    <row r="462" spans="1:11" ht="20.05" customHeight="1" x14ac:dyDescent="0.2">
      <c r="A462" s="38"/>
      <c r="B462" s="36"/>
      <c r="C462" s="38"/>
      <c r="D462" s="38"/>
      <c r="E462" s="38"/>
      <c r="F462" s="38"/>
      <c r="G462" s="38"/>
      <c r="H462" s="41"/>
      <c r="I462" s="38"/>
      <c r="J462" s="60"/>
      <c r="K462" s="56"/>
    </row>
    <row r="463" spans="1:11" ht="20.05" customHeight="1" x14ac:dyDescent="0.2">
      <c r="A463" s="38"/>
      <c r="B463" s="36"/>
      <c r="C463" s="38"/>
      <c r="D463" s="38"/>
      <c r="E463" s="38"/>
      <c r="F463" s="38"/>
      <c r="G463" s="38"/>
      <c r="H463" s="41"/>
      <c r="I463" s="38"/>
      <c r="J463" s="60"/>
      <c r="K463" s="56"/>
    </row>
    <row r="464" spans="1:11" ht="20.05" customHeight="1" x14ac:dyDescent="0.2">
      <c r="A464" s="38"/>
      <c r="B464" s="36"/>
      <c r="C464" s="38"/>
      <c r="D464" s="38"/>
      <c r="E464" s="38"/>
      <c r="F464" s="38"/>
      <c r="G464" s="38"/>
      <c r="H464" s="41"/>
      <c r="I464" s="38"/>
      <c r="J464" s="60"/>
      <c r="K464" s="56"/>
    </row>
    <row r="465" spans="1:11" ht="20.05" customHeight="1" x14ac:dyDescent="0.2">
      <c r="A465" s="38"/>
      <c r="B465" s="36"/>
      <c r="C465" s="38"/>
      <c r="D465" s="38"/>
      <c r="E465" s="38"/>
      <c r="F465" s="38"/>
      <c r="G465" s="38"/>
      <c r="H465" s="41"/>
      <c r="I465" s="38"/>
      <c r="J465" s="60"/>
      <c r="K465" s="56"/>
    </row>
    <row r="466" spans="1:11" ht="20.05" customHeight="1" x14ac:dyDescent="0.2">
      <c r="A466" s="38"/>
      <c r="B466" s="36"/>
      <c r="C466" s="38"/>
      <c r="D466" s="38"/>
      <c r="E466" s="38"/>
      <c r="F466" s="38"/>
      <c r="G466" s="38"/>
      <c r="H466" s="41"/>
      <c r="I466" s="38"/>
      <c r="J466" s="60"/>
      <c r="K466" s="56"/>
    </row>
    <row r="467" spans="1:11" ht="20.05" customHeight="1" x14ac:dyDescent="0.2">
      <c r="A467" s="38"/>
      <c r="B467" s="36"/>
      <c r="C467" s="38"/>
      <c r="D467" s="38"/>
      <c r="E467" s="38"/>
      <c r="F467" s="38"/>
      <c r="G467" s="38"/>
      <c r="H467" s="41"/>
      <c r="I467" s="38"/>
      <c r="J467" s="60"/>
      <c r="K467" s="56"/>
    </row>
    <row r="468" spans="1:11" ht="20.05" customHeight="1" x14ac:dyDescent="0.2">
      <c r="A468" s="38"/>
      <c r="B468" s="36"/>
      <c r="C468" s="38"/>
      <c r="D468" s="38"/>
      <c r="E468" s="38"/>
      <c r="F468" s="38"/>
      <c r="G468" s="38"/>
      <c r="H468" s="41"/>
      <c r="I468" s="38"/>
      <c r="J468" s="60"/>
      <c r="K468" s="56"/>
    </row>
    <row r="469" spans="1:11" ht="20.05" customHeight="1" x14ac:dyDescent="0.2">
      <c r="A469" s="38"/>
      <c r="B469" s="36"/>
      <c r="C469" s="38"/>
      <c r="D469" s="38"/>
      <c r="E469" s="38"/>
      <c r="F469" s="38"/>
      <c r="G469" s="38"/>
      <c r="H469" s="41"/>
      <c r="I469" s="38"/>
      <c r="J469" s="60"/>
      <c r="K469" s="56"/>
    </row>
    <row r="470" spans="1:11" ht="20.05" customHeight="1" x14ac:dyDescent="0.2">
      <c r="A470" s="38"/>
      <c r="B470" s="36"/>
      <c r="C470" s="38"/>
      <c r="D470" s="38"/>
      <c r="E470" s="38"/>
      <c r="F470" s="38"/>
      <c r="G470" s="38"/>
      <c r="H470" s="41"/>
      <c r="I470" s="38"/>
      <c r="J470" s="60"/>
      <c r="K470" s="56"/>
    </row>
    <row r="471" spans="1:11" ht="20.05" customHeight="1" x14ac:dyDescent="0.2">
      <c r="A471" s="38"/>
      <c r="B471" s="36"/>
      <c r="C471" s="38"/>
      <c r="D471" s="38"/>
      <c r="E471" s="38"/>
      <c r="F471" s="38"/>
      <c r="G471" s="38"/>
      <c r="H471" s="41"/>
      <c r="I471" s="38"/>
      <c r="J471" s="60"/>
      <c r="K471" s="56"/>
    </row>
    <row r="472" spans="1:11" ht="20.05" customHeight="1" x14ac:dyDescent="0.2">
      <c r="A472" s="38"/>
      <c r="B472" s="36"/>
      <c r="C472" s="38"/>
      <c r="D472" s="38"/>
      <c r="E472" s="38"/>
      <c r="F472" s="38"/>
      <c r="G472" s="38"/>
      <c r="H472" s="41"/>
      <c r="I472" s="38"/>
      <c r="J472" s="60"/>
      <c r="K472" s="56"/>
    </row>
    <row r="473" spans="1:11" ht="20.05" customHeight="1" x14ac:dyDescent="0.2">
      <c r="A473" s="38"/>
      <c r="B473" s="36"/>
      <c r="C473" s="38"/>
      <c r="D473" s="38"/>
      <c r="E473" s="38"/>
      <c r="F473" s="38"/>
      <c r="G473" s="38"/>
      <c r="H473" s="41"/>
      <c r="I473" s="38"/>
      <c r="J473" s="60"/>
      <c r="K473" s="56"/>
    </row>
    <row r="474" spans="1:11" ht="20.05" customHeight="1" x14ac:dyDescent="0.2">
      <c r="A474" s="38"/>
      <c r="B474" s="36"/>
      <c r="C474" s="38"/>
      <c r="D474" s="38"/>
      <c r="E474" s="38"/>
      <c r="F474" s="38"/>
      <c r="G474" s="38"/>
      <c r="H474" s="41"/>
      <c r="I474" s="38"/>
      <c r="J474" s="60"/>
      <c r="K474" s="56"/>
    </row>
    <row r="475" spans="1:11" ht="20.05" customHeight="1" x14ac:dyDescent="0.2">
      <c r="A475" s="38"/>
      <c r="B475" s="36"/>
      <c r="C475" s="38"/>
      <c r="D475" s="38"/>
      <c r="E475" s="38"/>
      <c r="F475" s="38"/>
      <c r="G475" s="38"/>
      <c r="H475" s="41"/>
      <c r="I475" s="38"/>
      <c r="J475" s="60"/>
      <c r="K475" s="56"/>
    </row>
    <row r="476" spans="1:11" ht="20.05" customHeight="1" x14ac:dyDescent="0.2">
      <c r="A476" s="38"/>
      <c r="B476" s="36"/>
      <c r="C476" s="38"/>
      <c r="D476" s="38"/>
      <c r="E476" s="38"/>
      <c r="F476" s="38"/>
      <c r="G476" s="38"/>
      <c r="H476" s="41"/>
      <c r="I476" s="38"/>
      <c r="J476" s="60"/>
      <c r="K476" s="56"/>
    </row>
    <row r="477" spans="1:11" ht="20.05" customHeight="1" x14ac:dyDescent="0.2">
      <c r="A477" s="38"/>
      <c r="B477" s="36"/>
      <c r="C477" s="38"/>
      <c r="D477" s="38"/>
      <c r="E477" s="38"/>
      <c r="F477" s="38"/>
      <c r="G477" s="38"/>
      <c r="H477" s="41"/>
      <c r="I477" s="38"/>
      <c r="J477" s="60"/>
      <c r="K477" s="56"/>
    </row>
    <row r="478" spans="1:11" ht="20.05" customHeight="1" x14ac:dyDescent="0.2">
      <c r="A478" s="38"/>
      <c r="B478" s="36"/>
      <c r="C478" s="38"/>
      <c r="D478" s="38"/>
      <c r="E478" s="38"/>
      <c r="F478" s="38"/>
      <c r="G478" s="38"/>
      <c r="H478" s="41"/>
      <c r="I478" s="38"/>
      <c r="J478" s="60"/>
      <c r="K478" s="56"/>
    </row>
    <row r="479" spans="1:11" ht="20.05" customHeight="1" x14ac:dyDescent="0.2">
      <c r="A479" s="38"/>
      <c r="B479" s="36"/>
      <c r="C479" s="38"/>
      <c r="D479" s="38"/>
      <c r="E479" s="38"/>
      <c r="F479" s="38"/>
      <c r="G479" s="38"/>
      <c r="H479" s="41"/>
      <c r="I479" s="38"/>
      <c r="J479" s="60"/>
      <c r="K479" s="56"/>
    </row>
    <row r="480" spans="1:11" ht="20.05" customHeight="1" x14ac:dyDescent="0.2">
      <c r="A480" s="38"/>
      <c r="B480" s="36"/>
      <c r="C480" s="38"/>
      <c r="D480" s="38"/>
      <c r="E480" s="38"/>
      <c r="F480" s="38"/>
      <c r="G480" s="38"/>
      <c r="H480" s="41"/>
      <c r="I480" s="38"/>
      <c r="J480" s="60"/>
      <c r="K480" s="56"/>
    </row>
    <row r="481" spans="1:11" ht="20.05" customHeight="1" x14ac:dyDescent="0.2">
      <c r="A481" s="38"/>
      <c r="B481" s="36"/>
      <c r="C481" s="38"/>
      <c r="D481" s="38"/>
      <c r="E481" s="38"/>
      <c r="F481" s="38"/>
      <c r="G481" s="38"/>
      <c r="H481" s="41"/>
      <c r="I481" s="38"/>
      <c r="J481" s="60"/>
      <c r="K481" s="56"/>
    </row>
    <row r="482" spans="1:11" ht="20.05" customHeight="1" x14ac:dyDescent="0.2">
      <c r="A482" s="38"/>
      <c r="B482" s="36"/>
      <c r="C482" s="38"/>
      <c r="D482" s="38"/>
      <c r="E482" s="38"/>
      <c r="F482" s="38"/>
      <c r="G482" s="38"/>
      <c r="H482" s="41"/>
      <c r="I482" s="38"/>
      <c r="J482" s="60"/>
      <c r="K482" s="56"/>
    </row>
    <row r="483" spans="1:11" ht="20.05" customHeight="1" x14ac:dyDescent="0.2">
      <c r="A483" s="38"/>
      <c r="B483" s="36"/>
      <c r="C483" s="38"/>
      <c r="D483" s="38"/>
      <c r="E483" s="38"/>
      <c r="F483" s="38"/>
      <c r="G483" s="38"/>
      <c r="H483" s="41"/>
      <c r="I483" s="38"/>
      <c r="J483" s="60"/>
      <c r="K483" s="56"/>
    </row>
    <row r="484" spans="1:11" ht="20.05" customHeight="1" x14ac:dyDescent="0.2">
      <c r="A484" s="38"/>
      <c r="B484" s="36"/>
      <c r="C484" s="38"/>
      <c r="D484" s="38"/>
      <c r="E484" s="38"/>
      <c r="F484" s="38"/>
      <c r="G484" s="38"/>
      <c r="H484" s="41"/>
      <c r="I484" s="38"/>
      <c r="J484" s="60"/>
      <c r="K484" s="56"/>
    </row>
    <row r="485" spans="1:11" ht="20.05" customHeight="1" x14ac:dyDescent="0.2">
      <c r="A485" s="38"/>
      <c r="B485" s="36"/>
      <c r="C485" s="38"/>
      <c r="D485" s="38"/>
      <c r="E485" s="38"/>
      <c r="F485" s="38"/>
      <c r="G485" s="38"/>
      <c r="H485" s="41"/>
      <c r="I485" s="38"/>
      <c r="J485" s="60"/>
      <c r="K485" s="56"/>
    </row>
    <row r="486" spans="1:11" ht="20.05" customHeight="1" x14ac:dyDescent="0.2">
      <c r="A486" s="38"/>
      <c r="B486" s="36"/>
      <c r="C486" s="38"/>
      <c r="D486" s="38"/>
      <c r="E486" s="38"/>
      <c r="F486" s="38"/>
      <c r="G486" s="38"/>
      <c r="H486" s="41"/>
      <c r="I486" s="38"/>
      <c r="J486" s="60"/>
      <c r="K486" s="56"/>
    </row>
    <row r="487" spans="1:11" ht="20.05" customHeight="1" x14ac:dyDescent="0.2">
      <c r="A487" s="38"/>
      <c r="B487" s="36"/>
      <c r="C487" s="38"/>
      <c r="D487" s="38"/>
      <c r="E487" s="38"/>
      <c r="F487" s="38"/>
      <c r="G487" s="38"/>
      <c r="H487" s="41"/>
      <c r="I487" s="38"/>
      <c r="J487" s="60"/>
      <c r="K487" s="56"/>
    </row>
    <row r="488" spans="1:11" ht="20.05" customHeight="1" x14ac:dyDescent="0.2">
      <c r="A488" s="38"/>
      <c r="B488" s="36"/>
      <c r="C488" s="38"/>
      <c r="D488" s="38"/>
      <c r="E488" s="38"/>
      <c r="F488" s="38"/>
      <c r="G488" s="38"/>
      <c r="H488" s="41"/>
      <c r="I488" s="38"/>
      <c r="J488" s="60"/>
      <c r="K488" s="56"/>
    </row>
    <row r="489" spans="1:11" ht="20.05" customHeight="1" x14ac:dyDescent="0.2">
      <c r="A489" s="38"/>
      <c r="B489" s="36"/>
      <c r="C489" s="38"/>
      <c r="D489" s="38"/>
      <c r="E489" s="38"/>
      <c r="F489" s="38"/>
      <c r="G489" s="38"/>
      <c r="H489" s="41"/>
      <c r="I489" s="38"/>
      <c r="J489" s="60"/>
      <c r="K489" s="56"/>
    </row>
    <row r="490" spans="1:11" ht="20.05" customHeight="1" x14ac:dyDescent="0.2">
      <c r="A490" s="38"/>
      <c r="B490" s="36"/>
      <c r="C490" s="38"/>
      <c r="D490" s="38"/>
      <c r="E490" s="38"/>
      <c r="F490" s="38"/>
      <c r="G490" s="38"/>
      <c r="H490" s="41"/>
      <c r="I490" s="38"/>
      <c r="J490" s="60"/>
      <c r="K490" s="56"/>
    </row>
    <row r="491" spans="1:11" ht="20.05" customHeight="1" x14ac:dyDescent="0.2">
      <c r="A491" s="38"/>
      <c r="B491" s="36"/>
      <c r="C491" s="38"/>
      <c r="D491" s="38"/>
      <c r="E491" s="38"/>
      <c r="F491" s="38"/>
      <c r="G491" s="38"/>
      <c r="H491" s="41"/>
      <c r="I491" s="38"/>
      <c r="J491" s="60"/>
      <c r="K491" s="56"/>
    </row>
    <row r="492" spans="1:11" ht="20.05" customHeight="1" x14ac:dyDescent="0.2">
      <c r="A492" s="38"/>
      <c r="B492" s="36"/>
      <c r="C492" s="38"/>
      <c r="D492" s="38"/>
      <c r="E492" s="38"/>
      <c r="F492" s="38"/>
      <c r="G492" s="38"/>
      <c r="H492" s="41"/>
      <c r="I492" s="38"/>
      <c r="J492" s="60"/>
      <c r="K492" s="56"/>
    </row>
    <row r="493" spans="1:11" ht="20.05" customHeight="1" x14ac:dyDescent="0.2">
      <c r="A493" s="38"/>
      <c r="B493" s="36"/>
      <c r="C493" s="38"/>
      <c r="D493" s="38"/>
      <c r="E493" s="38"/>
      <c r="F493" s="38"/>
      <c r="G493" s="38"/>
      <c r="H493" s="41"/>
      <c r="I493" s="38"/>
      <c r="J493" s="60"/>
      <c r="K493" s="56"/>
    </row>
    <row r="494" spans="1:11" ht="20.05" customHeight="1" x14ac:dyDescent="0.2">
      <c r="A494" s="38"/>
      <c r="B494" s="36"/>
      <c r="C494" s="38"/>
      <c r="D494" s="38"/>
      <c r="E494" s="38"/>
      <c r="F494" s="38"/>
      <c r="G494" s="38"/>
      <c r="H494" s="41"/>
      <c r="I494" s="38"/>
      <c r="J494" s="60"/>
      <c r="K494" s="56"/>
    </row>
    <row r="495" spans="1:11" ht="20.05" customHeight="1" x14ac:dyDescent="0.2">
      <c r="A495" s="38"/>
      <c r="B495" s="36"/>
      <c r="C495" s="38"/>
      <c r="D495" s="38"/>
      <c r="E495" s="38"/>
      <c r="F495" s="38"/>
      <c r="G495" s="38"/>
      <c r="H495" s="41"/>
      <c r="I495" s="38"/>
      <c r="J495" s="60"/>
      <c r="K495" s="56"/>
    </row>
    <row r="496" spans="1:11" ht="20.05" customHeight="1" x14ac:dyDescent="0.2">
      <c r="A496" s="38"/>
      <c r="B496" s="36"/>
      <c r="C496" s="38"/>
      <c r="D496" s="38"/>
      <c r="E496" s="38"/>
      <c r="F496" s="38"/>
      <c r="G496" s="38"/>
      <c r="H496" s="41"/>
      <c r="I496" s="38"/>
      <c r="J496" s="60"/>
      <c r="K496" s="56"/>
    </row>
    <row r="497" spans="1:11" ht="20.05" customHeight="1" x14ac:dyDescent="0.2">
      <c r="A497" s="38"/>
      <c r="B497" s="36"/>
      <c r="C497" s="38"/>
      <c r="D497" s="38"/>
      <c r="E497" s="38"/>
      <c r="F497" s="38"/>
      <c r="G497" s="38"/>
      <c r="H497" s="41"/>
      <c r="I497" s="38"/>
      <c r="J497" s="60"/>
      <c r="K497" s="56"/>
    </row>
    <row r="498" spans="1:11" ht="20.05" customHeight="1" x14ac:dyDescent="0.2">
      <c r="A498" s="38"/>
      <c r="B498" s="36"/>
      <c r="C498" s="38"/>
      <c r="D498" s="38"/>
      <c r="E498" s="38"/>
      <c r="F498" s="38"/>
      <c r="G498" s="38"/>
      <c r="H498" s="41"/>
      <c r="I498" s="38"/>
      <c r="J498" s="60"/>
      <c r="K498" s="56"/>
    </row>
    <row r="499" spans="1:11" ht="20.05" customHeight="1" x14ac:dyDescent="0.2">
      <c r="A499" s="38"/>
      <c r="B499" s="36"/>
      <c r="C499" s="38"/>
      <c r="D499" s="38"/>
      <c r="E499" s="38"/>
      <c r="F499" s="38"/>
      <c r="G499" s="38"/>
      <c r="H499" s="41"/>
      <c r="I499" s="38"/>
      <c r="J499" s="60"/>
      <c r="K499" s="56"/>
    </row>
    <row r="500" spans="1:11" ht="20.05" customHeight="1" x14ac:dyDescent="0.2">
      <c r="A500" s="38"/>
      <c r="B500" s="36"/>
      <c r="C500" s="38"/>
      <c r="D500" s="38"/>
      <c r="E500" s="38"/>
      <c r="F500" s="38"/>
      <c r="G500" s="38"/>
      <c r="H500" s="41"/>
      <c r="I500" s="38"/>
      <c r="J500" s="60"/>
      <c r="K500" s="56"/>
    </row>
    <row r="501" spans="1:11" ht="20.05" customHeight="1" x14ac:dyDescent="0.2">
      <c r="A501" s="38"/>
      <c r="B501" s="36"/>
      <c r="C501" s="38"/>
      <c r="D501" s="38"/>
      <c r="E501" s="38"/>
      <c r="F501" s="38"/>
      <c r="G501" s="38"/>
      <c r="H501" s="41"/>
      <c r="I501" s="38"/>
      <c r="J501" s="60"/>
      <c r="K501" s="56"/>
    </row>
    <row r="502" spans="1:11" ht="20.05" customHeight="1" x14ac:dyDescent="0.2">
      <c r="A502" s="38"/>
      <c r="B502" s="36"/>
      <c r="C502" s="38"/>
      <c r="D502" s="38"/>
      <c r="E502" s="38"/>
      <c r="F502" s="38"/>
      <c r="G502" s="38"/>
      <c r="H502" s="41"/>
      <c r="I502" s="38"/>
      <c r="J502" s="60"/>
      <c r="K502" s="56"/>
    </row>
    <row r="503" spans="1:11" ht="20.05" customHeight="1" x14ac:dyDescent="0.2">
      <c r="A503" s="38"/>
      <c r="B503" s="36"/>
      <c r="C503" s="38"/>
      <c r="D503" s="38"/>
      <c r="E503" s="38"/>
      <c r="F503" s="38"/>
      <c r="G503" s="38"/>
      <c r="H503" s="41"/>
      <c r="I503" s="38"/>
      <c r="J503" s="60"/>
      <c r="K503" s="56"/>
    </row>
    <row r="504" spans="1:11" ht="20.05" customHeight="1" x14ac:dyDescent="0.2">
      <c r="A504" s="38"/>
      <c r="B504" s="36"/>
      <c r="C504" s="38"/>
      <c r="D504" s="38"/>
      <c r="E504" s="38"/>
      <c r="F504" s="38"/>
      <c r="G504" s="38"/>
      <c r="H504" s="41"/>
      <c r="I504" s="38"/>
      <c r="J504" s="60"/>
      <c r="K504" s="56"/>
    </row>
    <row r="505" spans="1:11" ht="20.05" customHeight="1" x14ac:dyDescent="0.2">
      <c r="A505" s="38"/>
      <c r="B505" s="36"/>
      <c r="C505" s="38"/>
      <c r="D505" s="38"/>
      <c r="E505" s="38"/>
      <c r="F505" s="38"/>
      <c r="G505" s="38"/>
      <c r="H505" s="41"/>
      <c r="I505" s="38"/>
      <c r="J505" s="60"/>
      <c r="K505" s="56"/>
    </row>
    <row r="506" spans="1:11" ht="20.05" customHeight="1" x14ac:dyDescent="0.2">
      <c r="A506" s="38"/>
      <c r="B506" s="36"/>
      <c r="C506" s="38"/>
      <c r="D506" s="38"/>
      <c r="E506" s="38"/>
      <c r="F506" s="38"/>
      <c r="G506" s="38"/>
      <c r="H506" s="41"/>
      <c r="I506" s="38"/>
      <c r="J506" s="60"/>
      <c r="K506" s="56"/>
    </row>
    <row r="507" spans="1:11" ht="20.05" customHeight="1" x14ac:dyDescent="0.2">
      <c r="A507" s="38"/>
      <c r="B507" s="36"/>
      <c r="C507" s="38"/>
      <c r="D507" s="38"/>
      <c r="E507" s="38"/>
      <c r="F507" s="38"/>
      <c r="G507" s="38"/>
      <c r="H507" s="41"/>
      <c r="I507" s="38"/>
      <c r="J507" s="60"/>
      <c r="K507" s="56"/>
    </row>
    <row r="508" spans="1:11" ht="20.05" customHeight="1" x14ac:dyDescent="0.2">
      <c r="A508" s="38"/>
      <c r="B508" s="36"/>
      <c r="C508" s="38"/>
      <c r="D508" s="38"/>
      <c r="E508" s="38"/>
      <c r="F508" s="38"/>
      <c r="G508" s="38"/>
      <c r="H508" s="41"/>
      <c r="I508" s="38"/>
      <c r="J508" s="60"/>
      <c r="K508" s="56"/>
    </row>
    <row r="509" spans="1:11" ht="20.05" customHeight="1" x14ac:dyDescent="0.2">
      <c r="A509" s="38"/>
      <c r="B509" s="36"/>
      <c r="C509" s="38"/>
      <c r="D509" s="38"/>
      <c r="E509" s="38"/>
      <c r="F509" s="38"/>
      <c r="G509" s="38"/>
      <c r="H509" s="41"/>
      <c r="I509" s="38"/>
      <c r="J509" s="60"/>
      <c r="K509" s="56"/>
    </row>
    <row r="510" spans="1:11" ht="20.05" customHeight="1" x14ac:dyDescent="0.2">
      <c r="A510" s="38"/>
      <c r="B510" s="36"/>
      <c r="C510" s="38"/>
      <c r="D510" s="38"/>
      <c r="E510" s="38"/>
      <c r="F510" s="38"/>
      <c r="G510" s="38"/>
      <c r="H510" s="41"/>
      <c r="I510" s="38"/>
      <c r="J510" s="60"/>
      <c r="K510" s="56"/>
    </row>
    <row r="511" spans="1:11" ht="20.05" customHeight="1" x14ac:dyDescent="0.2">
      <c r="A511" s="38"/>
      <c r="B511" s="36"/>
      <c r="C511" s="38"/>
      <c r="D511" s="38"/>
      <c r="E511" s="38"/>
      <c r="F511" s="38"/>
      <c r="G511" s="38"/>
      <c r="H511" s="41"/>
      <c r="I511" s="38"/>
      <c r="J511" s="60"/>
      <c r="K511" s="56"/>
    </row>
    <row r="512" spans="1:11" ht="20.05" customHeight="1" x14ac:dyDescent="0.2">
      <c r="A512" s="38"/>
      <c r="B512" s="36"/>
      <c r="C512" s="38"/>
      <c r="D512" s="38"/>
      <c r="E512" s="38"/>
      <c r="F512" s="38"/>
      <c r="G512" s="38"/>
      <c r="H512" s="41"/>
      <c r="I512" s="38"/>
      <c r="J512" s="60"/>
      <c r="K512" s="56"/>
    </row>
    <row r="513" spans="1:11" ht="20.05" customHeight="1" x14ac:dyDescent="0.2">
      <c r="A513" s="38"/>
      <c r="B513" s="36"/>
      <c r="C513" s="38"/>
      <c r="D513" s="38"/>
      <c r="E513" s="38"/>
      <c r="F513" s="38"/>
      <c r="G513" s="38"/>
      <c r="H513" s="41"/>
      <c r="I513" s="38"/>
      <c r="J513" s="60"/>
      <c r="K513" s="56"/>
    </row>
    <row r="514" spans="1:11" ht="20.05" customHeight="1" x14ac:dyDescent="0.2">
      <c r="A514" s="38"/>
      <c r="B514" s="36"/>
      <c r="C514" s="38"/>
      <c r="D514" s="38"/>
      <c r="E514" s="38"/>
      <c r="F514" s="38"/>
      <c r="G514" s="38"/>
      <c r="H514" s="41"/>
      <c r="I514" s="38"/>
      <c r="J514" s="60"/>
      <c r="K514" s="56"/>
    </row>
    <row r="515" spans="1:11" ht="20.05" customHeight="1" x14ac:dyDescent="0.2">
      <c r="A515" s="38"/>
      <c r="B515" s="36"/>
      <c r="C515" s="38"/>
      <c r="D515" s="38"/>
      <c r="E515" s="38"/>
      <c r="F515" s="38"/>
      <c r="G515" s="38"/>
      <c r="H515" s="41"/>
      <c r="I515" s="38"/>
      <c r="J515" s="60"/>
      <c r="K515" s="56"/>
    </row>
    <row r="516" spans="1:11" ht="20.05" customHeight="1" x14ac:dyDescent="0.2">
      <c r="A516" s="38"/>
      <c r="B516" s="36"/>
      <c r="C516" s="38"/>
      <c r="D516" s="38"/>
      <c r="E516" s="38"/>
      <c r="F516" s="38"/>
      <c r="G516" s="38"/>
      <c r="H516" s="41"/>
      <c r="I516" s="38"/>
      <c r="J516" s="60"/>
      <c r="K516" s="56"/>
    </row>
    <row r="517" spans="1:11" ht="20.05" customHeight="1" x14ac:dyDescent="0.2">
      <c r="A517" s="38"/>
      <c r="B517" s="36"/>
      <c r="C517" s="38"/>
      <c r="D517" s="38"/>
      <c r="E517" s="38"/>
      <c r="F517" s="38"/>
      <c r="G517" s="38"/>
      <c r="H517" s="41"/>
      <c r="I517" s="38"/>
      <c r="J517" s="60"/>
      <c r="K517" s="56"/>
    </row>
    <row r="518" spans="1:11" ht="20.05" customHeight="1" x14ac:dyDescent="0.2">
      <c r="A518" s="38"/>
      <c r="B518" s="36"/>
      <c r="C518" s="38"/>
      <c r="D518" s="38"/>
      <c r="E518" s="38"/>
      <c r="F518" s="38"/>
      <c r="G518" s="38"/>
      <c r="H518" s="41"/>
      <c r="I518" s="38"/>
      <c r="J518" s="60"/>
      <c r="K518" s="56"/>
    </row>
    <row r="519" spans="1:11" ht="20.05" customHeight="1" x14ac:dyDescent="0.2">
      <c r="A519" s="38"/>
      <c r="B519" s="36"/>
      <c r="C519" s="38"/>
      <c r="D519" s="38"/>
      <c r="E519" s="38"/>
      <c r="F519" s="38"/>
      <c r="G519" s="38"/>
      <c r="H519" s="41"/>
      <c r="I519" s="38"/>
      <c r="J519" s="60"/>
      <c r="K519" s="56"/>
    </row>
    <row r="520" spans="1:11" ht="20.05" customHeight="1" x14ac:dyDescent="0.2">
      <c r="A520" s="38"/>
      <c r="B520" s="36"/>
      <c r="C520" s="38"/>
      <c r="D520" s="38"/>
      <c r="E520" s="38"/>
      <c r="F520" s="38"/>
      <c r="G520" s="38"/>
      <c r="H520" s="41"/>
      <c r="I520" s="38"/>
      <c r="J520" s="60"/>
      <c r="K520" s="56"/>
    </row>
    <row r="521" spans="1:11" ht="20.05" customHeight="1" x14ac:dyDescent="0.2">
      <c r="A521" s="38"/>
      <c r="B521" s="36"/>
      <c r="C521" s="38"/>
      <c r="D521" s="38"/>
      <c r="E521" s="38"/>
      <c r="F521" s="38"/>
      <c r="G521" s="38"/>
      <c r="H521" s="41"/>
      <c r="I521" s="38"/>
      <c r="J521" s="60"/>
      <c r="K521" s="56"/>
    </row>
    <row r="522" spans="1:11" ht="20.05" customHeight="1" x14ac:dyDescent="0.2">
      <c r="A522" s="38"/>
      <c r="B522" s="36"/>
      <c r="C522" s="38"/>
      <c r="D522" s="38"/>
      <c r="E522" s="38"/>
      <c r="F522" s="38"/>
      <c r="G522" s="38"/>
      <c r="H522" s="41"/>
      <c r="I522" s="38"/>
      <c r="J522" s="60"/>
      <c r="K522" s="56"/>
    </row>
    <row r="523" spans="1:11" ht="20.05" customHeight="1" x14ac:dyDescent="0.2">
      <c r="A523" s="38"/>
      <c r="B523" s="36"/>
      <c r="C523" s="38"/>
      <c r="D523" s="38"/>
      <c r="E523" s="38"/>
      <c r="F523" s="38"/>
      <c r="G523" s="38"/>
      <c r="H523" s="41"/>
      <c r="I523" s="38"/>
      <c r="J523" s="60"/>
      <c r="K523" s="56"/>
    </row>
    <row r="524" spans="1:11" ht="20.05" customHeight="1" x14ac:dyDescent="0.2">
      <c r="A524" s="38"/>
      <c r="B524" s="36"/>
      <c r="C524" s="38"/>
      <c r="D524" s="38"/>
      <c r="E524" s="38"/>
      <c r="F524" s="38"/>
      <c r="G524" s="38"/>
      <c r="H524" s="41"/>
      <c r="I524" s="38"/>
      <c r="J524" s="60"/>
      <c r="K524" s="56"/>
    </row>
    <row r="525" spans="1:11" ht="20.05" customHeight="1" x14ac:dyDescent="0.2">
      <c r="A525" s="38"/>
      <c r="B525" s="36"/>
      <c r="C525" s="38"/>
      <c r="D525" s="38"/>
      <c r="E525" s="38"/>
      <c r="F525" s="38"/>
      <c r="G525" s="38"/>
      <c r="H525" s="41"/>
      <c r="I525" s="38"/>
      <c r="J525" s="60"/>
      <c r="K525" s="56"/>
    </row>
    <row r="526" spans="1:11" ht="20.05" customHeight="1" x14ac:dyDescent="0.2">
      <c r="A526" s="38"/>
      <c r="B526" s="36"/>
      <c r="C526" s="38"/>
      <c r="D526" s="38"/>
      <c r="E526" s="38"/>
      <c r="F526" s="38"/>
      <c r="G526" s="38"/>
      <c r="H526" s="41"/>
      <c r="I526" s="38"/>
      <c r="J526" s="60"/>
      <c r="K526" s="56"/>
    </row>
    <row r="527" spans="1:11" ht="20.05" customHeight="1" x14ac:dyDescent="0.2">
      <c r="A527" s="38"/>
      <c r="B527" s="36"/>
      <c r="C527" s="38"/>
      <c r="D527" s="38"/>
      <c r="E527" s="38"/>
      <c r="F527" s="38"/>
      <c r="G527" s="38"/>
      <c r="H527" s="41"/>
      <c r="I527" s="38"/>
      <c r="J527" s="60"/>
      <c r="K527" s="56"/>
    </row>
    <row r="528" spans="1:11" ht="20.05" customHeight="1" x14ac:dyDescent="0.2">
      <c r="A528" s="38"/>
      <c r="B528" s="36"/>
      <c r="C528" s="38"/>
      <c r="D528" s="38"/>
      <c r="E528" s="38"/>
      <c r="F528" s="38"/>
      <c r="G528" s="38"/>
      <c r="H528" s="41"/>
      <c r="I528" s="38"/>
      <c r="J528" s="60"/>
      <c r="K528" s="56"/>
    </row>
    <row r="529" spans="1:11" ht="20.05" customHeight="1" x14ac:dyDescent="0.2">
      <c r="A529" s="38"/>
      <c r="B529" s="36"/>
      <c r="C529" s="38"/>
      <c r="D529" s="38"/>
      <c r="E529" s="38"/>
      <c r="F529" s="38"/>
      <c r="G529" s="38"/>
      <c r="H529" s="41"/>
      <c r="I529" s="38"/>
      <c r="J529" s="60"/>
      <c r="K529" s="56"/>
    </row>
    <row r="530" spans="1:11" ht="20.05" customHeight="1" x14ac:dyDescent="0.2">
      <c r="A530" s="38"/>
      <c r="B530" s="36"/>
      <c r="C530" s="38"/>
      <c r="D530" s="38"/>
      <c r="E530" s="38"/>
      <c r="F530" s="38"/>
      <c r="G530" s="38"/>
      <c r="H530" s="41"/>
      <c r="I530" s="38"/>
      <c r="J530" s="60"/>
      <c r="K530" s="56"/>
    </row>
    <row r="531" spans="1:11" ht="20.05" customHeight="1" x14ac:dyDescent="0.2">
      <c r="A531" s="38"/>
      <c r="B531" s="36"/>
      <c r="C531" s="38"/>
      <c r="D531" s="38"/>
      <c r="E531" s="38"/>
      <c r="F531" s="38"/>
      <c r="G531" s="38"/>
      <c r="H531" s="41"/>
      <c r="I531" s="38"/>
      <c r="J531" s="60"/>
      <c r="K531" s="56"/>
    </row>
    <row r="532" spans="1:11" ht="20.05" customHeight="1" x14ac:dyDescent="0.2">
      <c r="A532" s="38"/>
      <c r="B532" s="36"/>
      <c r="C532" s="38"/>
      <c r="D532" s="38"/>
      <c r="E532" s="38"/>
      <c r="F532" s="38"/>
      <c r="G532" s="38"/>
      <c r="H532" s="41"/>
      <c r="I532" s="38"/>
      <c r="J532" s="60"/>
      <c r="K532" s="56"/>
    </row>
    <row r="533" spans="1:11" ht="20.05" customHeight="1" x14ac:dyDescent="0.2">
      <c r="A533" s="38"/>
      <c r="B533" s="36"/>
      <c r="C533" s="38"/>
      <c r="D533" s="38"/>
      <c r="E533" s="38"/>
      <c r="F533" s="38"/>
      <c r="G533" s="38"/>
      <c r="H533" s="41"/>
      <c r="I533" s="38"/>
      <c r="J533" s="60"/>
      <c r="K533" s="56"/>
    </row>
    <row r="534" spans="1:11" ht="20.05" customHeight="1" x14ac:dyDescent="0.2">
      <c r="A534" s="38"/>
      <c r="B534" s="36"/>
      <c r="C534" s="38"/>
      <c r="D534" s="38"/>
      <c r="E534" s="38"/>
      <c r="F534" s="38"/>
      <c r="G534" s="38"/>
      <c r="H534" s="41"/>
      <c r="I534" s="38"/>
      <c r="J534" s="60"/>
      <c r="K534" s="56"/>
    </row>
    <row r="535" spans="1:11" ht="20.05" customHeight="1" x14ac:dyDescent="0.2">
      <c r="A535" s="38"/>
      <c r="B535" s="36"/>
      <c r="C535" s="38"/>
      <c r="D535" s="38"/>
      <c r="E535" s="38"/>
      <c r="F535" s="38"/>
      <c r="G535" s="38"/>
      <c r="H535" s="41"/>
      <c r="I535" s="38"/>
      <c r="J535" s="60"/>
      <c r="K535" s="56"/>
    </row>
    <row r="536" spans="1:11" ht="20.05" customHeight="1" x14ac:dyDescent="0.2">
      <c r="A536" s="38"/>
      <c r="B536" s="36"/>
      <c r="C536" s="38"/>
      <c r="D536" s="38"/>
      <c r="E536" s="38"/>
      <c r="F536" s="38"/>
      <c r="G536" s="38"/>
      <c r="H536" s="41"/>
      <c r="I536" s="38"/>
      <c r="J536" s="60"/>
      <c r="K536" s="56"/>
    </row>
    <row r="537" spans="1:11" ht="20.05" customHeight="1" x14ac:dyDescent="0.2">
      <c r="A537" s="38"/>
      <c r="B537" s="36"/>
      <c r="C537" s="38"/>
      <c r="D537" s="38"/>
      <c r="E537" s="38"/>
      <c r="F537" s="38"/>
      <c r="G537" s="38"/>
      <c r="H537" s="41"/>
      <c r="I537" s="38"/>
      <c r="J537" s="60"/>
      <c r="K537" s="56"/>
    </row>
    <row r="538" spans="1:11" ht="20.05" customHeight="1" x14ac:dyDescent="0.2">
      <c r="A538" s="38"/>
      <c r="B538" s="36"/>
      <c r="C538" s="38"/>
      <c r="D538" s="38"/>
      <c r="E538" s="38"/>
      <c r="F538" s="38"/>
      <c r="G538" s="38"/>
      <c r="H538" s="41"/>
      <c r="I538" s="38"/>
      <c r="J538" s="60"/>
      <c r="K538" s="56"/>
    </row>
    <row r="539" spans="1:11" ht="20.05" customHeight="1" x14ac:dyDescent="0.2">
      <c r="A539" s="38"/>
      <c r="B539" s="36"/>
      <c r="C539" s="38"/>
      <c r="D539" s="38"/>
      <c r="E539" s="38"/>
      <c r="F539" s="38"/>
      <c r="G539" s="38"/>
      <c r="H539" s="41"/>
      <c r="I539" s="38"/>
      <c r="J539" s="60"/>
      <c r="K539" s="56"/>
    </row>
    <row r="540" spans="1:11" ht="20.05" customHeight="1" x14ac:dyDescent="0.2">
      <c r="A540" s="38"/>
      <c r="B540" s="36"/>
      <c r="C540" s="38"/>
      <c r="D540" s="38"/>
      <c r="E540" s="38"/>
      <c r="F540" s="38"/>
      <c r="G540" s="38"/>
      <c r="H540" s="41"/>
      <c r="I540" s="38"/>
      <c r="J540" s="60"/>
      <c r="K540" s="56"/>
    </row>
    <row r="541" spans="1:11" ht="20.05" customHeight="1" x14ac:dyDescent="0.2">
      <c r="A541" s="38"/>
      <c r="B541" s="36"/>
      <c r="C541" s="38"/>
      <c r="D541" s="38"/>
      <c r="E541" s="38"/>
      <c r="F541" s="38"/>
      <c r="G541" s="38"/>
      <c r="H541" s="41"/>
      <c r="I541" s="38"/>
      <c r="J541" s="60"/>
      <c r="K541" s="56"/>
    </row>
    <row r="542" spans="1:11" ht="20.05" customHeight="1" x14ac:dyDescent="0.2">
      <c r="A542" s="38"/>
      <c r="B542" s="36"/>
      <c r="C542" s="38"/>
      <c r="D542" s="38"/>
      <c r="E542" s="38"/>
      <c r="F542" s="38"/>
      <c r="G542" s="38"/>
      <c r="H542" s="41"/>
      <c r="I542" s="38"/>
      <c r="J542" s="60"/>
      <c r="K542" s="56"/>
    </row>
    <row r="543" spans="1:11" ht="20.05" customHeight="1" x14ac:dyDescent="0.2">
      <c r="A543" s="38"/>
      <c r="B543" s="36"/>
      <c r="C543" s="38"/>
      <c r="D543" s="38"/>
      <c r="E543" s="38"/>
      <c r="F543" s="38"/>
      <c r="G543" s="38"/>
      <c r="H543" s="41"/>
      <c r="I543" s="38"/>
      <c r="J543" s="60"/>
      <c r="K543" s="56"/>
    </row>
    <row r="544" spans="1:11" ht="20.05" customHeight="1" x14ac:dyDescent="0.2">
      <c r="A544" s="38"/>
      <c r="B544" s="36"/>
      <c r="C544" s="38"/>
      <c r="D544" s="38"/>
      <c r="E544" s="38"/>
      <c r="F544" s="38"/>
      <c r="G544" s="38"/>
      <c r="H544" s="41"/>
      <c r="I544" s="38"/>
      <c r="J544" s="60"/>
      <c r="K544" s="56"/>
    </row>
    <row r="545" spans="1:11" ht="20.05" customHeight="1" x14ac:dyDescent="0.2">
      <c r="A545" s="38"/>
      <c r="B545" s="36"/>
      <c r="C545" s="38"/>
      <c r="D545" s="38"/>
      <c r="E545" s="38"/>
      <c r="F545" s="38"/>
      <c r="G545" s="38"/>
      <c r="H545" s="41"/>
      <c r="I545" s="38"/>
      <c r="J545" s="60"/>
      <c r="K545" s="56"/>
    </row>
    <row r="546" spans="1:11" ht="20.05" customHeight="1" x14ac:dyDescent="0.2">
      <c r="A546" s="38"/>
      <c r="B546" s="36"/>
      <c r="C546" s="38"/>
      <c r="D546" s="38"/>
      <c r="E546" s="38"/>
      <c r="F546" s="38"/>
      <c r="G546" s="38"/>
      <c r="H546" s="41"/>
      <c r="I546" s="38"/>
      <c r="J546" s="60"/>
      <c r="K546" s="56"/>
    </row>
    <row r="547" spans="1:11" ht="20.05" customHeight="1" x14ac:dyDescent="0.2">
      <c r="A547" s="38"/>
      <c r="B547" s="36"/>
      <c r="C547" s="38"/>
      <c r="D547" s="38"/>
      <c r="E547" s="38"/>
      <c r="F547" s="38"/>
      <c r="G547" s="38"/>
      <c r="H547" s="41"/>
      <c r="I547" s="38"/>
      <c r="J547" s="60"/>
      <c r="K547" s="56"/>
    </row>
    <row r="548" spans="1:11" ht="20.05" customHeight="1" x14ac:dyDescent="0.2">
      <c r="A548" s="38"/>
      <c r="B548" s="36"/>
      <c r="C548" s="38"/>
      <c r="D548" s="38"/>
      <c r="E548" s="38"/>
      <c r="F548" s="38"/>
      <c r="G548" s="38"/>
      <c r="H548" s="41"/>
      <c r="I548" s="38"/>
      <c r="J548" s="60"/>
      <c r="K548" s="56"/>
    </row>
    <row r="549" spans="1:11" ht="20.05" customHeight="1" x14ac:dyDescent="0.2">
      <c r="A549" s="38"/>
      <c r="B549" s="36"/>
      <c r="C549" s="38"/>
      <c r="D549" s="38"/>
      <c r="E549" s="38"/>
      <c r="F549" s="38"/>
      <c r="G549" s="38"/>
      <c r="H549" s="41"/>
      <c r="I549" s="38"/>
      <c r="J549" s="60"/>
      <c r="K549" s="56"/>
    </row>
    <row r="550" spans="1:11" ht="20.05" customHeight="1" x14ac:dyDescent="0.2">
      <c r="A550" s="38"/>
      <c r="B550" s="36"/>
      <c r="C550" s="38"/>
      <c r="D550" s="38"/>
      <c r="E550" s="38"/>
      <c r="F550" s="38"/>
      <c r="G550" s="38"/>
      <c r="H550" s="41"/>
      <c r="I550" s="38"/>
      <c r="J550" s="60"/>
      <c r="K550" s="56"/>
    </row>
    <row r="551" spans="1:11" ht="20.05" customHeight="1" x14ac:dyDescent="0.2">
      <c r="A551" s="38"/>
      <c r="B551" s="36"/>
      <c r="C551" s="38"/>
      <c r="D551" s="38"/>
      <c r="E551" s="38"/>
      <c r="F551" s="38"/>
      <c r="G551" s="38"/>
      <c r="H551" s="41"/>
      <c r="I551" s="38"/>
      <c r="J551" s="60"/>
      <c r="K551" s="56"/>
    </row>
    <row r="552" spans="1:11" ht="20.05" customHeight="1" x14ac:dyDescent="0.2">
      <c r="A552" s="38"/>
      <c r="B552" s="36"/>
      <c r="C552" s="38"/>
      <c r="D552" s="38"/>
      <c r="E552" s="38"/>
      <c r="F552" s="38"/>
      <c r="G552" s="38"/>
      <c r="H552" s="41"/>
      <c r="I552" s="38"/>
      <c r="J552" s="60"/>
      <c r="K552" s="56"/>
    </row>
    <row r="553" spans="1:11" ht="20.05" customHeight="1" x14ac:dyDescent="0.2">
      <c r="A553" s="38"/>
      <c r="B553" s="36"/>
      <c r="C553" s="38"/>
      <c r="D553" s="38"/>
      <c r="E553" s="38"/>
      <c r="F553" s="38"/>
      <c r="G553" s="38"/>
      <c r="H553" s="41"/>
      <c r="I553" s="38"/>
      <c r="J553" s="60"/>
      <c r="K553" s="56"/>
    </row>
    <row r="554" spans="1:11" ht="20.05" customHeight="1" x14ac:dyDescent="0.2">
      <c r="A554" s="38"/>
      <c r="B554" s="36"/>
      <c r="C554" s="38"/>
      <c r="D554" s="38"/>
      <c r="E554" s="38"/>
      <c r="F554" s="38"/>
      <c r="G554" s="38"/>
      <c r="H554" s="41"/>
      <c r="I554" s="38"/>
      <c r="J554" s="60"/>
      <c r="K554" s="56"/>
    </row>
    <row r="555" spans="1:11" ht="20.05" customHeight="1" x14ac:dyDescent="0.2">
      <c r="A555" s="38"/>
      <c r="B555" s="36"/>
      <c r="C555" s="38"/>
      <c r="D555" s="38"/>
      <c r="E555" s="38"/>
      <c r="F555" s="38"/>
      <c r="G555" s="38"/>
      <c r="H555" s="41"/>
      <c r="I555" s="38"/>
      <c r="J555" s="60"/>
      <c r="K555" s="56"/>
    </row>
    <row r="556" spans="1:11" ht="20.05" customHeight="1" x14ac:dyDescent="0.2">
      <c r="A556" s="38"/>
      <c r="B556" s="36"/>
      <c r="C556" s="38"/>
      <c r="D556" s="38"/>
      <c r="E556" s="38"/>
      <c r="F556" s="38"/>
      <c r="G556" s="38"/>
      <c r="H556" s="41"/>
      <c r="I556" s="38"/>
      <c r="J556" s="60"/>
      <c r="K556" s="56"/>
    </row>
    <row r="557" spans="1:11" ht="20.05" customHeight="1" x14ac:dyDescent="0.2">
      <c r="A557" s="38"/>
      <c r="B557" s="36"/>
      <c r="C557" s="38"/>
      <c r="D557" s="38"/>
      <c r="E557" s="38"/>
      <c r="F557" s="38"/>
      <c r="G557" s="38"/>
      <c r="H557" s="41"/>
      <c r="I557" s="38"/>
      <c r="J557" s="60"/>
      <c r="K557" s="56"/>
    </row>
    <row r="558" spans="1:11" ht="20.05" customHeight="1" x14ac:dyDescent="0.2">
      <c r="A558" s="38"/>
      <c r="B558" s="36"/>
      <c r="C558" s="38"/>
      <c r="D558" s="38"/>
      <c r="E558" s="38"/>
      <c r="F558" s="38"/>
      <c r="G558" s="38"/>
      <c r="H558" s="41"/>
      <c r="I558" s="38"/>
      <c r="J558" s="60"/>
      <c r="K558" s="56"/>
    </row>
    <row r="559" spans="1:11" ht="20.05" customHeight="1" x14ac:dyDescent="0.2">
      <c r="A559" s="38"/>
      <c r="B559" s="36"/>
      <c r="C559" s="38"/>
      <c r="D559" s="38"/>
      <c r="E559" s="38"/>
      <c r="F559" s="38"/>
      <c r="G559" s="38"/>
      <c r="H559" s="41"/>
      <c r="I559" s="38"/>
      <c r="J559" s="60"/>
      <c r="K559" s="56"/>
    </row>
    <row r="560" spans="1:11" ht="20.05" customHeight="1" x14ac:dyDescent="0.2">
      <c r="A560" s="38"/>
      <c r="B560" s="36"/>
      <c r="C560" s="38"/>
      <c r="D560" s="38"/>
      <c r="E560" s="38"/>
      <c r="F560" s="38"/>
      <c r="G560" s="38"/>
      <c r="H560" s="41"/>
      <c r="I560" s="38"/>
      <c r="J560" s="60"/>
      <c r="K560" s="56"/>
    </row>
    <row r="561" spans="1:11" ht="20.05" customHeight="1" x14ac:dyDescent="0.2">
      <c r="A561" s="38"/>
      <c r="B561" s="36"/>
      <c r="C561" s="38"/>
      <c r="D561" s="38"/>
      <c r="E561" s="38"/>
      <c r="F561" s="38"/>
      <c r="G561" s="38"/>
      <c r="H561" s="41"/>
      <c r="I561" s="38"/>
      <c r="J561" s="60"/>
      <c r="K561" s="56"/>
    </row>
    <row r="562" spans="1:11" ht="20.05" customHeight="1" x14ac:dyDescent="0.2">
      <c r="A562" s="38"/>
      <c r="B562" s="36"/>
      <c r="C562" s="38"/>
      <c r="D562" s="38"/>
      <c r="E562" s="38"/>
      <c r="F562" s="38"/>
      <c r="G562" s="38"/>
      <c r="H562" s="41"/>
      <c r="I562" s="38"/>
      <c r="J562" s="60"/>
      <c r="K562" s="56"/>
    </row>
    <row r="563" spans="1:11" ht="20.05" customHeight="1" x14ac:dyDescent="0.2">
      <c r="A563" s="38"/>
      <c r="B563" s="36"/>
      <c r="C563" s="38"/>
      <c r="D563" s="38"/>
      <c r="E563" s="38"/>
      <c r="F563" s="38"/>
      <c r="G563" s="38"/>
      <c r="H563" s="41"/>
      <c r="I563" s="38"/>
      <c r="J563" s="60"/>
      <c r="K563" s="56"/>
    </row>
    <row r="564" spans="1:11" ht="20.05" customHeight="1" x14ac:dyDescent="0.2">
      <c r="A564" s="38"/>
      <c r="B564" s="36"/>
      <c r="C564" s="38"/>
      <c r="D564" s="38"/>
      <c r="E564" s="38"/>
      <c r="F564" s="38"/>
      <c r="G564" s="38"/>
      <c r="H564" s="41"/>
      <c r="I564" s="38"/>
      <c r="J564" s="60"/>
      <c r="K564" s="56"/>
    </row>
    <row r="565" spans="1:11" ht="20.05" customHeight="1" x14ac:dyDescent="0.2">
      <c r="A565" s="38"/>
      <c r="B565" s="36"/>
      <c r="C565" s="38"/>
      <c r="D565" s="38"/>
      <c r="E565" s="38"/>
      <c r="F565" s="38"/>
      <c r="G565" s="38"/>
      <c r="H565" s="41"/>
      <c r="I565" s="38"/>
      <c r="J565" s="60"/>
      <c r="K565" s="56"/>
    </row>
    <row r="566" spans="1:11" ht="20.05" customHeight="1" x14ac:dyDescent="0.2">
      <c r="A566" s="38"/>
      <c r="B566" s="36"/>
      <c r="C566" s="38"/>
      <c r="D566" s="38"/>
      <c r="E566" s="38"/>
      <c r="F566" s="38"/>
      <c r="G566" s="38"/>
      <c r="H566" s="41"/>
      <c r="I566" s="38"/>
      <c r="J566" s="60"/>
      <c r="K566" s="56"/>
    </row>
    <row r="567" spans="1:11" ht="20.05" customHeight="1" x14ac:dyDescent="0.2">
      <c r="A567" s="38"/>
      <c r="B567" s="36"/>
      <c r="C567" s="38"/>
      <c r="D567" s="38"/>
      <c r="E567" s="38"/>
      <c r="F567" s="38"/>
      <c r="G567" s="38"/>
      <c r="H567" s="41"/>
      <c r="I567" s="38"/>
      <c r="J567" s="60"/>
      <c r="K567" s="56"/>
    </row>
    <row r="568" spans="1:11" ht="20.05" customHeight="1" x14ac:dyDescent="0.2">
      <c r="A568" s="38"/>
      <c r="B568" s="36"/>
      <c r="C568" s="38"/>
      <c r="D568" s="38"/>
      <c r="E568" s="38"/>
      <c r="F568" s="38"/>
      <c r="G568" s="38"/>
      <c r="H568" s="41"/>
      <c r="I568" s="38"/>
      <c r="J568" s="60"/>
      <c r="K568" s="56"/>
    </row>
    <row r="569" spans="1:11" ht="20.05" customHeight="1" x14ac:dyDescent="0.2">
      <c r="A569" s="38"/>
      <c r="B569" s="36"/>
      <c r="C569" s="38"/>
      <c r="D569" s="38"/>
      <c r="E569" s="38"/>
      <c r="F569" s="38"/>
      <c r="G569" s="38"/>
      <c r="H569" s="41"/>
      <c r="I569" s="38"/>
      <c r="J569" s="60"/>
      <c r="K569" s="56"/>
    </row>
    <row r="570" spans="1:11" ht="20.05" customHeight="1" x14ac:dyDescent="0.2">
      <c r="A570" s="38"/>
      <c r="B570" s="36"/>
      <c r="C570" s="38"/>
      <c r="D570" s="38"/>
      <c r="E570" s="38"/>
      <c r="F570" s="38"/>
      <c r="G570" s="38"/>
      <c r="H570" s="41"/>
      <c r="I570" s="38"/>
      <c r="J570" s="60"/>
      <c r="K570" s="56"/>
    </row>
    <row r="571" spans="1:11" ht="20.05" customHeight="1" x14ac:dyDescent="0.2">
      <c r="A571" s="38"/>
      <c r="B571" s="36"/>
      <c r="C571" s="38"/>
      <c r="D571" s="38"/>
      <c r="E571" s="38"/>
      <c r="F571" s="38"/>
      <c r="G571" s="38"/>
      <c r="H571" s="41"/>
      <c r="I571" s="38"/>
      <c r="J571" s="60"/>
      <c r="K571" s="56"/>
    </row>
    <row r="572" spans="1:11" ht="20.05" customHeight="1" x14ac:dyDescent="0.2">
      <c r="A572" s="38"/>
      <c r="B572" s="36"/>
      <c r="C572" s="38"/>
      <c r="D572" s="38"/>
      <c r="E572" s="38"/>
      <c r="F572" s="38"/>
      <c r="G572" s="38"/>
      <c r="H572" s="41"/>
      <c r="I572" s="38"/>
      <c r="J572" s="60"/>
      <c r="K572" s="56"/>
    </row>
    <row r="573" spans="1:11" ht="20.05" customHeight="1" x14ac:dyDescent="0.2">
      <c r="A573" s="38"/>
      <c r="B573" s="36"/>
      <c r="C573" s="38"/>
      <c r="D573" s="38"/>
      <c r="E573" s="38"/>
      <c r="F573" s="38"/>
      <c r="G573" s="38"/>
      <c r="H573" s="41"/>
      <c r="I573" s="38"/>
      <c r="J573" s="60"/>
      <c r="K573" s="56"/>
    </row>
    <row r="574" spans="1:11" ht="20.05" customHeight="1" x14ac:dyDescent="0.2">
      <c r="A574" s="38"/>
      <c r="B574" s="36"/>
      <c r="C574" s="38"/>
      <c r="D574" s="38"/>
      <c r="E574" s="38"/>
      <c r="F574" s="38"/>
      <c r="G574" s="38"/>
      <c r="H574" s="41"/>
      <c r="I574" s="38"/>
      <c r="J574" s="60"/>
      <c r="K574" s="56"/>
    </row>
    <row r="575" spans="1:11" ht="20.05" customHeight="1" x14ac:dyDescent="0.2">
      <c r="A575" s="38"/>
      <c r="B575" s="36"/>
      <c r="C575" s="38"/>
      <c r="D575" s="38"/>
      <c r="E575" s="38"/>
      <c r="F575" s="38"/>
      <c r="G575" s="38"/>
      <c r="H575" s="41"/>
      <c r="I575" s="38"/>
      <c r="J575" s="60"/>
      <c r="K575" s="56"/>
    </row>
    <row r="576" spans="1:11" ht="20.05" customHeight="1" x14ac:dyDescent="0.2">
      <c r="A576" s="38"/>
      <c r="B576" s="36"/>
      <c r="C576" s="38"/>
      <c r="D576" s="38"/>
      <c r="E576" s="38"/>
      <c r="F576" s="38"/>
      <c r="G576" s="38"/>
      <c r="H576" s="41"/>
      <c r="I576" s="38"/>
      <c r="J576" s="60"/>
      <c r="K576" s="56"/>
    </row>
    <row r="577" spans="1:11" ht="20.05" customHeight="1" x14ac:dyDescent="0.2">
      <c r="A577" s="38"/>
      <c r="B577" s="36"/>
      <c r="C577" s="38"/>
      <c r="D577" s="38"/>
      <c r="E577" s="38"/>
      <c r="F577" s="38"/>
      <c r="G577" s="38"/>
      <c r="H577" s="41"/>
      <c r="I577" s="38"/>
      <c r="J577" s="60"/>
      <c r="K577" s="56"/>
    </row>
    <row r="578" spans="1:11" ht="20.05" customHeight="1" x14ac:dyDescent="0.2">
      <c r="A578" s="38"/>
      <c r="B578" s="36"/>
      <c r="C578" s="38"/>
      <c r="D578" s="38"/>
      <c r="E578" s="38"/>
      <c r="F578" s="38"/>
      <c r="G578" s="38"/>
      <c r="H578" s="41"/>
      <c r="I578" s="38"/>
      <c r="J578" s="60"/>
      <c r="K578" s="56"/>
    </row>
    <row r="579" spans="1:11" ht="20.05" customHeight="1" x14ac:dyDescent="0.2">
      <c r="A579" s="38"/>
      <c r="B579" s="36"/>
      <c r="C579" s="38"/>
      <c r="D579" s="38"/>
      <c r="E579" s="38"/>
      <c r="F579" s="38"/>
      <c r="G579" s="38"/>
      <c r="H579" s="41"/>
      <c r="I579" s="38"/>
      <c r="J579" s="60"/>
      <c r="K579" s="56"/>
    </row>
    <row r="580" spans="1:11" ht="20.05" customHeight="1" x14ac:dyDescent="0.2">
      <c r="A580" s="38"/>
      <c r="B580" s="36"/>
      <c r="C580" s="38"/>
      <c r="D580" s="38"/>
      <c r="E580" s="38"/>
      <c r="F580" s="38"/>
      <c r="G580" s="38"/>
      <c r="H580" s="41"/>
      <c r="I580" s="38"/>
      <c r="J580" s="60"/>
      <c r="K580" s="56"/>
    </row>
    <row r="581" spans="1:11" ht="20.05" customHeight="1" x14ac:dyDescent="0.2">
      <c r="A581" s="38"/>
      <c r="B581" s="36"/>
      <c r="C581" s="38"/>
      <c r="D581" s="38"/>
      <c r="E581" s="38"/>
      <c r="F581" s="38"/>
      <c r="G581" s="38"/>
      <c r="H581" s="41"/>
      <c r="I581" s="38"/>
      <c r="J581" s="60"/>
      <c r="K581" s="56"/>
    </row>
    <row r="582" spans="1:11" ht="20.05" customHeight="1" x14ac:dyDescent="0.2">
      <c r="A582" s="38"/>
      <c r="B582" s="36"/>
      <c r="C582" s="38"/>
      <c r="D582" s="38"/>
      <c r="E582" s="38"/>
      <c r="F582" s="38"/>
      <c r="G582" s="38"/>
      <c r="H582" s="41"/>
      <c r="I582" s="38"/>
      <c r="J582" s="60"/>
      <c r="K582" s="56"/>
    </row>
    <row r="583" spans="1:11" ht="20.05" customHeight="1" x14ac:dyDescent="0.2">
      <c r="A583" s="38"/>
      <c r="B583" s="36"/>
      <c r="C583" s="38"/>
      <c r="D583" s="38"/>
      <c r="E583" s="38"/>
      <c r="F583" s="38"/>
      <c r="G583" s="38"/>
      <c r="H583" s="41"/>
      <c r="I583" s="38"/>
      <c r="J583" s="60"/>
      <c r="K583" s="56"/>
    </row>
    <row r="584" spans="1:11" ht="20.05" customHeight="1" x14ac:dyDescent="0.2">
      <c r="A584" s="38"/>
      <c r="B584" s="36"/>
      <c r="C584" s="38"/>
      <c r="D584" s="38"/>
      <c r="E584" s="38"/>
      <c r="F584" s="38"/>
      <c r="G584" s="38"/>
      <c r="H584" s="41"/>
      <c r="I584" s="38"/>
      <c r="J584" s="60"/>
      <c r="K584" s="56"/>
    </row>
    <row r="585" spans="1:11" ht="20.05" customHeight="1" x14ac:dyDescent="0.2">
      <c r="A585" s="38"/>
      <c r="B585" s="36"/>
      <c r="C585" s="38"/>
      <c r="D585" s="38"/>
      <c r="E585" s="38"/>
      <c r="F585" s="38"/>
      <c r="G585" s="38"/>
      <c r="H585" s="41"/>
      <c r="I585" s="38"/>
      <c r="J585" s="60"/>
      <c r="K585" s="56"/>
    </row>
    <row r="586" spans="1:11" ht="20.05" customHeight="1" x14ac:dyDescent="0.2">
      <c r="A586" s="38"/>
      <c r="B586" s="36"/>
      <c r="C586" s="38"/>
      <c r="D586" s="38"/>
      <c r="E586" s="38"/>
      <c r="F586" s="38"/>
      <c r="G586" s="38"/>
      <c r="H586" s="41"/>
      <c r="I586" s="38"/>
      <c r="J586" s="60"/>
      <c r="K586" s="56"/>
    </row>
    <row r="587" spans="1:11" ht="20.05" customHeight="1" x14ac:dyDescent="0.2">
      <c r="A587" s="38"/>
      <c r="B587" s="36"/>
      <c r="C587" s="38"/>
      <c r="D587" s="38"/>
      <c r="E587" s="38"/>
      <c r="F587" s="38"/>
      <c r="G587" s="38"/>
      <c r="H587" s="41"/>
      <c r="I587" s="38"/>
      <c r="J587" s="60"/>
      <c r="K587" s="56"/>
    </row>
    <row r="588" spans="1:11" ht="20.05" customHeight="1" x14ac:dyDescent="0.2">
      <c r="A588" s="38"/>
      <c r="B588" s="36"/>
      <c r="C588" s="38"/>
      <c r="D588" s="38"/>
      <c r="E588" s="38"/>
      <c r="F588" s="38"/>
      <c r="G588" s="38"/>
      <c r="H588" s="41"/>
      <c r="I588" s="38"/>
      <c r="J588" s="60"/>
      <c r="K588" s="56"/>
    </row>
    <row r="589" spans="1:11" ht="20.05" customHeight="1" x14ac:dyDescent="0.2">
      <c r="A589" s="38"/>
      <c r="B589" s="36"/>
      <c r="C589" s="38"/>
      <c r="D589" s="38"/>
      <c r="E589" s="38"/>
      <c r="F589" s="38"/>
      <c r="G589" s="38"/>
      <c r="H589" s="41"/>
      <c r="I589" s="38"/>
      <c r="J589" s="60"/>
      <c r="K589" s="56"/>
    </row>
    <row r="590" spans="1:11" ht="20.05" customHeight="1" x14ac:dyDescent="0.2">
      <c r="A590" s="38"/>
      <c r="B590" s="36"/>
      <c r="C590" s="38"/>
      <c r="D590" s="38"/>
      <c r="E590" s="38"/>
      <c r="F590" s="38"/>
      <c r="G590" s="38"/>
      <c r="H590" s="41"/>
      <c r="I590" s="38"/>
      <c r="J590" s="60"/>
      <c r="K590" s="56"/>
    </row>
    <row r="591" spans="1:11" ht="20.05" customHeight="1" x14ac:dyDescent="0.2">
      <c r="A591" s="38"/>
      <c r="B591" s="36"/>
      <c r="C591" s="38"/>
      <c r="D591" s="38"/>
      <c r="E591" s="38"/>
      <c r="F591" s="38"/>
      <c r="G591" s="38"/>
      <c r="H591" s="41"/>
      <c r="I591" s="38"/>
      <c r="J591" s="60"/>
      <c r="K591" s="56"/>
    </row>
    <row r="592" spans="1:11" ht="20.05" customHeight="1" x14ac:dyDescent="0.2">
      <c r="A592" s="38"/>
      <c r="B592" s="36"/>
      <c r="C592" s="38"/>
      <c r="D592" s="38"/>
      <c r="E592" s="38"/>
      <c r="F592" s="38"/>
      <c r="G592" s="38"/>
      <c r="H592" s="41"/>
      <c r="I592" s="38"/>
      <c r="J592" s="60"/>
      <c r="K592" s="56"/>
    </row>
    <row r="593" spans="1:11" ht="20.05" customHeight="1" x14ac:dyDescent="0.2">
      <c r="A593" s="38"/>
      <c r="B593" s="36"/>
      <c r="C593" s="38"/>
      <c r="D593" s="38"/>
      <c r="E593" s="38"/>
      <c r="F593" s="38"/>
      <c r="G593" s="38"/>
      <c r="H593" s="41"/>
      <c r="I593" s="38"/>
      <c r="J593" s="60"/>
      <c r="K593" s="56"/>
    </row>
    <row r="594" spans="1:11" ht="20.05" customHeight="1" x14ac:dyDescent="0.2">
      <c r="A594" s="38"/>
      <c r="B594" s="36"/>
      <c r="C594" s="38"/>
      <c r="D594" s="38"/>
      <c r="E594" s="38"/>
      <c r="F594" s="38"/>
      <c r="G594" s="38"/>
      <c r="H594" s="41"/>
      <c r="I594" s="38"/>
      <c r="J594" s="60"/>
      <c r="K594" s="56"/>
    </row>
    <row r="595" spans="1:11" ht="20.05" customHeight="1" x14ac:dyDescent="0.2">
      <c r="A595" s="38"/>
      <c r="B595" s="36"/>
      <c r="C595" s="38"/>
      <c r="D595" s="38"/>
      <c r="E595" s="38"/>
      <c r="F595" s="38"/>
      <c r="G595" s="38"/>
      <c r="H595" s="41"/>
      <c r="I595" s="38"/>
      <c r="J595" s="60"/>
      <c r="K595" s="56"/>
    </row>
    <row r="596" spans="1:11" ht="20.05" customHeight="1" x14ac:dyDescent="0.2">
      <c r="A596" s="38"/>
      <c r="B596" s="36"/>
      <c r="C596" s="38"/>
      <c r="D596" s="38"/>
      <c r="E596" s="38"/>
      <c r="F596" s="38"/>
      <c r="G596" s="38"/>
      <c r="H596" s="41"/>
      <c r="I596" s="38"/>
      <c r="J596" s="60"/>
      <c r="K596" s="56"/>
    </row>
    <row r="597" spans="1:11" ht="20.05" customHeight="1" x14ac:dyDescent="0.2">
      <c r="A597" s="38"/>
      <c r="B597" s="36"/>
      <c r="C597" s="38"/>
      <c r="D597" s="38"/>
      <c r="E597" s="38"/>
      <c r="F597" s="38"/>
      <c r="G597" s="38"/>
      <c r="H597" s="41"/>
      <c r="I597" s="38"/>
      <c r="J597" s="60"/>
      <c r="K597" s="56"/>
    </row>
    <row r="598" spans="1:11" ht="20.05" customHeight="1" x14ac:dyDescent="0.2">
      <c r="A598" s="38"/>
      <c r="B598" s="36"/>
      <c r="C598" s="38"/>
      <c r="D598" s="38"/>
      <c r="E598" s="38"/>
      <c r="F598" s="38"/>
      <c r="G598" s="38"/>
      <c r="H598" s="41"/>
      <c r="I598" s="38"/>
      <c r="J598" s="60"/>
      <c r="K598" s="56"/>
    </row>
    <row r="599" spans="1:11" ht="20.05" customHeight="1" x14ac:dyDescent="0.2">
      <c r="A599" s="38"/>
      <c r="B599" s="36"/>
      <c r="C599" s="38"/>
      <c r="D599" s="38"/>
      <c r="E599" s="38"/>
      <c r="F599" s="38"/>
      <c r="G599" s="38"/>
      <c r="H599" s="41"/>
      <c r="I599" s="38"/>
      <c r="J599" s="60"/>
      <c r="K599" s="56"/>
    </row>
    <row r="600" spans="1:11" ht="20.05" customHeight="1" x14ac:dyDescent="0.2">
      <c r="A600" s="38"/>
      <c r="B600" s="36"/>
      <c r="C600" s="38"/>
      <c r="D600" s="38"/>
      <c r="E600" s="38"/>
      <c r="F600" s="38"/>
      <c r="G600" s="38"/>
      <c r="H600" s="41"/>
      <c r="I600" s="38"/>
      <c r="J600" s="60"/>
      <c r="K600" s="56"/>
    </row>
    <row r="601" spans="1:11" ht="20.05" customHeight="1" x14ac:dyDescent="0.2">
      <c r="A601" s="38"/>
      <c r="B601" s="36"/>
      <c r="C601" s="38"/>
      <c r="D601" s="38"/>
      <c r="E601" s="38"/>
      <c r="F601" s="38"/>
      <c r="G601" s="38"/>
      <c r="H601" s="42"/>
      <c r="I601" s="38"/>
      <c r="J601" s="60"/>
      <c r="K601" s="56"/>
    </row>
    <row r="602" spans="1:11" ht="20.05" customHeight="1" x14ac:dyDescent="0.2">
      <c r="A602" s="38"/>
      <c r="B602" s="160"/>
      <c r="C602" s="160"/>
      <c r="D602" s="160"/>
      <c r="E602" s="160"/>
      <c r="F602" s="160"/>
      <c r="G602" s="160"/>
      <c r="H602" s="38"/>
      <c r="I602" s="38"/>
      <c r="J602" s="60"/>
      <c r="K602" s="56"/>
    </row>
    <row r="603" spans="1:11" ht="20.05" customHeight="1" x14ac:dyDescent="0.2">
      <c r="A603" s="38"/>
      <c r="B603" s="36"/>
      <c r="C603" s="38"/>
      <c r="D603" s="38"/>
      <c r="E603" s="38"/>
      <c r="F603" s="38"/>
      <c r="G603" s="38"/>
      <c r="H603" s="41"/>
      <c r="I603" s="38"/>
      <c r="J603" s="60"/>
      <c r="K603" s="56"/>
    </row>
    <row r="604" spans="1:11" ht="20.05" customHeight="1" x14ac:dyDescent="0.2">
      <c r="A604" s="38"/>
      <c r="B604" s="36"/>
      <c r="C604" s="38"/>
      <c r="D604" s="38"/>
      <c r="E604" s="38"/>
      <c r="F604" s="38"/>
      <c r="G604" s="38"/>
      <c r="H604" s="41"/>
      <c r="I604" s="38"/>
      <c r="J604" s="60"/>
      <c r="K604" s="56"/>
    </row>
    <row r="605" spans="1:11" ht="20.05" customHeight="1" x14ac:dyDescent="0.2">
      <c r="A605" s="38"/>
      <c r="B605" s="36"/>
      <c r="C605" s="38"/>
      <c r="D605" s="38"/>
      <c r="E605" s="38"/>
      <c r="F605" s="38"/>
      <c r="G605" s="38"/>
      <c r="H605" s="41"/>
      <c r="I605" s="38"/>
      <c r="J605" s="60"/>
      <c r="K605" s="56"/>
    </row>
    <row r="606" spans="1:11" ht="20.05" customHeight="1" x14ac:dyDescent="0.2">
      <c r="A606" s="38"/>
      <c r="B606" s="36"/>
      <c r="C606" s="38"/>
      <c r="D606" s="38"/>
      <c r="E606" s="38"/>
      <c r="F606" s="38"/>
      <c r="G606" s="38"/>
      <c r="H606" s="41"/>
      <c r="I606" s="38"/>
      <c r="J606" s="60"/>
      <c r="K606" s="56"/>
    </row>
    <row r="607" spans="1:11" ht="20.05" customHeight="1" x14ac:dyDescent="0.2">
      <c r="A607" s="38"/>
      <c r="B607" s="36"/>
      <c r="C607" s="38"/>
      <c r="D607" s="38"/>
      <c r="E607" s="38"/>
      <c r="F607" s="38"/>
      <c r="G607" s="38"/>
      <c r="H607" s="41"/>
      <c r="I607" s="38"/>
      <c r="J607" s="60"/>
      <c r="K607" s="56"/>
    </row>
    <row r="608" spans="1:11" ht="20.05" customHeight="1" x14ac:dyDescent="0.2">
      <c r="A608" s="38"/>
      <c r="B608" s="36"/>
      <c r="C608" s="38"/>
      <c r="D608" s="38"/>
      <c r="E608" s="38"/>
      <c r="F608" s="38"/>
      <c r="G608" s="38"/>
      <c r="H608" s="41"/>
      <c r="I608" s="38"/>
      <c r="J608" s="60"/>
      <c r="K608" s="56"/>
    </row>
    <row r="609" spans="1:11" ht="20.05" customHeight="1" x14ac:dyDescent="0.2">
      <c r="A609" s="38"/>
      <c r="B609" s="36"/>
      <c r="C609" s="38"/>
      <c r="D609" s="38"/>
      <c r="E609" s="38"/>
      <c r="F609" s="38"/>
      <c r="G609" s="38"/>
      <c r="H609" s="41"/>
      <c r="I609" s="38"/>
      <c r="J609" s="60"/>
      <c r="K609" s="56"/>
    </row>
    <row r="610" spans="1:11" ht="20.05" customHeight="1" x14ac:dyDescent="0.2">
      <c r="A610" s="38"/>
      <c r="B610" s="36"/>
      <c r="C610" s="38"/>
      <c r="D610" s="38"/>
      <c r="E610" s="38"/>
      <c r="F610" s="38"/>
      <c r="G610" s="38"/>
      <c r="H610" s="41"/>
      <c r="I610" s="38"/>
      <c r="J610" s="60"/>
      <c r="K610" s="56"/>
    </row>
    <row r="611" spans="1:11" ht="20.05" customHeight="1" x14ac:dyDescent="0.2">
      <c r="A611" s="38"/>
      <c r="B611" s="36"/>
      <c r="C611" s="38"/>
      <c r="D611" s="38"/>
      <c r="E611" s="38"/>
      <c r="F611" s="38"/>
      <c r="G611" s="38"/>
      <c r="H611" s="41"/>
      <c r="I611" s="38"/>
      <c r="J611" s="60"/>
      <c r="K611" s="56"/>
    </row>
    <row r="612" spans="1:11" ht="20.05" customHeight="1" x14ac:dyDescent="0.2">
      <c r="A612" s="38"/>
      <c r="B612" s="36"/>
      <c r="C612" s="38"/>
      <c r="D612" s="38"/>
      <c r="E612" s="38"/>
      <c r="F612" s="38"/>
      <c r="G612" s="38"/>
      <c r="H612" s="41"/>
      <c r="I612" s="38"/>
      <c r="J612" s="60"/>
      <c r="K612" s="56"/>
    </row>
    <row r="613" spans="1:11" ht="20.05" customHeight="1" x14ac:dyDescent="0.2">
      <c r="A613" s="38"/>
      <c r="B613" s="36"/>
      <c r="C613" s="38"/>
      <c r="D613" s="38"/>
      <c r="E613" s="38"/>
      <c r="F613" s="38"/>
      <c r="G613" s="38"/>
      <c r="H613" s="41"/>
      <c r="I613" s="38"/>
      <c r="J613" s="60"/>
      <c r="K613" s="56"/>
    </row>
    <row r="614" spans="1:11" ht="20.05" customHeight="1" x14ac:dyDescent="0.2">
      <c r="A614" s="38"/>
      <c r="B614" s="36"/>
      <c r="C614" s="38"/>
      <c r="D614" s="38"/>
      <c r="E614" s="38"/>
      <c r="F614" s="38"/>
      <c r="G614" s="38"/>
      <c r="H614" s="41"/>
      <c r="I614" s="38"/>
      <c r="J614" s="60"/>
      <c r="K614" s="56"/>
    </row>
    <row r="615" spans="1:11" ht="20.05" customHeight="1" x14ac:dyDescent="0.2">
      <c r="A615" s="38"/>
      <c r="B615" s="36"/>
      <c r="C615" s="38"/>
      <c r="D615" s="38"/>
      <c r="E615" s="38"/>
      <c r="F615" s="38"/>
      <c r="G615" s="38"/>
      <c r="H615" s="41"/>
      <c r="I615" s="38"/>
      <c r="J615" s="60"/>
      <c r="K615" s="56"/>
    </row>
    <row r="616" spans="1:11" ht="20.05" customHeight="1" x14ac:dyDescent="0.2">
      <c r="A616" s="38"/>
      <c r="B616" s="36"/>
      <c r="C616" s="38"/>
      <c r="D616" s="38"/>
      <c r="E616" s="38"/>
      <c r="F616" s="38"/>
      <c r="G616" s="38"/>
      <c r="H616" s="41"/>
      <c r="I616" s="38"/>
      <c r="J616" s="60"/>
      <c r="K616" s="56"/>
    </row>
    <row r="617" spans="1:11" ht="20.05" customHeight="1" x14ac:dyDescent="0.2">
      <c r="A617" s="38"/>
      <c r="B617" s="36"/>
      <c r="C617" s="38"/>
      <c r="D617" s="38"/>
      <c r="E617" s="38"/>
      <c r="F617" s="38"/>
      <c r="G617" s="38"/>
      <c r="H617" s="41"/>
      <c r="I617" s="38"/>
      <c r="J617" s="60"/>
      <c r="K617" s="56"/>
    </row>
    <row r="618" spans="1:11" ht="20.05" customHeight="1" x14ac:dyDescent="0.2">
      <c r="A618" s="38"/>
      <c r="B618" s="36"/>
      <c r="C618" s="38"/>
      <c r="D618" s="38"/>
      <c r="E618" s="38"/>
      <c r="F618" s="38"/>
      <c r="G618" s="38"/>
      <c r="H618" s="41"/>
      <c r="I618" s="38"/>
      <c r="J618" s="60"/>
      <c r="K618" s="56"/>
    </row>
    <row r="619" spans="1:11" ht="20.05" customHeight="1" x14ac:dyDescent="0.2">
      <c r="A619" s="38"/>
      <c r="B619" s="36"/>
      <c r="C619" s="38"/>
      <c r="D619" s="38"/>
      <c r="E619" s="38"/>
      <c r="F619" s="38"/>
      <c r="G619" s="38"/>
      <c r="H619" s="41"/>
      <c r="I619" s="38"/>
      <c r="J619" s="60"/>
      <c r="K619" s="56"/>
    </row>
    <row r="620" spans="1:11" ht="20.05" customHeight="1" x14ac:dyDescent="0.2">
      <c r="A620" s="38"/>
      <c r="B620" s="36"/>
      <c r="C620" s="38"/>
      <c r="D620" s="38"/>
      <c r="E620" s="38"/>
      <c r="F620" s="38"/>
      <c r="G620" s="38"/>
      <c r="H620" s="41"/>
      <c r="I620" s="38"/>
      <c r="J620" s="60"/>
      <c r="K620" s="56"/>
    </row>
    <row r="621" spans="1:11" ht="20.05" customHeight="1" x14ac:dyDescent="0.2">
      <c r="A621" s="38"/>
      <c r="B621" s="36"/>
      <c r="C621" s="38"/>
      <c r="D621" s="38"/>
      <c r="E621" s="38"/>
      <c r="F621" s="38"/>
      <c r="G621" s="38"/>
      <c r="H621" s="41"/>
      <c r="I621" s="38"/>
      <c r="J621" s="60"/>
      <c r="K621" s="56"/>
    </row>
    <row r="622" spans="1:11" ht="20.05" customHeight="1" x14ac:dyDescent="0.2">
      <c r="A622" s="38"/>
      <c r="B622" s="36"/>
      <c r="C622" s="38"/>
      <c r="D622" s="38"/>
      <c r="E622" s="38"/>
      <c r="F622" s="38"/>
      <c r="G622" s="38"/>
      <c r="H622" s="41"/>
      <c r="I622" s="38"/>
      <c r="J622" s="60"/>
      <c r="K622" s="56"/>
    </row>
    <row r="623" spans="1:11" ht="20.05" customHeight="1" x14ac:dyDescent="0.2">
      <c r="A623" s="38"/>
      <c r="B623" s="36"/>
      <c r="C623" s="38"/>
      <c r="D623" s="38"/>
      <c r="E623" s="38"/>
      <c r="F623" s="38"/>
      <c r="G623" s="38"/>
      <c r="H623" s="41"/>
      <c r="I623" s="38"/>
      <c r="J623" s="60"/>
      <c r="K623" s="56"/>
    </row>
    <row r="624" spans="1:11" ht="20.05" customHeight="1" x14ac:dyDescent="0.2">
      <c r="A624" s="38"/>
      <c r="B624" s="36"/>
      <c r="C624" s="38"/>
      <c r="D624" s="38"/>
      <c r="E624" s="38"/>
      <c r="F624" s="38"/>
      <c r="G624" s="38"/>
      <c r="H624" s="41"/>
      <c r="I624" s="38"/>
      <c r="J624" s="60"/>
      <c r="K624" s="56"/>
    </row>
    <row r="625" spans="1:11" ht="20.05" customHeight="1" x14ac:dyDescent="0.2">
      <c r="A625" s="38"/>
      <c r="B625" s="36"/>
      <c r="C625" s="38"/>
      <c r="D625" s="38"/>
      <c r="E625" s="38"/>
      <c r="F625" s="38"/>
      <c r="G625" s="38"/>
      <c r="H625" s="41"/>
      <c r="I625" s="38"/>
      <c r="J625" s="60"/>
      <c r="K625" s="56"/>
    </row>
    <row r="626" spans="1:11" ht="20.05" customHeight="1" x14ac:dyDescent="0.2">
      <c r="A626" s="38"/>
      <c r="B626" s="36"/>
      <c r="C626" s="38"/>
      <c r="D626" s="38"/>
      <c r="E626" s="38"/>
      <c r="F626" s="38"/>
      <c r="G626" s="38"/>
      <c r="H626" s="41"/>
      <c r="I626" s="38"/>
      <c r="J626" s="60"/>
      <c r="K626" s="56"/>
    </row>
    <row r="627" spans="1:11" ht="20.05" customHeight="1" x14ac:dyDescent="0.2">
      <c r="A627" s="38"/>
      <c r="B627" s="36"/>
      <c r="C627" s="38"/>
      <c r="D627" s="38"/>
      <c r="E627" s="38"/>
      <c r="F627" s="38"/>
      <c r="G627" s="38"/>
      <c r="H627" s="41"/>
      <c r="I627" s="38"/>
      <c r="J627" s="60"/>
      <c r="K627" s="56"/>
    </row>
    <row r="628" spans="1:11" ht="20.05" customHeight="1" x14ac:dyDescent="0.2">
      <c r="A628" s="38"/>
      <c r="B628" s="36"/>
      <c r="C628" s="38"/>
      <c r="D628" s="38"/>
      <c r="E628" s="38"/>
      <c r="F628" s="38"/>
      <c r="G628" s="38"/>
      <c r="H628" s="41"/>
      <c r="I628" s="38"/>
      <c r="J628" s="60"/>
      <c r="K628" s="56"/>
    </row>
    <row r="629" spans="1:11" ht="20.05" customHeight="1" x14ac:dyDescent="0.2">
      <c r="A629" s="38"/>
      <c r="B629" s="36"/>
      <c r="C629" s="38"/>
      <c r="D629" s="38"/>
      <c r="E629" s="38"/>
      <c r="F629" s="38"/>
      <c r="G629" s="38"/>
      <c r="H629" s="41"/>
      <c r="I629" s="38"/>
      <c r="J629" s="60"/>
      <c r="K629" s="56"/>
    </row>
    <row r="630" spans="1:11" ht="20.05" customHeight="1" x14ac:dyDescent="0.2">
      <c r="A630" s="38"/>
      <c r="B630" s="36"/>
      <c r="C630" s="38"/>
      <c r="D630" s="38"/>
      <c r="E630" s="38"/>
      <c r="F630" s="38"/>
      <c r="G630" s="38"/>
      <c r="H630" s="41"/>
      <c r="I630" s="38"/>
      <c r="J630" s="60"/>
      <c r="K630" s="56"/>
    </row>
    <row r="631" spans="1:11" ht="20.05" customHeight="1" x14ac:dyDescent="0.2">
      <c r="A631" s="38"/>
      <c r="B631" s="36"/>
      <c r="C631" s="38"/>
      <c r="D631" s="38"/>
      <c r="E631" s="38"/>
      <c r="F631" s="38"/>
      <c r="G631" s="38"/>
      <c r="H631" s="41"/>
      <c r="I631" s="38"/>
      <c r="J631" s="60"/>
      <c r="K631" s="56"/>
    </row>
    <row r="632" spans="1:11" ht="20.05" customHeight="1" x14ac:dyDescent="0.2">
      <c r="A632" s="38"/>
      <c r="B632" s="36"/>
      <c r="C632" s="38"/>
      <c r="D632" s="38"/>
      <c r="E632" s="38"/>
      <c r="F632" s="38"/>
      <c r="G632" s="38"/>
      <c r="H632" s="41"/>
      <c r="I632" s="38"/>
      <c r="J632" s="60"/>
      <c r="K632" s="56"/>
    </row>
    <row r="633" spans="1:11" ht="20.05" customHeight="1" x14ac:dyDescent="0.2">
      <c r="A633" s="38"/>
      <c r="B633" s="36"/>
      <c r="C633" s="38"/>
      <c r="D633" s="38"/>
      <c r="E633" s="38"/>
      <c r="F633" s="38"/>
      <c r="G633" s="38"/>
      <c r="H633" s="41"/>
      <c r="I633" s="38"/>
      <c r="J633" s="60"/>
      <c r="K633" s="56"/>
    </row>
    <row r="634" spans="1:11" ht="20.05" customHeight="1" x14ac:dyDescent="0.2">
      <c r="A634" s="38"/>
      <c r="B634" s="36"/>
      <c r="C634" s="38"/>
      <c r="D634" s="38"/>
      <c r="E634" s="38"/>
      <c r="F634" s="38"/>
      <c r="G634" s="38"/>
      <c r="H634" s="41"/>
      <c r="I634" s="38"/>
      <c r="J634" s="60"/>
      <c r="K634" s="56"/>
    </row>
    <row r="635" spans="1:11" ht="20.05" customHeight="1" x14ac:dyDescent="0.2">
      <c r="A635" s="38"/>
      <c r="B635" s="36"/>
      <c r="C635" s="38"/>
      <c r="D635" s="38"/>
      <c r="E635" s="38"/>
      <c r="F635" s="38"/>
      <c r="G635" s="38"/>
      <c r="H635" s="41"/>
      <c r="I635" s="38"/>
      <c r="J635" s="60"/>
      <c r="K635" s="56"/>
    </row>
    <row r="636" spans="1:11" ht="20.05" customHeight="1" x14ac:dyDescent="0.2">
      <c r="A636" s="38"/>
      <c r="B636" s="36"/>
      <c r="C636" s="38"/>
      <c r="D636" s="38"/>
      <c r="E636" s="38"/>
      <c r="F636" s="38"/>
      <c r="G636" s="38"/>
      <c r="H636" s="41"/>
      <c r="I636" s="38"/>
      <c r="J636" s="60"/>
      <c r="K636" s="56"/>
    </row>
    <row r="637" spans="1:11" ht="20.05" customHeight="1" x14ac:dyDescent="0.2">
      <c r="A637" s="38"/>
      <c r="B637" s="36"/>
      <c r="C637" s="38"/>
      <c r="D637" s="38"/>
      <c r="E637" s="38"/>
      <c r="F637" s="38"/>
      <c r="G637" s="38"/>
      <c r="H637" s="41"/>
      <c r="I637" s="38"/>
      <c r="J637" s="60"/>
      <c r="K637" s="56"/>
    </row>
    <row r="638" spans="1:11" ht="20.05" customHeight="1" x14ac:dyDescent="0.2">
      <c r="A638" s="38"/>
      <c r="B638" s="36"/>
      <c r="C638" s="38"/>
      <c r="D638" s="38"/>
      <c r="E638" s="38"/>
      <c r="F638" s="38"/>
      <c r="G638" s="38"/>
      <c r="H638" s="41"/>
      <c r="I638" s="38"/>
      <c r="J638" s="60"/>
      <c r="K638" s="56"/>
    </row>
    <row r="639" spans="1:11" ht="20.05" customHeight="1" x14ac:dyDescent="0.2">
      <c r="A639" s="38"/>
      <c r="B639" s="36"/>
      <c r="C639" s="38"/>
      <c r="D639" s="38"/>
      <c r="E639" s="38"/>
      <c r="F639" s="38"/>
      <c r="G639" s="38"/>
      <c r="H639" s="41"/>
      <c r="I639" s="38"/>
      <c r="J639" s="60"/>
      <c r="K639" s="56"/>
    </row>
    <row r="640" spans="1:11" ht="20.05" customHeight="1" x14ac:dyDescent="0.2">
      <c r="A640" s="38"/>
      <c r="B640" s="36"/>
      <c r="C640" s="38"/>
      <c r="D640" s="38"/>
      <c r="E640" s="38"/>
      <c r="F640" s="38"/>
      <c r="G640" s="38"/>
      <c r="H640" s="41"/>
      <c r="I640" s="38"/>
      <c r="J640" s="60"/>
      <c r="K640" s="56"/>
    </row>
    <row r="641" spans="1:11" ht="20.05" customHeight="1" x14ac:dyDescent="0.2">
      <c r="A641" s="38"/>
      <c r="B641" s="36"/>
      <c r="C641" s="38"/>
      <c r="D641" s="38"/>
      <c r="E641" s="38"/>
      <c r="F641" s="38"/>
      <c r="G641" s="38"/>
      <c r="H641" s="41"/>
      <c r="I641" s="38"/>
      <c r="J641" s="60"/>
      <c r="K641" s="56"/>
    </row>
    <row r="642" spans="1:11" ht="20.05" customHeight="1" x14ac:dyDescent="0.2">
      <c r="A642" s="38"/>
      <c r="B642" s="36"/>
      <c r="C642" s="38"/>
      <c r="D642" s="38"/>
      <c r="E642" s="38"/>
      <c r="F642" s="38"/>
      <c r="G642" s="38"/>
      <c r="H642" s="41"/>
      <c r="I642" s="38"/>
      <c r="J642" s="60"/>
      <c r="K642" s="56"/>
    </row>
    <row r="643" spans="1:11" ht="20.05" customHeight="1" x14ac:dyDescent="0.2">
      <c r="A643" s="38"/>
      <c r="B643" s="36"/>
      <c r="C643" s="38"/>
      <c r="D643" s="38"/>
      <c r="E643" s="38"/>
      <c r="F643" s="38"/>
      <c r="G643" s="38"/>
      <c r="H643" s="41"/>
      <c r="I643" s="38"/>
      <c r="J643" s="60"/>
      <c r="K643" s="56"/>
    </row>
    <row r="644" spans="1:11" ht="20.05" customHeight="1" x14ac:dyDescent="0.2">
      <c r="A644" s="38"/>
      <c r="B644" s="36"/>
      <c r="C644" s="38"/>
      <c r="D644" s="38"/>
      <c r="E644" s="38"/>
      <c r="F644" s="38"/>
      <c r="G644" s="38"/>
      <c r="H644" s="41"/>
      <c r="I644" s="38"/>
      <c r="J644" s="60"/>
      <c r="K644" s="56"/>
    </row>
    <row r="645" spans="1:11" ht="20.05" customHeight="1" x14ac:dyDescent="0.2">
      <c r="A645" s="38"/>
      <c r="B645" s="36"/>
      <c r="C645" s="38"/>
      <c r="D645" s="38"/>
      <c r="E645" s="38"/>
      <c r="F645" s="38"/>
      <c r="G645" s="38"/>
      <c r="H645" s="41"/>
      <c r="I645" s="38"/>
      <c r="J645" s="60"/>
      <c r="K645" s="56"/>
    </row>
    <row r="646" spans="1:11" ht="20.05" customHeight="1" x14ac:dyDescent="0.2">
      <c r="A646" s="38"/>
      <c r="B646" s="36"/>
      <c r="C646" s="38"/>
      <c r="D646" s="38"/>
      <c r="E646" s="38"/>
      <c r="F646" s="38"/>
      <c r="G646" s="38"/>
      <c r="H646" s="41"/>
      <c r="I646" s="38"/>
      <c r="J646" s="60"/>
      <c r="K646" s="56"/>
    </row>
    <row r="647" spans="1:11" ht="20.05" customHeight="1" x14ac:dyDescent="0.2">
      <c r="A647" s="38"/>
      <c r="B647" s="36"/>
      <c r="C647" s="38"/>
      <c r="D647" s="38"/>
      <c r="E647" s="38"/>
      <c r="F647" s="38"/>
      <c r="G647" s="38"/>
      <c r="H647" s="41"/>
      <c r="I647" s="38"/>
      <c r="J647" s="60"/>
      <c r="K647" s="56"/>
    </row>
    <row r="648" spans="1:11" ht="20.05" customHeight="1" x14ac:dyDescent="0.2">
      <c r="A648" s="38"/>
      <c r="B648" s="36"/>
      <c r="C648" s="38"/>
      <c r="D648" s="38"/>
      <c r="E648" s="38"/>
      <c r="F648" s="38"/>
      <c r="G648" s="38"/>
      <c r="H648" s="41"/>
      <c r="I648" s="38"/>
      <c r="J648" s="60"/>
      <c r="K648" s="56"/>
    </row>
    <row r="649" spans="1:11" ht="20.05" customHeight="1" x14ac:dyDescent="0.2">
      <c r="A649" s="38"/>
      <c r="B649" s="36"/>
      <c r="C649" s="38"/>
      <c r="D649" s="38"/>
      <c r="E649" s="38"/>
      <c r="F649" s="38"/>
      <c r="G649" s="38"/>
      <c r="H649" s="41"/>
      <c r="I649" s="38"/>
      <c r="J649" s="60"/>
      <c r="K649" s="56"/>
    </row>
    <row r="650" spans="1:11" ht="20.05" customHeight="1" x14ac:dyDescent="0.2">
      <c r="A650" s="38"/>
      <c r="B650" s="36"/>
      <c r="C650" s="38"/>
      <c r="D650" s="38"/>
      <c r="E650" s="38"/>
      <c r="F650" s="38"/>
      <c r="G650" s="38"/>
      <c r="H650" s="41"/>
      <c r="I650" s="38"/>
      <c r="J650" s="60"/>
      <c r="K650" s="56"/>
    </row>
    <row r="651" spans="1:11" ht="20.05" customHeight="1" x14ac:dyDescent="0.2">
      <c r="A651" s="38"/>
      <c r="B651" s="36"/>
      <c r="C651" s="38"/>
      <c r="D651" s="38"/>
      <c r="E651" s="38"/>
      <c r="F651" s="38"/>
      <c r="G651" s="38"/>
      <c r="H651" s="41"/>
      <c r="I651" s="38"/>
      <c r="J651" s="60"/>
      <c r="K651" s="56"/>
    </row>
    <row r="652" spans="1:11" ht="20.05" customHeight="1" x14ac:dyDescent="0.2">
      <c r="A652" s="38"/>
      <c r="B652" s="36"/>
      <c r="C652" s="38"/>
      <c r="D652" s="38"/>
      <c r="E652" s="38"/>
      <c r="F652" s="38"/>
      <c r="G652" s="38"/>
      <c r="H652" s="41"/>
      <c r="I652" s="38"/>
      <c r="J652" s="60"/>
      <c r="K652" s="56"/>
    </row>
    <row r="653" spans="1:11" ht="20.05" customHeight="1" x14ac:dyDescent="0.2">
      <c r="A653" s="38"/>
      <c r="B653" s="36"/>
      <c r="C653" s="38"/>
      <c r="D653" s="38"/>
      <c r="E653" s="38"/>
      <c r="F653" s="38"/>
      <c r="G653" s="38"/>
      <c r="H653" s="41"/>
      <c r="I653" s="38"/>
      <c r="J653" s="60"/>
      <c r="K653" s="56"/>
    </row>
    <row r="654" spans="1:11" ht="20.05" customHeight="1" x14ac:dyDescent="0.2">
      <c r="A654" s="38"/>
      <c r="B654" s="36"/>
      <c r="C654" s="38"/>
      <c r="D654" s="38"/>
      <c r="E654" s="38"/>
      <c r="F654" s="38"/>
      <c r="G654" s="38"/>
      <c r="H654" s="41"/>
      <c r="I654" s="38"/>
      <c r="J654" s="60"/>
      <c r="K654" s="56"/>
    </row>
    <row r="655" spans="1:11" ht="20.05" customHeight="1" x14ac:dyDescent="0.2">
      <c r="A655" s="38"/>
      <c r="B655" s="36"/>
      <c r="C655" s="38"/>
      <c r="D655" s="38"/>
      <c r="E655" s="38"/>
      <c r="F655" s="38"/>
      <c r="G655" s="38"/>
      <c r="H655" s="41"/>
      <c r="I655" s="38"/>
      <c r="J655" s="60"/>
      <c r="K655" s="56"/>
    </row>
    <row r="656" spans="1:11" ht="20.05" customHeight="1" x14ac:dyDescent="0.2">
      <c r="A656" s="38"/>
      <c r="B656" s="36"/>
      <c r="C656" s="38"/>
      <c r="D656" s="38"/>
      <c r="E656" s="38"/>
      <c r="F656" s="38"/>
      <c r="G656" s="38"/>
      <c r="H656" s="41"/>
      <c r="I656" s="38"/>
      <c r="J656" s="60"/>
      <c r="K656" s="56"/>
    </row>
    <row r="657" spans="1:11" ht="20.05" customHeight="1" x14ac:dyDescent="0.2">
      <c r="A657" s="38"/>
      <c r="B657" s="36"/>
      <c r="C657" s="38"/>
      <c r="D657" s="38"/>
      <c r="E657" s="38"/>
      <c r="F657" s="38"/>
      <c r="G657" s="38"/>
      <c r="H657" s="41"/>
      <c r="I657" s="38"/>
      <c r="J657" s="60"/>
      <c r="K657" s="56"/>
    </row>
    <row r="658" spans="1:11" ht="20.05" customHeight="1" x14ac:dyDescent="0.2">
      <c r="A658" s="38"/>
      <c r="B658" s="36"/>
      <c r="C658" s="38"/>
      <c r="D658" s="38"/>
      <c r="E658" s="38"/>
      <c r="F658" s="38"/>
      <c r="G658" s="38"/>
      <c r="H658" s="41"/>
      <c r="I658" s="38"/>
      <c r="J658" s="60"/>
      <c r="K658" s="56"/>
    </row>
    <row r="659" spans="1:11" ht="20.05" customHeight="1" x14ac:dyDescent="0.2">
      <c r="A659" s="38"/>
      <c r="B659" s="36"/>
      <c r="C659" s="38"/>
      <c r="D659" s="38"/>
      <c r="E659" s="38"/>
      <c r="F659" s="38"/>
      <c r="G659" s="38"/>
      <c r="H659" s="41"/>
      <c r="I659" s="38"/>
      <c r="J659" s="60"/>
      <c r="K659" s="56"/>
    </row>
    <row r="660" spans="1:11" ht="20.05" customHeight="1" x14ac:dyDescent="0.2">
      <c r="A660" s="38"/>
      <c r="B660" s="36"/>
      <c r="C660" s="38"/>
      <c r="D660" s="38"/>
      <c r="E660" s="38"/>
      <c r="F660" s="38"/>
      <c r="G660" s="38"/>
      <c r="H660" s="41"/>
      <c r="I660" s="38"/>
      <c r="J660" s="60"/>
      <c r="K660" s="56"/>
    </row>
    <row r="661" spans="1:11" ht="20.05" customHeight="1" x14ac:dyDescent="0.2">
      <c r="A661" s="38"/>
      <c r="B661" s="36"/>
      <c r="C661" s="38"/>
      <c r="D661" s="38"/>
      <c r="E661" s="38"/>
      <c r="F661" s="38"/>
      <c r="G661" s="38"/>
      <c r="H661" s="41"/>
      <c r="I661" s="38"/>
      <c r="J661" s="60"/>
      <c r="K661" s="56"/>
    </row>
    <row r="662" spans="1:11" ht="20.05" customHeight="1" x14ac:dyDescent="0.2">
      <c r="A662" s="38"/>
      <c r="B662" s="36"/>
      <c r="C662" s="38"/>
      <c r="D662" s="38"/>
      <c r="E662" s="38"/>
      <c r="F662" s="38"/>
      <c r="G662" s="38"/>
      <c r="H662" s="41"/>
      <c r="I662" s="38"/>
      <c r="J662" s="60"/>
      <c r="K662" s="56"/>
    </row>
    <row r="663" spans="1:11" ht="20.05" customHeight="1" x14ac:dyDescent="0.2">
      <c r="A663" s="38"/>
      <c r="B663" s="36"/>
      <c r="C663" s="38"/>
      <c r="D663" s="38"/>
      <c r="E663" s="38"/>
      <c r="F663" s="38"/>
      <c r="G663" s="38"/>
      <c r="H663" s="41"/>
      <c r="I663" s="38"/>
      <c r="J663" s="60"/>
      <c r="K663" s="56"/>
    </row>
    <row r="664" spans="1:11" ht="20.05" customHeight="1" x14ac:dyDescent="0.2">
      <c r="A664" s="38"/>
      <c r="B664" s="36"/>
      <c r="C664" s="38"/>
      <c r="D664" s="38"/>
      <c r="E664" s="38"/>
      <c r="F664" s="38"/>
      <c r="G664" s="38"/>
      <c r="H664" s="41"/>
      <c r="I664" s="38"/>
      <c r="J664" s="60"/>
      <c r="K664" s="56"/>
    </row>
    <row r="665" spans="1:11" ht="20.05" customHeight="1" x14ac:dyDescent="0.2">
      <c r="A665" s="38"/>
      <c r="B665" s="36"/>
      <c r="C665" s="38"/>
      <c r="D665" s="38"/>
      <c r="E665" s="38"/>
      <c r="F665" s="38"/>
      <c r="G665" s="38"/>
      <c r="H665" s="41"/>
      <c r="I665" s="38"/>
      <c r="J665" s="60"/>
      <c r="K665" s="56"/>
    </row>
    <row r="666" spans="1:11" ht="20.05" customHeight="1" x14ac:dyDescent="0.2">
      <c r="A666" s="38"/>
      <c r="B666" s="36"/>
      <c r="C666" s="38"/>
      <c r="D666" s="38"/>
      <c r="E666" s="38"/>
      <c r="F666" s="38"/>
      <c r="G666" s="38"/>
      <c r="H666" s="41"/>
      <c r="I666" s="38"/>
      <c r="J666" s="60"/>
      <c r="K666" s="56"/>
    </row>
    <row r="667" spans="1:11" ht="20.05" customHeight="1" x14ac:dyDescent="0.2">
      <c r="A667" s="38"/>
      <c r="B667" s="36"/>
      <c r="C667" s="38"/>
      <c r="D667" s="38"/>
      <c r="E667" s="38"/>
      <c r="F667" s="38"/>
      <c r="G667" s="38"/>
      <c r="H667" s="41"/>
      <c r="I667" s="38"/>
      <c r="J667" s="60"/>
      <c r="K667" s="56"/>
    </row>
    <row r="668" spans="1:11" ht="20.05" customHeight="1" x14ac:dyDescent="0.2">
      <c r="A668" s="38"/>
      <c r="B668" s="36"/>
      <c r="C668" s="38"/>
      <c r="D668" s="38"/>
      <c r="E668" s="38"/>
      <c r="F668" s="38"/>
      <c r="G668" s="38"/>
      <c r="H668" s="41"/>
      <c r="I668" s="38"/>
      <c r="J668" s="60"/>
      <c r="K668" s="56"/>
    </row>
    <row r="669" spans="1:11" ht="20.05" customHeight="1" x14ac:dyDescent="0.2">
      <c r="A669" s="38"/>
      <c r="B669" s="36"/>
      <c r="C669" s="38"/>
      <c r="D669" s="38"/>
      <c r="E669" s="38"/>
      <c r="F669" s="38"/>
      <c r="G669" s="38"/>
      <c r="H669" s="41"/>
      <c r="I669" s="38"/>
      <c r="J669" s="60"/>
      <c r="K669" s="56"/>
    </row>
    <row r="670" spans="1:11" ht="20.05" customHeight="1" x14ac:dyDescent="0.2">
      <c r="A670" s="38"/>
      <c r="B670" s="36"/>
      <c r="C670" s="38"/>
      <c r="D670" s="38"/>
      <c r="E670" s="38"/>
      <c r="F670" s="38"/>
      <c r="G670" s="38"/>
      <c r="H670" s="41"/>
      <c r="I670" s="38"/>
      <c r="J670" s="60"/>
      <c r="K670" s="56"/>
    </row>
    <row r="671" spans="1:11" ht="20.05" customHeight="1" x14ac:dyDescent="0.2">
      <c r="A671" s="38"/>
      <c r="B671" s="36"/>
      <c r="C671" s="38"/>
      <c r="D671" s="38"/>
      <c r="E671" s="38"/>
      <c r="F671" s="38"/>
      <c r="G671" s="38"/>
      <c r="H671" s="41"/>
      <c r="I671" s="38"/>
      <c r="J671" s="60"/>
      <c r="K671" s="56"/>
    </row>
    <row r="672" spans="1:11" ht="20.05" customHeight="1" x14ac:dyDescent="0.2">
      <c r="A672" s="38"/>
      <c r="B672" s="36"/>
      <c r="C672" s="38"/>
      <c r="D672" s="38"/>
      <c r="E672" s="38"/>
      <c r="F672" s="38"/>
      <c r="G672" s="38"/>
      <c r="H672" s="41"/>
      <c r="I672" s="38"/>
      <c r="J672" s="60"/>
      <c r="K672" s="56"/>
    </row>
    <row r="673" spans="1:11" ht="20.05" customHeight="1" x14ac:dyDescent="0.2">
      <c r="A673" s="38"/>
      <c r="B673" s="36"/>
      <c r="C673" s="38"/>
      <c r="D673" s="38"/>
      <c r="E673" s="38"/>
      <c r="F673" s="38"/>
      <c r="G673" s="38"/>
      <c r="H673" s="41"/>
      <c r="I673" s="38"/>
      <c r="J673" s="60"/>
      <c r="K673" s="56"/>
    </row>
    <row r="674" spans="1:11" ht="20.05" customHeight="1" x14ac:dyDescent="0.2">
      <c r="A674" s="38"/>
      <c r="B674" s="36"/>
      <c r="C674" s="38"/>
      <c r="D674" s="38"/>
      <c r="E674" s="38"/>
      <c r="F674" s="38"/>
      <c r="G674" s="38"/>
      <c r="H674" s="41"/>
      <c r="I674" s="38"/>
      <c r="J674" s="60"/>
      <c r="K674" s="56"/>
    </row>
    <row r="675" spans="1:11" ht="20.05" customHeight="1" x14ac:dyDescent="0.2">
      <c r="A675" s="38"/>
      <c r="B675" s="36"/>
      <c r="C675" s="38"/>
      <c r="D675" s="38"/>
      <c r="E675" s="38"/>
      <c r="F675" s="38"/>
      <c r="G675" s="38"/>
      <c r="H675" s="41"/>
      <c r="I675" s="38"/>
      <c r="J675" s="60"/>
      <c r="K675" s="56"/>
    </row>
    <row r="676" spans="1:11" ht="20.05" customHeight="1" x14ac:dyDescent="0.2">
      <c r="A676" s="38"/>
      <c r="B676" s="36"/>
      <c r="C676" s="38"/>
      <c r="D676" s="38"/>
      <c r="E676" s="38"/>
      <c r="F676" s="38"/>
      <c r="G676" s="38"/>
      <c r="H676" s="41"/>
      <c r="I676" s="38"/>
      <c r="J676" s="60"/>
      <c r="K676" s="56"/>
    </row>
    <row r="677" spans="1:11" ht="20.05" customHeight="1" x14ac:dyDescent="0.2">
      <c r="A677" s="38"/>
      <c r="B677" s="36"/>
      <c r="C677" s="38"/>
      <c r="D677" s="38"/>
      <c r="E677" s="38"/>
      <c r="F677" s="38"/>
      <c r="G677" s="38"/>
      <c r="H677" s="41"/>
      <c r="I677" s="38"/>
      <c r="J677" s="60"/>
      <c r="K677" s="56"/>
    </row>
    <row r="678" spans="1:11" ht="20.05" customHeight="1" x14ac:dyDescent="0.2">
      <c r="A678" s="38"/>
      <c r="B678" s="36"/>
      <c r="C678" s="38"/>
      <c r="D678" s="38"/>
      <c r="E678" s="38"/>
      <c r="F678" s="38"/>
      <c r="G678" s="38"/>
      <c r="H678" s="41"/>
      <c r="I678" s="38"/>
      <c r="J678" s="60"/>
      <c r="K678" s="56"/>
    </row>
    <row r="679" spans="1:11" ht="20.05" customHeight="1" x14ac:dyDescent="0.2">
      <c r="A679" s="38"/>
      <c r="B679" s="36"/>
      <c r="C679" s="38"/>
      <c r="D679" s="38"/>
      <c r="E679" s="38"/>
      <c r="F679" s="38"/>
      <c r="G679" s="38"/>
      <c r="H679" s="41"/>
      <c r="I679" s="38"/>
      <c r="J679" s="60"/>
      <c r="K679" s="56"/>
    </row>
    <row r="680" spans="1:11" ht="20.05" customHeight="1" x14ac:dyDescent="0.2">
      <c r="A680" s="38"/>
      <c r="B680" s="36"/>
      <c r="C680" s="38"/>
      <c r="D680" s="38"/>
      <c r="E680" s="38"/>
      <c r="F680" s="38"/>
      <c r="G680" s="38"/>
      <c r="H680" s="41"/>
      <c r="I680" s="38"/>
      <c r="J680" s="60"/>
      <c r="K680" s="56"/>
    </row>
    <row r="681" spans="1:11" ht="20.05" customHeight="1" x14ac:dyDescent="0.2">
      <c r="A681" s="38"/>
      <c r="B681" s="36"/>
      <c r="C681" s="38"/>
      <c r="D681" s="38"/>
      <c r="E681" s="38"/>
      <c r="F681" s="38"/>
      <c r="G681" s="38"/>
      <c r="H681" s="41"/>
      <c r="I681" s="38"/>
      <c r="J681" s="60"/>
      <c r="K681" s="56"/>
    </row>
    <row r="682" spans="1:11" ht="20.05" customHeight="1" x14ac:dyDescent="0.2">
      <c r="A682" s="38"/>
      <c r="B682" s="36"/>
      <c r="C682" s="38"/>
      <c r="D682" s="38"/>
      <c r="E682" s="38"/>
      <c r="F682" s="38"/>
      <c r="G682" s="38"/>
      <c r="H682" s="41"/>
      <c r="I682" s="38"/>
      <c r="J682" s="60"/>
      <c r="K682" s="56"/>
    </row>
    <row r="683" spans="1:11" ht="20.05" customHeight="1" x14ac:dyDescent="0.2">
      <c r="A683" s="38"/>
      <c r="B683" s="36"/>
      <c r="C683" s="38"/>
      <c r="D683" s="38"/>
      <c r="E683" s="38"/>
      <c r="F683" s="38"/>
      <c r="G683" s="38"/>
      <c r="H683" s="41"/>
      <c r="I683" s="38"/>
      <c r="J683" s="60"/>
      <c r="K683" s="56"/>
    </row>
    <row r="684" spans="1:11" ht="20.05" customHeight="1" x14ac:dyDescent="0.2">
      <c r="A684" s="38"/>
      <c r="B684" s="36"/>
      <c r="C684" s="38"/>
      <c r="D684" s="38"/>
      <c r="E684" s="38"/>
      <c r="F684" s="38"/>
      <c r="G684" s="38"/>
      <c r="H684" s="41"/>
      <c r="I684" s="38"/>
      <c r="J684" s="60"/>
      <c r="K684" s="56"/>
    </row>
    <row r="685" spans="1:11" ht="20.05" customHeight="1" x14ac:dyDescent="0.2">
      <c r="A685" s="38"/>
      <c r="B685" s="36"/>
      <c r="C685" s="38"/>
      <c r="D685" s="38"/>
      <c r="E685" s="38"/>
      <c r="F685" s="38"/>
      <c r="G685" s="38"/>
      <c r="H685" s="41"/>
      <c r="I685" s="38"/>
      <c r="J685" s="60"/>
      <c r="K685" s="56"/>
    </row>
    <row r="686" spans="1:11" ht="20.05" customHeight="1" x14ac:dyDescent="0.2">
      <c r="A686" s="38"/>
      <c r="B686" s="36"/>
      <c r="C686" s="38"/>
      <c r="D686" s="38"/>
      <c r="E686" s="38"/>
      <c r="F686" s="38"/>
      <c r="G686" s="38"/>
      <c r="H686" s="41"/>
      <c r="I686" s="38"/>
      <c r="J686" s="60"/>
      <c r="K686" s="56"/>
    </row>
    <row r="687" spans="1:11" ht="20.05" customHeight="1" x14ac:dyDescent="0.2">
      <c r="A687" s="38"/>
      <c r="B687" s="36"/>
      <c r="C687" s="38"/>
      <c r="D687" s="38"/>
      <c r="E687" s="38"/>
      <c r="F687" s="38"/>
      <c r="G687" s="38"/>
      <c r="H687" s="41"/>
      <c r="I687" s="38"/>
      <c r="J687" s="60"/>
      <c r="K687" s="56"/>
    </row>
    <row r="688" spans="1:11" ht="20.05" customHeight="1" x14ac:dyDescent="0.2">
      <c r="A688" s="38"/>
      <c r="B688" s="36"/>
      <c r="C688" s="38"/>
      <c r="D688" s="38"/>
      <c r="E688" s="38"/>
      <c r="F688" s="38"/>
      <c r="G688" s="38"/>
      <c r="H688" s="41"/>
      <c r="I688" s="38"/>
      <c r="J688" s="60"/>
      <c r="K688" s="56"/>
    </row>
    <row r="689" spans="1:11" ht="20.05" customHeight="1" x14ac:dyDescent="0.2">
      <c r="A689" s="38"/>
      <c r="B689" s="36"/>
      <c r="C689" s="38"/>
      <c r="D689" s="38"/>
      <c r="E689" s="38"/>
      <c r="F689" s="38"/>
      <c r="G689" s="38"/>
      <c r="H689" s="41"/>
      <c r="I689" s="38"/>
      <c r="J689" s="60"/>
      <c r="K689" s="56"/>
    </row>
    <row r="690" spans="1:11" ht="20.05" customHeight="1" x14ac:dyDescent="0.2">
      <c r="A690" s="38"/>
      <c r="B690" s="36"/>
      <c r="C690" s="38"/>
      <c r="D690" s="38"/>
      <c r="E690" s="38"/>
      <c r="F690" s="38"/>
      <c r="G690" s="38"/>
      <c r="H690" s="41"/>
      <c r="I690" s="38"/>
      <c r="J690" s="60"/>
      <c r="K690" s="56"/>
    </row>
    <row r="691" spans="1:11" ht="20.05" customHeight="1" x14ac:dyDescent="0.2">
      <c r="A691" s="38"/>
      <c r="B691" s="36"/>
      <c r="C691" s="38"/>
      <c r="D691" s="38"/>
      <c r="E691" s="38"/>
      <c r="F691" s="38"/>
      <c r="G691" s="38"/>
      <c r="H691" s="41"/>
      <c r="I691" s="38"/>
      <c r="J691" s="60"/>
      <c r="K691" s="56"/>
    </row>
    <row r="692" spans="1:11" ht="20.05" customHeight="1" x14ac:dyDescent="0.2">
      <c r="A692" s="38"/>
      <c r="B692" s="36"/>
      <c r="C692" s="38"/>
      <c r="D692" s="38"/>
      <c r="E692" s="38"/>
      <c r="F692" s="38"/>
      <c r="G692" s="38"/>
      <c r="H692" s="41"/>
      <c r="I692" s="38"/>
      <c r="J692" s="60"/>
      <c r="K692" s="56"/>
    </row>
    <row r="693" spans="1:11" ht="20.05" customHeight="1" x14ac:dyDescent="0.2">
      <c r="A693" s="38"/>
      <c r="B693" s="36"/>
      <c r="C693" s="38"/>
      <c r="D693" s="38"/>
      <c r="E693" s="38"/>
      <c r="F693" s="38"/>
      <c r="G693" s="38"/>
      <c r="H693" s="41"/>
      <c r="I693" s="38"/>
      <c r="J693" s="60"/>
      <c r="K693" s="56"/>
    </row>
    <row r="694" spans="1:11" ht="20.05" customHeight="1" x14ac:dyDescent="0.2">
      <c r="A694" s="38"/>
      <c r="B694" s="36"/>
      <c r="C694" s="38"/>
      <c r="D694" s="38"/>
      <c r="E694" s="38"/>
      <c r="F694" s="38"/>
      <c r="G694" s="38"/>
      <c r="H694" s="41"/>
      <c r="I694" s="38"/>
      <c r="J694" s="60"/>
      <c r="K694" s="56"/>
    </row>
    <row r="695" spans="1:11" ht="20.05" customHeight="1" x14ac:dyDescent="0.2">
      <c r="A695" s="38"/>
      <c r="B695" s="36"/>
      <c r="C695" s="38"/>
      <c r="D695" s="38"/>
      <c r="E695" s="38"/>
      <c r="F695" s="38"/>
      <c r="G695" s="38"/>
      <c r="H695" s="41"/>
      <c r="I695" s="38"/>
      <c r="J695" s="60"/>
      <c r="K695" s="56"/>
    </row>
    <row r="696" spans="1:11" ht="20.05" customHeight="1" x14ac:dyDescent="0.2">
      <c r="A696" s="38"/>
      <c r="B696" s="36"/>
      <c r="C696" s="38"/>
      <c r="D696" s="38"/>
      <c r="E696" s="38"/>
      <c r="F696" s="38"/>
      <c r="G696" s="38"/>
      <c r="H696" s="41"/>
      <c r="I696" s="38"/>
      <c r="J696" s="60"/>
      <c r="K696" s="56"/>
    </row>
    <row r="697" spans="1:11" ht="20.05" customHeight="1" x14ac:dyDescent="0.2">
      <c r="A697" s="38"/>
      <c r="B697" s="36"/>
      <c r="C697" s="38"/>
      <c r="D697" s="38"/>
      <c r="E697" s="38"/>
      <c r="F697" s="38"/>
      <c r="G697" s="38"/>
      <c r="H697" s="41"/>
      <c r="I697" s="38"/>
      <c r="J697" s="60"/>
      <c r="K697" s="56"/>
    </row>
    <row r="698" spans="1:11" ht="20.05" customHeight="1" x14ac:dyDescent="0.2">
      <c r="A698" s="38"/>
      <c r="B698" s="36"/>
      <c r="C698" s="38"/>
      <c r="D698" s="38"/>
      <c r="E698" s="38"/>
      <c r="F698" s="38"/>
      <c r="G698" s="38"/>
      <c r="H698" s="41"/>
      <c r="I698" s="38"/>
      <c r="J698" s="60"/>
      <c r="K698" s="56"/>
    </row>
    <row r="699" spans="1:11" ht="20.05" customHeight="1" x14ac:dyDescent="0.2">
      <c r="A699" s="38"/>
      <c r="B699" s="36"/>
      <c r="C699" s="38"/>
      <c r="D699" s="38"/>
      <c r="E699" s="38"/>
      <c r="F699" s="38"/>
      <c r="G699" s="38"/>
      <c r="H699" s="41"/>
      <c r="I699" s="38"/>
      <c r="J699" s="60"/>
      <c r="K699" s="56"/>
    </row>
    <row r="700" spans="1:11" ht="20.05" customHeight="1" x14ac:dyDescent="0.2">
      <c r="A700" s="38"/>
      <c r="B700" s="36"/>
      <c r="C700" s="38"/>
      <c r="D700" s="38"/>
      <c r="E700" s="38"/>
      <c r="F700" s="38"/>
      <c r="G700" s="38"/>
      <c r="H700" s="41"/>
      <c r="I700" s="38"/>
      <c r="J700" s="60"/>
      <c r="K700" s="56"/>
    </row>
    <row r="701" spans="1:11" ht="20.05" customHeight="1" x14ac:dyDescent="0.2">
      <c r="A701" s="38"/>
      <c r="B701" s="36"/>
      <c r="C701" s="38"/>
      <c r="D701" s="38"/>
      <c r="E701" s="38"/>
      <c r="F701" s="38"/>
      <c r="G701" s="38"/>
      <c r="H701" s="41"/>
      <c r="I701" s="38"/>
      <c r="J701" s="60"/>
      <c r="K701" s="56"/>
    </row>
    <row r="702" spans="1:11" ht="20.05" customHeight="1" x14ac:dyDescent="0.2">
      <c r="A702" s="38"/>
      <c r="B702" s="36"/>
      <c r="C702" s="38"/>
      <c r="D702" s="38"/>
      <c r="E702" s="38"/>
      <c r="F702" s="38"/>
      <c r="G702" s="38"/>
      <c r="H702" s="41"/>
      <c r="I702" s="38"/>
      <c r="J702" s="60"/>
      <c r="K702" s="56"/>
    </row>
    <row r="703" spans="1:11" ht="20.05" customHeight="1" x14ac:dyDescent="0.2">
      <c r="A703" s="38"/>
      <c r="B703" s="36"/>
      <c r="C703" s="38"/>
      <c r="D703" s="38"/>
      <c r="E703" s="38"/>
      <c r="F703" s="38"/>
      <c r="G703" s="38"/>
      <c r="H703" s="41"/>
      <c r="I703" s="38"/>
      <c r="J703" s="60"/>
      <c r="K703" s="56"/>
    </row>
    <row r="704" spans="1:11" ht="20.05" customHeight="1" x14ac:dyDescent="0.2">
      <c r="A704" s="38"/>
      <c r="B704" s="36"/>
      <c r="C704" s="38"/>
      <c r="D704" s="38"/>
      <c r="E704" s="38"/>
      <c r="F704" s="38"/>
      <c r="G704" s="38"/>
      <c r="H704" s="41"/>
      <c r="I704" s="38"/>
      <c r="J704" s="60"/>
      <c r="K704" s="56"/>
    </row>
    <row r="705" spans="1:11" ht="20.05" customHeight="1" x14ac:dyDescent="0.2">
      <c r="A705" s="38"/>
      <c r="B705" s="36"/>
      <c r="C705" s="38"/>
      <c r="D705" s="38"/>
      <c r="E705" s="38"/>
      <c r="F705" s="38"/>
      <c r="G705" s="38"/>
      <c r="H705" s="41"/>
      <c r="I705" s="38"/>
      <c r="J705" s="60"/>
      <c r="K705" s="56"/>
    </row>
    <row r="706" spans="1:11" ht="20.05" customHeight="1" x14ac:dyDescent="0.2">
      <c r="A706" s="38"/>
      <c r="B706" s="36"/>
      <c r="C706" s="38"/>
      <c r="D706" s="38"/>
      <c r="E706" s="38"/>
      <c r="F706" s="38"/>
      <c r="G706" s="38"/>
      <c r="H706" s="41"/>
      <c r="I706" s="38"/>
      <c r="J706" s="60"/>
      <c r="K706" s="56"/>
    </row>
    <row r="707" spans="1:11" ht="20.05" customHeight="1" x14ac:dyDescent="0.2">
      <c r="A707" s="38"/>
      <c r="B707" s="36"/>
      <c r="C707" s="38"/>
      <c r="D707" s="38"/>
      <c r="E707" s="38"/>
      <c r="F707" s="38"/>
      <c r="G707" s="38"/>
      <c r="H707" s="41"/>
      <c r="I707" s="38"/>
      <c r="J707" s="60"/>
      <c r="K707" s="56"/>
    </row>
    <row r="708" spans="1:11" ht="20.05" customHeight="1" x14ac:dyDescent="0.2">
      <c r="A708" s="38"/>
      <c r="B708" s="36"/>
      <c r="C708" s="38"/>
      <c r="D708" s="38"/>
      <c r="E708" s="38"/>
      <c r="F708" s="38"/>
      <c r="G708" s="38"/>
      <c r="H708" s="41"/>
      <c r="I708" s="38"/>
      <c r="J708" s="60"/>
      <c r="K708" s="56"/>
    </row>
    <row r="709" spans="1:11" ht="20.05" customHeight="1" x14ac:dyDescent="0.2">
      <c r="A709" s="38"/>
      <c r="B709" s="36"/>
      <c r="C709" s="38"/>
      <c r="D709" s="38"/>
      <c r="E709" s="38"/>
      <c r="F709" s="38"/>
      <c r="G709" s="38"/>
      <c r="H709" s="41"/>
      <c r="I709" s="38"/>
      <c r="J709" s="60"/>
      <c r="K709" s="56"/>
    </row>
    <row r="710" spans="1:11" ht="20.05" customHeight="1" x14ac:dyDescent="0.2">
      <c r="A710" s="38"/>
      <c r="B710" s="36"/>
      <c r="C710" s="38"/>
      <c r="D710" s="38"/>
      <c r="E710" s="38"/>
      <c r="F710" s="38"/>
      <c r="G710" s="38"/>
      <c r="H710" s="41"/>
      <c r="I710" s="38"/>
      <c r="J710" s="60"/>
      <c r="K710" s="56"/>
    </row>
    <row r="711" spans="1:11" ht="20.05" customHeight="1" x14ac:dyDescent="0.2">
      <c r="A711" s="38"/>
      <c r="B711" s="36"/>
      <c r="C711" s="38"/>
      <c r="D711" s="38"/>
      <c r="E711" s="38"/>
      <c r="F711" s="38"/>
      <c r="G711" s="38"/>
      <c r="H711" s="41"/>
      <c r="I711" s="38"/>
      <c r="J711" s="60"/>
      <c r="K711" s="56"/>
    </row>
    <row r="712" spans="1:11" ht="20.05" customHeight="1" x14ac:dyDescent="0.2">
      <c r="A712" s="38"/>
      <c r="B712" s="36"/>
      <c r="C712" s="38"/>
      <c r="D712" s="38"/>
      <c r="E712" s="38"/>
      <c r="F712" s="38"/>
      <c r="G712" s="38"/>
      <c r="H712" s="41"/>
      <c r="I712" s="38"/>
      <c r="J712" s="60"/>
      <c r="K712" s="56"/>
    </row>
    <row r="713" spans="1:11" ht="20.05" customHeight="1" x14ac:dyDescent="0.2">
      <c r="A713" s="38"/>
      <c r="B713" s="36"/>
      <c r="C713" s="38"/>
      <c r="D713" s="38"/>
      <c r="E713" s="38"/>
      <c r="F713" s="38"/>
      <c r="G713" s="38"/>
      <c r="H713" s="41"/>
      <c r="I713" s="38"/>
      <c r="J713" s="60"/>
      <c r="K713" s="56"/>
    </row>
    <row r="714" spans="1:11" ht="20.05" customHeight="1" x14ac:dyDescent="0.2">
      <c r="A714" s="38"/>
      <c r="B714" s="36"/>
      <c r="C714" s="38"/>
      <c r="D714" s="38"/>
      <c r="E714" s="38"/>
      <c r="F714" s="38"/>
      <c r="G714" s="38"/>
      <c r="H714" s="41"/>
      <c r="I714" s="38"/>
      <c r="J714" s="60"/>
      <c r="K714" s="56"/>
    </row>
    <row r="715" spans="1:11" ht="20.05" customHeight="1" x14ac:dyDescent="0.2">
      <c r="A715" s="38"/>
      <c r="B715" s="36"/>
      <c r="C715" s="38"/>
      <c r="D715" s="38"/>
      <c r="E715" s="38"/>
      <c r="F715" s="38"/>
      <c r="G715" s="38"/>
      <c r="H715" s="41"/>
      <c r="I715" s="38"/>
      <c r="J715" s="60"/>
      <c r="K715" s="56"/>
    </row>
    <row r="716" spans="1:11" ht="20.05" customHeight="1" x14ac:dyDescent="0.2">
      <c r="A716" s="38"/>
      <c r="B716" s="36"/>
      <c r="C716" s="38"/>
      <c r="D716" s="38"/>
      <c r="E716" s="38"/>
      <c r="F716" s="38"/>
      <c r="G716" s="38"/>
      <c r="H716" s="41"/>
      <c r="I716" s="38"/>
      <c r="J716" s="60"/>
      <c r="K716" s="56"/>
    </row>
    <row r="717" spans="1:11" ht="20.05" customHeight="1" x14ac:dyDescent="0.2">
      <c r="A717" s="38"/>
      <c r="B717" s="36"/>
      <c r="C717" s="38"/>
      <c r="D717" s="38"/>
      <c r="E717" s="38"/>
      <c r="F717" s="38"/>
      <c r="G717" s="38"/>
      <c r="H717" s="41"/>
      <c r="I717" s="38"/>
      <c r="J717" s="60"/>
      <c r="K717" s="56"/>
    </row>
    <row r="718" spans="1:11" ht="20.05" customHeight="1" x14ac:dyDescent="0.2">
      <c r="A718" s="38"/>
      <c r="B718" s="36"/>
      <c r="C718" s="38"/>
      <c r="D718" s="38"/>
      <c r="E718" s="38"/>
      <c r="F718" s="38"/>
      <c r="G718" s="38"/>
      <c r="H718" s="41"/>
      <c r="I718" s="38"/>
      <c r="J718" s="60"/>
      <c r="K718" s="56"/>
    </row>
    <row r="719" spans="1:11" ht="20.05" customHeight="1" x14ac:dyDescent="0.2">
      <c r="A719" s="38"/>
      <c r="B719" s="36"/>
      <c r="C719" s="38"/>
      <c r="D719" s="38"/>
      <c r="E719" s="38"/>
      <c r="F719" s="38"/>
      <c r="G719" s="38"/>
      <c r="H719" s="41"/>
      <c r="I719" s="38"/>
      <c r="J719" s="60"/>
      <c r="K719" s="56"/>
    </row>
    <row r="720" spans="1:11" ht="20.05" customHeight="1" x14ac:dyDescent="0.2">
      <c r="A720" s="38"/>
      <c r="B720" s="36"/>
      <c r="C720" s="38"/>
      <c r="D720" s="38"/>
      <c r="E720" s="38"/>
      <c r="F720" s="38"/>
      <c r="G720" s="38"/>
      <c r="H720" s="41"/>
      <c r="I720" s="38"/>
      <c r="J720" s="60"/>
      <c r="K720" s="56"/>
    </row>
    <row r="721" spans="1:11" ht="20.05" customHeight="1" x14ac:dyDescent="0.2">
      <c r="A721" s="38"/>
      <c r="B721" s="36"/>
      <c r="C721" s="38"/>
      <c r="D721" s="38"/>
      <c r="E721" s="38"/>
      <c r="F721" s="38"/>
      <c r="G721" s="38"/>
      <c r="H721" s="41"/>
      <c r="I721" s="38"/>
      <c r="J721" s="60"/>
      <c r="K721" s="56"/>
    </row>
    <row r="722" spans="1:11" ht="20.05" customHeight="1" x14ac:dyDescent="0.2">
      <c r="A722" s="38"/>
      <c r="B722" s="36"/>
      <c r="C722" s="38"/>
      <c r="D722" s="38"/>
      <c r="E722" s="38"/>
      <c r="F722" s="38"/>
      <c r="G722" s="38"/>
      <c r="H722" s="41"/>
      <c r="I722" s="38"/>
      <c r="J722" s="60"/>
      <c r="K722" s="56"/>
    </row>
    <row r="723" spans="1:11" ht="20.05" customHeight="1" x14ac:dyDescent="0.2">
      <c r="A723" s="38"/>
      <c r="B723" s="36"/>
      <c r="C723" s="38"/>
      <c r="D723" s="38"/>
      <c r="E723" s="38"/>
      <c r="F723" s="38"/>
      <c r="G723" s="38"/>
      <c r="H723" s="41"/>
      <c r="I723" s="38"/>
      <c r="J723" s="60"/>
      <c r="K723" s="56"/>
    </row>
    <row r="724" spans="1:11" ht="20.05" customHeight="1" x14ac:dyDescent="0.2">
      <c r="A724" s="38"/>
      <c r="B724" s="36"/>
      <c r="C724" s="38"/>
      <c r="D724" s="38"/>
      <c r="E724" s="38"/>
      <c r="F724" s="38"/>
      <c r="G724" s="38"/>
      <c r="H724" s="41"/>
      <c r="I724" s="38"/>
      <c r="J724" s="60"/>
      <c r="K724" s="56"/>
    </row>
    <row r="725" spans="1:11" ht="20.05" customHeight="1" x14ac:dyDescent="0.2">
      <c r="A725" s="38"/>
      <c r="B725" s="36"/>
      <c r="C725" s="38"/>
      <c r="D725" s="38"/>
      <c r="E725" s="38"/>
      <c r="F725" s="38"/>
      <c r="G725" s="38"/>
      <c r="H725" s="41"/>
      <c r="I725" s="38"/>
      <c r="J725" s="60"/>
      <c r="K725" s="56"/>
    </row>
    <row r="726" spans="1:11" ht="20.05" customHeight="1" x14ac:dyDescent="0.2">
      <c r="A726" s="38"/>
      <c r="B726" s="36"/>
      <c r="C726" s="38"/>
      <c r="D726" s="38"/>
      <c r="E726" s="38"/>
      <c r="F726" s="38"/>
      <c r="G726" s="38"/>
      <c r="H726" s="41"/>
      <c r="I726" s="38"/>
      <c r="J726" s="60"/>
      <c r="K726" s="56"/>
    </row>
    <row r="727" spans="1:11" ht="20.05" customHeight="1" x14ac:dyDescent="0.2">
      <c r="A727" s="38"/>
      <c r="B727" s="36"/>
      <c r="C727" s="38"/>
      <c r="D727" s="38"/>
      <c r="E727" s="38"/>
      <c r="F727" s="38"/>
      <c r="G727" s="38"/>
      <c r="H727" s="41"/>
      <c r="I727" s="38"/>
      <c r="J727" s="60"/>
      <c r="K727" s="56"/>
    </row>
    <row r="728" spans="1:11" ht="20.05" customHeight="1" x14ac:dyDescent="0.2">
      <c r="A728" s="38"/>
      <c r="B728" s="36"/>
      <c r="C728" s="38"/>
      <c r="D728" s="38"/>
      <c r="E728" s="38"/>
      <c r="F728" s="38"/>
      <c r="G728" s="38"/>
      <c r="H728" s="41"/>
      <c r="I728" s="38"/>
      <c r="J728" s="60"/>
      <c r="K728" s="56"/>
    </row>
    <row r="729" spans="1:11" ht="20.05" customHeight="1" x14ac:dyDescent="0.2">
      <c r="A729" s="38"/>
      <c r="B729" s="36"/>
      <c r="C729" s="38"/>
      <c r="D729" s="38"/>
      <c r="E729" s="38"/>
      <c r="F729" s="38"/>
      <c r="G729" s="38"/>
      <c r="H729" s="41"/>
      <c r="I729" s="38"/>
      <c r="J729" s="60"/>
      <c r="K729" s="56"/>
    </row>
    <row r="730" spans="1:11" ht="20.05" customHeight="1" x14ac:dyDescent="0.2">
      <c r="A730" s="38"/>
      <c r="B730" s="36"/>
      <c r="C730" s="38"/>
      <c r="D730" s="38"/>
      <c r="E730" s="38"/>
      <c r="F730" s="38"/>
      <c r="G730" s="38"/>
      <c r="H730" s="41"/>
      <c r="I730" s="38"/>
      <c r="J730" s="60"/>
      <c r="K730" s="56"/>
    </row>
    <row r="731" spans="1:11" ht="20.05" customHeight="1" x14ac:dyDescent="0.2">
      <c r="A731" s="38"/>
      <c r="B731" s="36"/>
      <c r="C731" s="38"/>
      <c r="D731" s="38"/>
      <c r="E731" s="38"/>
      <c r="F731" s="38"/>
      <c r="G731" s="38"/>
      <c r="H731" s="41"/>
      <c r="I731" s="38"/>
      <c r="J731" s="60"/>
      <c r="K731" s="56"/>
    </row>
    <row r="732" spans="1:11" ht="20.05" customHeight="1" x14ac:dyDescent="0.2">
      <c r="A732" s="38"/>
      <c r="B732" s="36"/>
      <c r="C732" s="38"/>
      <c r="D732" s="38"/>
      <c r="E732" s="38"/>
      <c r="F732" s="38"/>
      <c r="G732" s="38"/>
      <c r="H732" s="41"/>
      <c r="I732" s="38"/>
      <c r="J732" s="60"/>
      <c r="K732" s="56"/>
    </row>
    <row r="733" spans="1:11" ht="20.05" customHeight="1" x14ac:dyDescent="0.2">
      <c r="A733" s="38"/>
      <c r="B733" s="36"/>
      <c r="C733" s="38"/>
      <c r="D733" s="38"/>
      <c r="E733" s="38"/>
      <c r="F733" s="38"/>
      <c r="G733" s="38"/>
      <c r="H733" s="41"/>
      <c r="I733" s="38"/>
      <c r="J733" s="60"/>
      <c r="K733" s="56"/>
    </row>
    <row r="734" spans="1:11" ht="20.05" customHeight="1" x14ac:dyDescent="0.2">
      <c r="A734" s="38"/>
      <c r="B734" s="36"/>
      <c r="C734" s="38"/>
      <c r="D734" s="38"/>
      <c r="E734" s="38"/>
      <c r="F734" s="38"/>
      <c r="G734" s="38"/>
      <c r="H734" s="41"/>
      <c r="I734" s="38"/>
      <c r="J734" s="60"/>
      <c r="K734" s="56"/>
    </row>
    <row r="735" spans="1:11" ht="20.05" customHeight="1" x14ac:dyDescent="0.2">
      <c r="A735" s="38"/>
      <c r="B735" s="36"/>
      <c r="C735" s="38"/>
      <c r="D735" s="38"/>
      <c r="E735" s="38"/>
      <c r="F735" s="38"/>
      <c r="G735" s="38"/>
      <c r="H735" s="41"/>
      <c r="I735" s="38"/>
      <c r="J735" s="60"/>
      <c r="K735" s="56"/>
    </row>
    <row r="736" spans="1:11" ht="20.05" customHeight="1" x14ac:dyDescent="0.2">
      <c r="A736" s="38"/>
      <c r="B736" s="36"/>
      <c r="C736" s="38"/>
      <c r="D736" s="38"/>
      <c r="E736" s="38"/>
      <c r="F736" s="38"/>
      <c r="G736" s="38"/>
      <c r="H736" s="41"/>
      <c r="I736" s="38"/>
      <c r="J736" s="60"/>
      <c r="K736" s="56"/>
    </row>
    <row r="737" spans="1:11" ht="20.05" customHeight="1" x14ac:dyDescent="0.2">
      <c r="A737" s="38"/>
      <c r="B737" s="36"/>
      <c r="C737" s="38"/>
      <c r="D737" s="38"/>
      <c r="E737" s="38"/>
      <c r="F737" s="38"/>
      <c r="G737" s="38"/>
      <c r="H737" s="41"/>
      <c r="I737" s="38"/>
      <c r="J737" s="60"/>
      <c r="K737" s="56"/>
    </row>
    <row r="738" spans="1:11" ht="20.05" customHeight="1" x14ac:dyDescent="0.2">
      <c r="A738" s="38"/>
      <c r="B738" s="36"/>
      <c r="C738" s="38"/>
      <c r="D738" s="38"/>
      <c r="E738" s="38"/>
      <c r="F738" s="38"/>
      <c r="G738" s="38"/>
      <c r="H738" s="41"/>
      <c r="I738" s="38"/>
      <c r="J738" s="60"/>
      <c r="K738" s="56"/>
    </row>
    <row r="739" spans="1:11" ht="20.05" customHeight="1" x14ac:dyDescent="0.2">
      <c r="A739" s="38"/>
      <c r="B739" s="36"/>
      <c r="C739" s="38"/>
      <c r="D739" s="38"/>
      <c r="E739" s="38"/>
      <c r="F739" s="38"/>
      <c r="G739" s="38"/>
      <c r="H739" s="41"/>
      <c r="I739" s="38"/>
      <c r="J739" s="60"/>
      <c r="K739" s="56"/>
    </row>
    <row r="740" spans="1:11" ht="20.05" customHeight="1" x14ac:dyDescent="0.2">
      <c r="A740" s="38"/>
      <c r="B740" s="36"/>
      <c r="C740" s="38"/>
      <c r="D740" s="38"/>
      <c r="E740" s="38"/>
      <c r="F740" s="38"/>
      <c r="G740" s="38"/>
      <c r="H740" s="41"/>
      <c r="I740" s="38"/>
      <c r="J740" s="60"/>
      <c r="K740" s="56"/>
    </row>
    <row r="741" spans="1:11" ht="20.05" customHeight="1" x14ac:dyDescent="0.2">
      <c r="A741" s="38"/>
      <c r="B741" s="36"/>
      <c r="C741" s="38"/>
      <c r="D741" s="38"/>
      <c r="E741" s="38"/>
      <c r="F741" s="38"/>
      <c r="G741" s="38"/>
      <c r="H741" s="41"/>
      <c r="I741" s="38"/>
      <c r="J741" s="60"/>
      <c r="K741" s="56"/>
    </row>
    <row r="742" spans="1:11" ht="20.05" customHeight="1" x14ac:dyDescent="0.2">
      <c r="A742" s="38"/>
      <c r="B742" s="36"/>
      <c r="C742" s="38"/>
      <c r="D742" s="38"/>
      <c r="E742" s="38"/>
      <c r="F742" s="38"/>
      <c r="G742" s="38"/>
      <c r="H742" s="41"/>
      <c r="I742" s="38"/>
      <c r="J742" s="60"/>
      <c r="K742" s="56"/>
    </row>
    <row r="743" spans="1:11" ht="20.05" customHeight="1" x14ac:dyDescent="0.2">
      <c r="A743" s="38"/>
      <c r="B743" s="36"/>
      <c r="C743" s="38"/>
      <c r="D743" s="38"/>
      <c r="E743" s="38"/>
      <c r="F743" s="38"/>
      <c r="G743" s="38"/>
      <c r="H743" s="41"/>
      <c r="I743" s="38"/>
      <c r="J743" s="60"/>
      <c r="K743" s="56"/>
    </row>
    <row r="744" spans="1:11" ht="20.05" customHeight="1" x14ac:dyDescent="0.2">
      <c r="A744" s="38"/>
      <c r="B744" s="36"/>
      <c r="C744" s="38"/>
      <c r="D744" s="38"/>
      <c r="E744" s="38"/>
      <c r="F744" s="38"/>
      <c r="G744" s="38"/>
      <c r="H744" s="41"/>
      <c r="I744" s="38"/>
      <c r="J744" s="60"/>
      <c r="K744" s="56"/>
    </row>
    <row r="745" spans="1:11" ht="20.05" customHeight="1" x14ac:dyDescent="0.2">
      <c r="A745" s="38"/>
      <c r="B745" s="36"/>
      <c r="C745" s="38"/>
      <c r="D745" s="38"/>
      <c r="E745" s="38"/>
      <c r="F745" s="38"/>
      <c r="G745" s="38"/>
      <c r="H745" s="41"/>
      <c r="I745" s="38"/>
      <c r="J745" s="60"/>
      <c r="K745" s="56"/>
    </row>
    <row r="746" spans="1:11" ht="20.05" customHeight="1" x14ac:dyDescent="0.2">
      <c r="A746" s="38"/>
      <c r="B746" s="36"/>
      <c r="C746" s="38"/>
      <c r="D746" s="38"/>
      <c r="E746" s="38"/>
      <c r="F746" s="38"/>
      <c r="G746" s="38"/>
      <c r="H746" s="41"/>
      <c r="I746" s="38"/>
      <c r="J746" s="60"/>
      <c r="K746" s="56"/>
    </row>
    <row r="747" spans="1:11" ht="20.05" customHeight="1" x14ac:dyDescent="0.2">
      <c r="A747" s="38"/>
      <c r="B747" s="36"/>
      <c r="C747" s="38"/>
      <c r="D747" s="38"/>
      <c r="E747" s="38"/>
      <c r="F747" s="38"/>
      <c r="G747" s="38"/>
      <c r="H747" s="41"/>
      <c r="I747" s="38"/>
      <c r="J747" s="60"/>
      <c r="K747" s="56"/>
    </row>
    <row r="748" spans="1:11" ht="20.05" customHeight="1" x14ac:dyDescent="0.2">
      <c r="A748" s="38"/>
      <c r="B748" s="36"/>
      <c r="C748" s="38"/>
      <c r="D748" s="38"/>
      <c r="E748" s="38"/>
      <c r="F748" s="38"/>
      <c r="G748" s="38"/>
      <c r="H748" s="41"/>
      <c r="I748" s="38"/>
      <c r="J748" s="60"/>
      <c r="K748" s="56"/>
    </row>
    <row r="749" spans="1:11" ht="20.05" customHeight="1" x14ac:dyDescent="0.2">
      <c r="A749" s="38"/>
      <c r="B749" s="36"/>
      <c r="C749" s="38"/>
      <c r="D749" s="38"/>
      <c r="E749" s="38"/>
      <c r="F749" s="38"/>
      <c r="G749" s="38"/>
      <c r="H749" s="41"/>
      <c r="I749" s="38"/>
      <c r="J749" s="60"/>
      <c r="K749" s="56"/>
    </row>
    <row r="750" spans="1:11" ht="20.05" customHeight="1" x14ac:dyDescent="0.2">
      <c r="A750" s="38"/>
      <c r="B750" s="36"/>
      <c r="C750" s="38"/>
      <c r="D750" s="38"/>
      <c r="E750" s="38"/>
      <c r="F750" s="38"/>
      <c r="G750" s="38"/>
      <c r="H750" s="41"/>
      <c r="I750" s="38"/>
      <c r="J750" s="60"/>
      <c r="K750" s="56"/>
    </row>
    <row r="751" spans="1:11" ht="20.05" customHeight="1" x14ac:dyDescent="0.2">
      <c r="A751" s="38"/>
      <c r="B751" s="36"/>
      <c r="C751" s="38"/>
      <c r="D751" s="38"/>
      <c r="E751" s="38"/>
      <c r="F751" s="38"/>
      <c r="G751" s="38"/>
      <c r="H751" s="41"/>
      <c r="I751" s="38"/>
      <c r="J751" s="60"/>
      <c r="K751" s="56"/>
    </row>
    <row r="752" spans="1:11" ht="20.05" customHeight="1" x14ac:dyDescent="0.2">
      <c r="A752" s="38"/>
      <c r="B752" s="36"/>
      <c r="C752" s="38"/>
      <c r="D752" s="38"/>
      <c r="E752" s="38"/>
      <c r="F752" s="38"/>
      <c r="G752" s="38"/>
      <c r="H752" s="41"/>
      <c r="I752" s="38"/>
      <c r="J752" s="60"/>
      <c r="K752" s="56"/>
    </row>
    <row r="753" spans="1:11" ht="20.05" customHeight="1" x14ac:dyDescent="0.2">
      <c r="A753" s="38"/>
      <c r="B753" s="36"/>
      <c r="C753" s="38"/>
      <c r="D753" s="38"/>
      <c r="E753" s="38"/>
      <c r="F753" s="38"/>
      <c r="G753" s="38"/>
      <c r="H753" s="41"/>
      <c r="I753" s="38"/>
      <c r="J753" s="60"/>
      <c r="K753" s="56"/>
    </row>
    <row r="754" spans="1:11" ht="20.05" customHeight="1" x14ac:dyDescent="0.2">
      <c r="A754" s="38"/>
      <c r="B754" s="36"/>
      <c r="C754" s="38"/>
      <c r="D754" s="38"/>
      <c r="E754" s="38"/>
      <c r="F754" s="38"/>
      <c r="G754" s="38"/>
      <c r="H754" s="41"/>
      <c r="I754" s="38"/>
      <c r="J754" s="60"/>
      <c r="K754" s="56"/>
    </row>
    <row r="755" spans="1:11" ht="20.05" customHeight="1" x14ac:dyDescent="0.2">
      <c r="A755" s="38"/>
      <c r="B755" s="36"/>
      <c r="C755" s="38"/>
      <c r="D755" s="38"/>
      <c r="E755" s="38"/>
      <c r="F755" s="38"/>
      <c r="G755" s="38"/>
      <c r="H755" s="41"/>
      <c r="I755" s="38"/>
      <c r="J755" s="60"/>
      <c r="K755" s="56"/>
    </row>
    <row r="756" spans="1:11" ht="20.05" customHeight="1" x14ac:dyDescent="0.2">
      <c r="A756" s="38"/>
      <c r="B756" s="36"/>
      <c r="C756" s="38"/>
      <c r="D756" s="38"/>
      <c r="E756" s="38"/>
      <c r="F756" s="38"/>
      <c r="G756" s="38"/>
      <c r="H756" s="41"/>
      <c r="I756" s="38"/>
      <c r="J756" s="60"/>
      <c r="K756" s="56"/>
    </row>
    <row r="757" spans="1:11" ht="20.05" customHeight="1" x14ac:dyDescent="0.2">
      <c r="A757" s="38"/>
      <c r="B757" s="36"/>
      <c r="C757" s="38"/>
      <c r="D757" s="38"/>
      <c r="E757" s="38"/>
      <c r="F757" s="38"/>
      <c r="G757" s="38"/>
      <c r="H757" s="41"/>
      <c r="I757" s="38"/>
      <c r="J757" s="60"/>
      <c r="K757" s="56"/>
    </row>
    <row r="758" spans="1:11" ht="20.05" customHeight="1" x14ac:dyDescent="0.2">
      <c r="A758" s="38"/>
      <c r="B758" s="36"/>
      <c r="C758" s="38"/>
      <c r="D758" s="38"/>
      <c r="E758" s="38"/>
      <c r="F758" s="38"/>
      <c r="G758" s="38"/>
      <c r="H758" s="41"/>
      <c r="I758" s="38"/>
      <c r="J758" s="60"/>
      <c r="K758" s="56"/>
    </row>
    <row r="759" spans="1:11" ht="20.05" customHeight="1" x14ac:dyDescent="0.2">
      <c r="A759" s="38"/>
      <c r="B759" s="36"/>
      <c r="C759" s="38"/>
      <c r="D759" s="38"/>
      <c r="E759" s="38"/>
      <c r="F759" s="38"/>
      <c r="G759" s="38"/>
      <c r="H759" s="41"/>
      <c r="I759" s="38"/>
      <c r="J759" s="60"/>
      <c r="K759" s="56"/>
    </row>
    <row r="760" spans="1:11" ht="20.05" customHeight="1" x14ac:dyDescent="0.2">
      <c r="A760" s="38"/>
      <c r="B760" s="36"/>
      <c r="C760" s="38"/>
      <c r="D760" s="38"/>
      <c r="E760" s="38"/>
      <c r="F760" s="38"/>
      <c r="G760" s="38"/>
      <c r="H760" s="41"/>
      <c r="I760" s="38"/>
      <c r="J760" s="60"/>
      <c r="K760" s="56"/>
    </row>
    <row r="761" spans="1:11" ht="20.05" customHeight="1" x14ac:dyDescent="0.2">
      <c r="A761" s="38"/>
      <c r="B761" s="36"/>
      <c r="C761" s="38"/>
      <c r="D761" s="38"/>
      <c r="E761" s="38"/>
      <c r="F761" s="38"/>
      <c r="G761" s="38"/>
      <c r="H761" s="41"/>
      <c r="I761" s="38"/>
      <c r="J761" s="60"/>
      <c r="K761" s="56"/>
    </row>
    <row r="762" spans="1:11" ht="20.05" customHeight="1" x14ac:dyDescent="0.2">
      <c r="A762" s="38"/>
      <c r="B762" s="36"/>
      <c r="C762" s="38"/>
      <c r="D762" s="38"/>
      <c r="E762" s="38"/>
      <c r="F762" s="38"/>
      <c r="G762" s="38"/>
      <c r="H762" s="41"/>
      <c r="I762" s="38"/>
      <c r="J762" s="60"/>
      <c r="K762" s="56"/>
    </row>
    <row r="763" spans="1:11" ht="20.05" customHeight="1" x14ac:dyDescent="0.2">
      <c r="A763" s="38"/>
      <c r="B763" s="36"/>
      <c r="C763" s="38"/>
      <c r="D763" s="38"/>
      <c r="E763" s="38"/>
      <c r="F763" s="38"/>
      <c r="G763" s="38"/>
      <c r="H763" s="41"/>
      <c r="I763" s="38"/>
      <c r="J763" s="60"/>
      <c r="K763" s="56"/>
    </row>
    <row r="764" spans="1:11" ht="20.05" customHeight="1" x14ac:dyDescent="0.2">
      <c r="A764" s="38"/>
      <c r="B764" s="36"/>
      <c r="C764" s="38"/>
      <c r="D764" s="38"/>
      <c r="E764" s="38"/>
      <c r="F764" s="38"/>
      <c r="G764" s="38"/>
      <c r="H764" s="41"/>
      <c r="I764" s="38"/>
      <c r="J764" s="60"/>
      <c r="K764" s="56"/>
    </row>
    <row r="765" spans="1:11" ht="20.05" customHeight="1" x14ac:dyDescent="0.2">
      <c r="A765" s="38"/>
      <c r="B765" s="36"/>
      <c r="C765" s="38"/>
      <c r="D765" s="38"/>
      <c r="E765" s="38"/>
      <c r="F765" s="38"/>
      <c r="G765" s="38"/>
      <c r="H765" s="41"/>
      <c r="I765" s="38"/>
      <c r="J765" s="60"/>
      <c r="K765" s="56"/>
    </row>
    <row r="766" spans="1:11" ht="20.05" customHeight="1" x14ac:dyDescent="0.2">
      <c r="A766" s="38"/>
      <c r="B766" s="36"/>
      <c r="C766" s="38"/>
      <c r="D766" s="38"/>
      <c r="E766" s="38"/>
      <c r="F766" s="38"/>
      <c r="G766" s="38"/>
      <c r="H766" s="41"/>
      <c r="I766" s="38"/>
      <c r="J766" s="60"/>
      <c r="K766" s="56"/>
    </row>
    <row r="767" spans="1:11" ht="20.05" customHeight="1" x14ac:dyDescent="0.2">
      <c r="A767" s="38"/>
      <c r="B767" s="36"/>
      <c r="C767" s="38"/>
      <c r="D767" s="38"/>
      <c r="E767" s="38"/>
      <c r="F767" s="38"/>
      <c r="G767" s="38"/>
      <c r="H767" s="41"/>
      <c r="I767" s="38"/>
      <c r="J767" s="60"/>
      <c r="K767" s="56"/>
    </row>
    <row r="768" spans="1:11" ht="20.05" customHeight="1" x14ac:dyDescent="0.2">
      <c r="A768" s="38"/>
      <c r="B768" s="36"/>
      <c r="C768" s="38"/>
      <c r="D768" s="38"/>
      <c r="E768" s="38"/>
      <c r="F768" s="38"/>
      <c r="G768" s="38"/>
      <c r="H768" s="41"/>
      <c r="I768" s="38"/>
      <c r="J768" s="60"/>
      <c r="K768" s="56"/>
    </row>
    <row r="769" spans="1:11" ht="20.05" customHeight="1" x14ac:dyDescent="0.2">
      <c r="A769" s="38"/>
      <c r="B769" s="36"/>
      <c r="C769" s="38"/>
      <c r="D769" s="38"/>
      <c r="E769" s="38"/>
      <c r="F769" s="38"/>
      <c r="G769" s="38"/>
      <c r="H769" s="41"/>
      <c r="I769" s="38"/>
      <c r="J769" s="60"/>
      <c r="K769" s="56"/>
    </row>
    <row r="770" spans="1:11" ht="20.05" customHeight="1" x14ac:dyDescent="0.2">
      <c r="A770" s="38"/>
      <c r="B770" s="36"/>
      <c r="C770" s="38"/>
      <c r="D770" s="38"/>
      <c r="E770" s="38"/>
      <c r="F770" s="38"/>
      <c r="G770" s="38"/>
      <c r="H770" s="41"/>
      <c r="I770" s="38"/>
      <c r="J770" s="60"/>
      <c r="K770" s="56"/>
    </row>
    <row r="771" spans="1:11" ht="20.05" customHeight="1" x14ac:dyDescent="0.2">
      <c r="A771" s="38"/>
      <c r="B771" s="36"/>
      <c r="C771" s="38"/>
      <c r="D771" s="38"/>
      <c r="E771" s="38"/>
      <c r="F771" s="38"/>
      <c r="G771" s="38"/>
      <c r="H771" s="41"/>
      <c r="I771" s="38"/>
      <c r="J771" s="60"/>
      <c r="K771" s="56"/>
    </row>
    <row r="772" spans="1:11" ht="20.05" customHeight="1" x14ac:dyDescent="0.2">
      <c r="A772" s="38"/>
      <c r="B772" s="36"/>
      <c r="C772" s="38"/>
      <c r="D772" s="38"/>
      <c r="E772" s="38"/>
      <c r="F772" s="38"/>
      <c r="G772" s="38"/>
      <c r="H772" s="41"/>
      <c r="I772" s="38"/>
      <c r="J772" s="60"/>
      <c r="K772" s="56"/>
    </row>
    <row r="773" spans="1:11" ht="20.05" customHeight="1" x14ac:dyDescent="0.2">
      <c r="A773" s="38"/>
      <c r="B773" s="36"/>
      <c r="C773" s="38"/>
      <c r="D773" s="38"/>
      <c r="E773" s="38"/>
      <c r="F773" s="38"/>
      <c r="G773" s="38"/>
      <c r="H773" s="41"/>
      <c r="I773" s="38"/>
      <c r="J773" s="60"/>
      <c r="K773" s="56"/>
    </row>
    <row r="774" spans="1:11" ht="20.05" customHeight="1" x14ac:dyDescent="0.2">
      <c r="A774" s="38"/>
      <c r="B774" s="36"/>
      <c r="C774" s="38"/>
      <c r="D774" s="38"/>
      <c r="E774" s="38"/>
      <c r="F774" s="38"/>
      <c r="G774" s="38"/>
      <c r="H774" s="41"/>
      <c r="I774" s="38"/>
      <c r="J774" s="60"/>
      <c r="K774" s="56"/>
    </row>
    <row r="775" spans="1:11" ht="20.05" customHeight="1" x14ac:dyDescent="0.2">
      <c r="A775" s="38"/>
      <c r="B775" s="36"/>
      <c r="C775" s="38"/>
      <c r="D775" s="38"/>
      <c r="E775" s="38"/>
      <c r="F775" s="38"/>
      <c r="G775" s="38"/>
      <c r="H775" s="41"/>
      <c r="I775" s="38"/>
      <c r="J775" s="60"/>
      <c r="K775" s="56"/>
    </row>
    <row r="776" spans="1:11" ht="20.05" customHeight="1" x14ac:dyDescent="0.2">
      <c r="A776" s="38"/>
      <c r="B776" s="36"/>
      <c r="C776" s="38"/>
      <c r="D776" s="38"/>
      <c r="E776" s="38"/>
      <c r="F776" s="38"/>
      <c r="G776" s="38"/>
      <c r="H776" s="41"/>
      <c r="I776" s="38"/>
      <c r="J776" s="60"/>
      <c r="K776" s="56"/>
    </row>
    <row r="777" spans="1:11" ht="20.05" customHeight="1" x14ac:dyDescent="0.2">
      <c r="A777" s="38"/>
      <c r="B777" s="36"/>
      <c r="C777" s="38"/>
      <c r="D777" s="38"/>
      <c r="E777" s="38"/>
      <c r="F777" s="38"/>
      <c r="G777" s="38"/>
      <c r="H777" s="41"/>
      <c r="I777" s="38"/>
      <c r="J777" s="60"/>
      <c r="K777" s="56"/>
    </row>
    <row r="778" spans="1:11" ht="20.05" customHeight="1" x14ac:dyDescent="0.2">
      <c r="A778" s="38"/>
      <c r="B778" s="36"/>
      <c r="C778" s="38"/>
      <c r="D778" s="38"/>
      <c r="E778" s="38"/>
      <c r="F778" s="38"/>
      <c r="G778" s="38"/>
      <c r="H778" s="41"/>
      <c r="I778" s="38"/>
      <c r="J778" s="60"/>
      <c r="K778" s="56"/>
    </row>
    <row r="779" spans="1:11" ht="20.05" customHeight="1" x14ac:dyDescent="0.2">
      <c r="A779" s="38"/>
      <c r="B779" s="36"/>
      <c r="C779" s="38"/>
      <c r="D779" s="38"/>
      <c r="E779" s="38"/>
      <c r="F779" s="38"/>
      <c r="G779" s="38"/>
      <c r="H779" s="41"/>
      <c r="I779" s="38"/>
      <c r="J779" s="60"/>
      <c r="K779" s="56"/>
    </row>
    <row r="780" spans="1:11" ht="20.05" customHeight="1" x14ac:dyDescent="0.2">
      <c r="A780" s="38"/>
      <c r="B780" s="36"/>
      <c r="C780" s="38"/>
      <c r="D780" s="38"/>
      <c r="E780" s="38"/>
      <c r="F780" s="38"/>
      <c r="G780" s="38"/>
      <c r="H780" s="41"/>
      <c r="I780" s="38"/>
      <c r="J780" s="60"/>
      <c r="K780" s="56"/>
    </row>
    <row r="781" spans="1:11" ht="20.05" customHeight="1" x14ac:dyDescent="0.2">
      <c r="A781" s="38"/>
      <c r="B781" s="36"/>
      <c r="C781" s="38"/>
      <c r="D781" s="38"/>
      <c r="E781" s="38"/>
      <c r="F781" s="38"/>
      <c r="G781" s="38"/>
      <c r="H781" s="41"/>
      <c r="I781" s="38"/>
      <c r="J781" s="60"/>
      <c r="K781" s="56"/>
    </row>
    <row r="782" spans="1:11" ht="20.05" customHeight="1" x14ac:dyDescent="0.2">
      <c r="A782" s="38"/>
      <c r="B782" s="36"/>
      <c r="C782" s="38"/>
      <c r="D782" s="38"/>
      <c r="E782" s="38"/>
      <c r="F782" s="38"/>
      <c r="G782" s="38"/>
      <c r="H782" s="41"/>
      <c r="I782" s="38"/>
      <c r="J782" s="60"/>
      <c r="K782" s="56"/>
    </row>
    <row r="783" spans="1:11" ht="20.05" customHeight="1" x14ac:dyDescent="0.2">
      <c r="A783" s="38"/>
      <c r="B783" s="36"/>
      <c r="C783" s="38"/>
      <c r="D783" s="38"/>
      <c r="E783" s="38"/>
      <c r="F783" s="38"/>
      <c r="G783" s="38"/>
      <c r="H783" s="41"/>
      <c r="I783" s="38"/>
      <c r="J783" s="60"/>
      <c r="K783" s="56"/>
    </row>
    <row r="784" spans="1:11" ht="20.05" customHeight="1" x14ac:dyDescent="0.2">
      <c r="A784" s="38"/>
      <c r="B784" s="36"/>
      <c r="C784" s="38"/>
      <c r="D784" s="38"/>
      <c r="E784" s="38"/>
      <c r="F784" s="38"/>
      <c r="G784" s="38"/>
      <c r="H784" s="41"/>
      <c r="I784" s="38"/>
      <c r="J784" s="60"/>
      <c r="K784" s="56"/>
    </row>
    <row r="785" spans="1:11" ht="20.05" customHeight="1" x14ac:dyDescent="0.2">
      <c r="A785" s="38"/>
      <c r="B785" s="36"/>
      <c r="C785" s="38"/>
      <c r="D785" s="38"/>
      <c r="E785" s="38"/>
      <c r="F785" s="38"/>
      <c r="G785" s="38"/>
      <c r="H785" s="41"/>
      <c r="I785" s="38"/>
      <c r="J785" s="60"/>
      <c r="K785" s="56"/>
    </row>
    <row r="786" spans="1:11" ht="20.05" customHeight="1" x14ac:dyDescent="0.2">
      <c r="A786" s="38"/>
      <c r="B786" s="36"/>
      <c r="C786" s="38"/>
      <c r="D786" s="38"/>
      <c r="E786" s="38"/>
      <c r="F786" s="38"/>
      <c r="G786" s="38"/>
      <c r="H786" s="41"/>
      <c r="I786" s="38"/>
      <c r="J786" s="60"/>
      <c r="K786" s="56"/>
    </row>
    <row r="787" spans="1:11" ht="20.05" customHeight="1" x14ac:dyDescent="0.2">
      <c r="A787" s="38"/>
      <c r="B787" s="36"/>
      <c r="C787" s="38"/>
      <c r="D787" s="38"/>
      <c r="E787" s="38"/>
      <c r="F787" s="38"/>
      <c r="G787" s="38"/>
      <c r="H787" s="41"/>
      <c r="I787" s="38"/>
      <c r="J787" s="60"/>
      <c r="K787" s="56"/>
    </row>
    <row r="788" spans="1:11" ht="20.05" customHeight="1" x14ac:dyDescent="0.2">
      <c r="A788" s="38"/>
      <c r="B788" s="36"/>
      <c r="C788" s="38"/>
      <c r="D788" s="38"/>
      <c r="E788" s="38"/>
      <c r="F788" s="38"/>
      <c r="G788" s="38"/>
      <c r="H788" s="41"/>
      <c r="I788" s="38"/>
      <c r="J788" s="60"/>
      <c r="K788" s="56"/>
    </row>
    <row r="789" spans="1:11" ht="20.05" customHeight="1" x14ac:dyDescent="0.2">
      <c r="A789" s="38"/>
      <c r="B789" s="36"/>
      <c r="C789" s="38"/>
      <c r="D789" s="38"/>
      <c r="E789" s="38"/>
      <c r="F789" s="38"/>
      <c r="G789" s="38"/>
      <c r="H789" s="41"/>
      <c r="I789" s="38"/>
      <c r="J789" s="60"/>
      <c r="K789" s="56"/>
    </row>
    <row r="790" spans="1:11" ht="20.05" customHeight="1" x14ac:dyDescent="0.2">
      <c r="A790" s="38"/>
      <c r="B790" s="36"/>
      <c r="C790" s="38"/>
      <c r="D790" s="38"/>
      <c r="E790" s="38"/>
      <c r="F790" s="38"/>
      <c r="G790" s="38"/>
      <c r="H790" s="41"/>
      <c r="I790" s="38"/>
      <c r="J790" s="60"/>
      <c r="K790" s="56"/>
    </row>
    <row r="791" spans="1:11" ht="20.05" customHeight="1" x14ac:dyDescent="0.2">
      <c r="A791" s="38"/>
      <c r="B791" s="36"/>
      <c r="C791" s="38"/>
      <c r="D791" s="38"/>
      <c r="E791" s="38"/>
      <c r="F791" s="38"/>
      <c r="G791" s="38"/>
      <c r="H791" s="41"/>
      <c r="I791" s="38"/>
      <c r="J791" s="60"/>
      <c r="K791" s="56"/>
    </row>
    <row r="792" spans="1:11" ht="20.05" customHeight="1" x14ac:dyDescent="0.2">
      <c r="A792" s="38"/>
      <c r="B792" s="36"/>
      <c r="C792" s="38"/>
      <c r="D792" s="38"/>
      <c r="E792" s="38"/>
      <c r="F792" s="38"/>
      <c r="G792" s="38"/>
      <c r="H792" s="41"/>
      <c r="I792" s="38"/>
      <c r="J792" s="60"/>
      <c r="K792" s="56"/>
    </row>
    <row r="793" spans="1:11" ht="20.05" customHeight="1" x14ac:dyDescent="0.2">
      <c r="A793" s="38"/>
      <c r="B793" s="36"/>
      <c r="C793" s="38"/>
      <c r="D793" s="38"/>
      <c r="E793" s="38"/>
      <c r="F793" s="38"/>
      <c r="G793" s="38"/>
      <c r="H793" s="41"/>
      <c r="I793" s="38"/>
      <c r="J793" s="60"/>
      <c r="K793" s="56"/>
    </row>
    <row r="794" spans="1:11" ht="20.05" customHeight="1" x14ac:dyDescent="0.2">
      <c r="A794" s="38"/>
      <c r="B794" s="36"/>
      <c r="C794" s="38"/>
      <c r="D794" s="38"/>
      <c r="E794" s="38"/>
      <c r="F794" s="38"/>
      <c r="G794" s="38"/>
      <c r="H794" s="41"/>
      <c r="I794" s="38"/>
      <c r="J794" s="60"/>
      <c r="K794" s="56"/>
    </row>
    <row r="795" spans="1:11" ht="20.05" customHeight="1" x14ac:dyDescent="0.2">
      <c r="A795" s="38"/>
      <c r="B795" s="36"/>
      <c r="C795" s="38"/>
      <c r="D795" s="38"/>
      <c r="E795" s="38"/>
      <c r="F795" s="38"/>
      <c r="G795" s="38"/>
      <c r="H795" s="41"/>
      <c r="I795" s="38"/>
      <c r="J795" s="60"/>
      <c r="K795" s="56"/>
    </row>
    <row r="796" spans="1:11" ht="20.05" customHeight="1" x14ac:dyDescent="0.2">
      <c r="A796" s="38"/>
      <c r="B796" s="36"/>
      <c r="C796" s="38"/>
      <c r="D796" s="38"/>
      <c r="E796" s="38"/>
      <c r="F796" s="38"/>
      <c r="G796" s="38"/>
      <c r="H796" s="41"/>
      <c r="I796" s="38"/>
      <c r="J796" s="60"/>
      <c r="K796" s="56"/>
    </row>
    <row r="797" spans="1:11" ht="20.05" customHeight="1" x14ac:dyDescent="0.2">
      <c r="A797" s="38"/>
      <c r="B797" s="36"/>
      <c r="C797" s="38"/>
      <c r="D797" s="38"/>
      <c r="E797" s="38"/>
      <c r="F797" s="38"/>
      <c r="G797" s="38"/>
      <c r="H797" s="41"/>
      <c r="I797" s="38"/>
      <c r="J797" s="60"/>
      <c r="K797" s="56"/>
    </row>
    <row r="798" spans="1:11" ht="20.05" customHeight="1" x14ac:dyDescent="0.2">
      <c r="A798" s="38"/>
      <c r="B798" s="36"/>
      <c r="C798" s="38"/>
      <c r="D798" s="38"/>
      <c r="E798" s="38"/>
      <c r="F798" s="38"/>
      <c r="G798" s="38"/>
      <c r="H798" s="41"/>
      <c r="I798" s="38"/>
      <c r="J798" s="60"/>
      <c r="K798" s="56"/>
    </row>
    <row r="799" spans="1:11" ht="20.05" customHeight="1" x14ac:dyDescent="0.2">
      <c r="A799" s="38"/>
      <c r="B799" s="36"/>
      <c r="C799" s="38"/>
      <c r="D799" s="38"/>
      <c r="E799" s="38"/>
      <c r="F799" s="38"/>
      <c r="G799" s="38"/>
      <c r="H799" s="41"/>
      <c r="I799" s="38"/>
      <c r="J799" s="60"/>
      <c r="K799" s="56"/>
    </row>
    <row r="800" spans="1:11" ht="20.05" customHeight="1" x14ac:dyDescent="0.2">
      <c r="A800" s="38"/>
      <c r="B800" s="36"/>
      <c r="C800" s="38"/>
      <c r="D800" s="38"/>
      <c r="E800" s="38"/>
      <c r="F800" s="38"/>
      <c r="G800" s="38"/>
      <c r="H800" s="41"/>
      <c r="I800" s="38"/>
      <c r="J800" s="60"/>
      <c r="K800" s="56"/>
    </row>
    <row r="801" spans="1:11" ht="20.05" customHeight="1" x14ac:dyDescent="0.2">
      <c r="A801" s="38"/>
      <c r="B801" s="36"/>
      <c r="C801" s="38"/>
      <c r="D801" s="38"/>
      <c r="E801" s="38"/>
      <c r="F801" s="38"/>
      <c r="G801" s="38"/>
      <c r="H801" s="41"/>
      <c r="I801" s="38"/>
      <c r="J801" s="60"/>
      <c r="K801" s="56"/>
    </row>
    <row r="802" spans="1:11" ht="20.05" customHeight="1" x14ac:dyDescent="0.2">
      <c r="A802" s="38"/>
      <c r="B802" s="36"/>
      <c r="C802" s="38"/>
      <c r="D802" s="38"/>
      <c r="E802" s="38"/>
      <c r="F802" s="38"/>
      <c r="G802" s="38"/>
      <c r="H802" s="41"/>
      <c r="I802" s="38"/>
      <c r="J802" s="60"/>
      <c r="K802" s="56"/>
    </row>
    <row r="803" spans="1:11" ht="20.05" customHeight="1" x14ac:dyDescent="0.2">
      <c r="A803" s="38"/>
      <c r="B803" s="36"/>
      <c r="C803" s="38"/>
      <c r="D803" s="38"/>
      <c r="E803" s="38"/>
      <c r="F803" s="38"/>
      <c r="G803" s="38"/>
      <c r="H803" s="41"/>
      <c r="I803" s="38"/>
      <c r="J803" s="60"/>
      <c r="K803" s="56"/>
    </row>
    <row r="804" spans="1:11" ht="20.05" customHeight="1" x14ac:dyDescent="0.2">
      <c r="A804" s="38"/>
      <c r="B804" s="36"/>
      <c r="C804" s="38"/>
      <c r="D804" s="38"/>
      <c r="E804" s="38"/>
      <c r="F804" s="38"/>
      <c r="G804" s="38"/>
      <c r="H804" s="41"/>
      <c r="I804" s="38"/>
      <c r="J804" s="60"/>
      <c r="K804" s="56"/>
    </row>
    <row r="805" spans="1:11" ht="20.05" customHeight="1" x14ac:dyDescent="0.2">
      <c r="A805" s="38"/>
      <c r="B805" s="36"/>
      <c r="C805" s="38"/>
      <c r="D805" s="38"/>
      <c r="E805" s="38"/>
      <c r="F805" s="38"/>
      <c r="G805" s="38"/>
      <c r="H805" s="41"/>
      <c r="I805" s="38"/>
      <c r="J805" s="60"/>
      <c r="K805" s="56"/>
    </row>
    <row r="806" spans="1:11" ht="20.05" customHeight="1" x14ac:dyDescent="0.2">
      <c r="A806" s="38"/>
      <c r="B806" s="36"/>
      <c r="C806" s="38"/>
      <c r="D806" s="38"/>
      <c r="E806" s="38"/>
      <c r="F806" s="38"/>
      <c r="G806" s="38"/>
      <c r="H806" s="41"/>
      <c r="I806" s="38"/>
      <c r="J806" s="60"/>
      <c r="K806" s="56"/>
    </row>
    <row r="807" spans="1:11" ht="20.05" customHeight="1" x14ac:dyDescent="0.2">
      <c r="A807" s="38"/>
      <c r="B807" s="36"/>
      <c r="C807" s="38"/>
      <c r="D807" s="38"/>
      <c r="E807" s="38"/>
      <c r="F807" s="38"/>
      <c r="G807" s="38"/>
      <c r="H807" s="41"/>
      <c r="I807" s="38"/>
      <c r="J807" s="60"/>
      <c r="K807" s="56"/>
    </row>
    <row r="808" spans="1:11" ht="20.05" customHeight="1" x14ac:dyDescent="0.2">
      <c r="A808" s="38"/>
      <c r="B808" s="36"/>
      <c r="C808" s="38"/>
      <c r="D808" s="38"/>
      <c r="E808" s="38"/>
      <c r="F808" s="38"/>
      <c r="G808" s="38"/>
      <c r="H808" s="41"/>
      <c r="I808" s="38"/>
      <c r="J808" s="60"/>
      <c r="K808" s="56"/>
    </row>
    <row r="809" spans="1:11" ht="20.05" customHeight="1" x14ac:dyDescent="0.2">
      <c r="A809" s="38"/>
      <c r="B809" s="36"/>
      <c r="C809" s="38"/>
      <c r="D809" s="38"/>
      <c r="E809" s="38"/>
      <c r="F809" s="38"/>
      <c r="G809" s="38"/>
      <c r="H809" s="41"/>
      <c r="I809" s="38"/>
      <c r="J809" s="60"/>
      <c r="K809" s="56"/>
    </row>
    <row r="810" spans="1:11" ht="20.05" customHeight="1" x14ac:dyDescent="0.2">
      <c r="A810" s="38"/>
      <c r="B810" s="36"/>
      <c r="C810" s="38"/>
      <c r="D810" s="38"/>
      <c r="E810" s="38"/>
      <c r="F810" s="38"/>
      <c r="G810" s="38"/>
      <c r="H810" s="41"/>
      <c r="I810" s="38"/>
      <c r="J810" s="60"/>
      <c r="K810" s="56"/>
    </row>
    <row r="811" spans="1:11" ht="20.05" customHeight="1" x14ac:dyDescent="0.2">
      <c r="A811" s="38"/>
      <c r="B811" s="36"/>
      <c r="C811" s="38"/>
      <c r="D811" s="38"/>
      <c r="E811" s="38"/>
      <c r="F811" s="38"/>
      <c r="G811" s="38"/>
      <c r="H811" s="41"/>
      <c r="I811" s="38"/>
      <c r="J811" s="60"/>
      <c r="K811" s="56"/>
    </row>
    <row r="812" spans="1:11" ht="20.05" customHeight="1" x14ac:dyDescent="0.2">
      <c r="A812" s="38"/>
      <c r="B812" s="36"/>
      <c r="C812" s="38"/>
      <c r="D812" s="38"/>
      <c r="E812" s="38"/>
      <c r="F812" s="38"/>
      <c r="G812" s="38"/>
      <c r="H812" s="41"/>
      <c r="I812" s="38"/>
      <c r="J812" s="60"/>
      <c r="K812" s="56"/>
    </row>
    <row r="813" spans="1:11" ht="20.05" customHeight="1" x14ac:dyDescent="0.2">
      <c r="A813" s="38"/>
      <c r="B813" s="36"/>
      <c r="C813" s="38"/>
      <c r="D813" s="38"/>
      <c r="E813" s="38"/>
      <c r="F813" s="38"/>
      <c r="G813" s="38"/>
      <c r="H813" s="41"/>
      <c r="I813" s="38"/>
      <c r="J813" s="60"/>
      <c r="K813" s="56"/>
    </row>
    <row r="814" spans="1:11" ht="20.05" customHeight="1" x14ac:dyDescent="0.2">
      <c r="A814" s="38"/>
      <c r="B814" s="36"/>
      <c r="C814" s="38"/>
      <c r="D814" s="38"/>
      <c r="E814" s="38"/>
      <c r="F814" s="38"/>
      <c r="G814" s="38"/>
      <c r="H814" s="41"/>
      <c r="I814" s="38"/>
      <c r="J814" s="60"/>
      <c r="K814" s="56"/>
    </row>
    <row r="815" spans="1:11" ht="20.05" customHeight="1" x14ac:dyDescent="0.2">
      <c r="A815" s="38"/>
      <c r="B815" s="36"/>
      <c r="C815" s="38"/>
      <c r="D815" s="38"/>
      <c r="E815" s="38"/>
      <c r="F815" s="38"/>
      <c r="G815" s="38"/>
      <c r="H815" s="41"/>
      <c r="I815" s="38"/>
      <c r="J815" s="60"/>
      <c r="K815" s="56"/>
    </row>
    <row r="816" spans="1:11" ht="20.05" customHeight="1" x14ac:dyDescent="0.2">
      <c r="A816" s="38"/>
      <c r="B816" s="36"/>
      <c r="C816" s="38"/>
      <c r="D816" s="38"/>
      <c r="E816" s="38"/>
      <c r="F816" s="38"/>
      <c r="G816" s="38"/>
      <c r="H816" s="41"/>
      <c r="I816" s="38"/>
      <c r="J816" s="60"/>
      <c r="K816" s="56"/>
    </row>
    <row r="817" spans="1:11" ht="20.05" customHeight="1" x14ac:dyDescent="0.2">
      <c r="A817" s="38"/>
      <c r="B817" s="36"/>
      <c r="C817" s="38"/>
      <c r="D817" s="38"/>
      <c r="E817" s="38"/>
      <c r="F817" s="38"/>
      <c r="G817" s="38"/>
      <c r="H817" s="41"/>
      <c r="I817" s="38"/>
      <c r="J817" s="60"/>
      <c r="K817" s="56"/>
    </row>
    <row r="818" spans="1:11" ht="20.05" customHeight="1" x14ac:dyDescent="0.2">
      <c r="A818" s="38"/>
      <c r="B818" s="36"/>
      <c r="C818" s="38"/>
      <c r="D818" s="38"/>
      <c r="E818" s="38"/>
      <c r="F818" s="38"/>
      <c r="G818" s="38"/>
      <c r="H818" s="41"/>
      <c r="I818" s="38"/>
      <c r="J818" s="60"/>
      <c r="K818" s="56"/>
    </row>
    <row r="819" spans="1:11" ht="20.05" customHeight="1" x14ac:dyDescent="0.2">
      <c r="A819" s="38"/>
      <c r="B819" s="36"/>
      <c r="C819" s="38"/>
      <c r="D819" s="38"/>
      <c r="E819" s="38"/>
      <c r="F819" s="38"/>
      <c r="G819" s="38"/>
      <c r="H819" s="41"/>
      <c r="I819" s="38"/>
      <c r="J819" s="60"/>
      <c r="K819" s="56"/>
    </row>
    <row r="820" spans="1:11" ht="20.05" customHeight="1" x14ac:dyDescent="0.2">
      <c r="A820" s="38"/>
      <c r="B820" s="36"/>
      <c r="C820" s="38"/>
      <c r="D820" s="38"/>
      <c r="E820" s="38"/>
      <c r="F820" s="38"/>
      <c r="G820" s="38"/>
      <c r="H820" s="41"/>
      <c r="I820" s="38"/>
      <c r="J820" s="60"/>
      <c r="K820" s="56"/>
    </row>
    <row r="821" spans="1:11" ht="20.05" customHeight="1" x14ac:dyDescent="0.2">
      <c r="A821" s="38"/>
      <c r="B821" s="36"/>
      <c r="C821" s="38"/>
      <c r="D821" s="38"/>
      <c r="E821" s="38"/>
      <c r="F821" s="38"/>
      <c r="G821" s="38"/>
      <c r="H821" s="42"/>
      <c r="I821" s="38"/>
      <c r="J821" s="60"/>
      <c r="K821" s="56"/>
    </row>
    <row r="822" spans="1:11" ht="20.05" customHeight="1" x14ac:dyDescent="0.2">
      <c r="A822" s="38"/>
      <c r="B822" s="160"/>
      <c r="C822" s="160"/>
      <c r="D822" s="160"/>
      <c r="E822" s="160"/>
      <c r="F822" s="160"/>
      <c r="G822" s="160"/>
      <c r="H822" s="38"/>
      <c r="I822" s="38"/>
      <c r="J822" s="60"/>
      <c r="K822" s="56"/>
    </row>
    <row r="823" spans="1:11" ht="20.05" customHeight="1" x14ac:dyDescent="0.2">
      <c r="A823" s="38"/>
      <c r="B823" s="36"/>
      <c r="C823" s="38"/>
      <c r="D823" s="38"/>
      <c r="E823" s="38"/>
      <c r="F823" s="38"/>
      <c r="G823" s="38"/>
      <c r="H823" s="41"/>
      <c r="I823" s="38"/>
      <c r="J823" s="60"/>
      <c r="K823" s="56"/>
    </row>
    <row r="824" spans="1:11" ht="20.05" customHeight="1" x14ac:dyDescent="0.2">
      <c r="A824" s="38"/>
      <c r="B824" s="36"/>
      <c r="C824" s="38"/>
      <c r="D824" s="38"/>
      <c r="E824" s="38"/>
      <c r="F824" s="38"/>
      <c r="G824" s="38"/>
      <c r="H824" s="41"/>
      <c r="I824" s="38"/>
      <c r="J824" s="60"/>
      <c r="K824" s="56"/>
    </row>
    <row r="825" spans="1:11" ht="20.05" customHeight="1" x14ac:dyDescent="0.2">
      <c r="A825" s="38"/>
      <c r="B825" s="36"/>
      <c r="C825" s="38"/>
      <c r="D825" s="38"/>
      <c r="E825" s="38"/>
      <c r="F825" s="38"/>
      <c r="G825" s="38"/>
      <c r="H825" s="41"/>
      <c r="I825" s="38"/>
      <c r="J825" s="60"/>
      <c r="K825" s="56"/>
    </row>
    <row r="826" spans="1:11" ht="20.05" customHeight="1" x14ac:dyDescent="0.2">
      <c r="A826" s="38"/>
      <c r="B826" s="36"/>
      <c r="C826" s="38"/>
      <c r="D826" s="38"/>
      <c r="E826" s="38"/>
      <c r="F826" s="38"/>
      <c r="G826" s="38"/>
      <c r="H826" s="41"/>
      <c r="I826" s="38"/>
      <c r="J826" s="60"/>
      <c r="K826" s="56"/>
    </row>
    <row r="827" spans="1:11" ht="20.05" customHeight="1" x14ac:dyDescent="0.2">
      <c r="A827" s="38"/>
      <c r="B827" s="36"/>
      <c r="C827" s="38"/>
      <c r="D827" s="38"/>
      <c r="E827" s="38"/>
      <c r="F827" s="38"/>
      <c r="G827" s="38"/>
      <c r="H827" s="41"/>
      <c r="I827" s="38"/>
      <c r="J827" s="60"/>
      <c r="K827" s="56"/>
    </row>
    <row r="828" spans="1:11" ht="20.05" customHeight="1" x14ac:dyDescent="0.2">
      <c r="A828" s="38"/>
      <c r="B828" s="36"/>
      <c r="C828" s="38"/>
      <c r="D828" s="38"/>
      <c r="E828" s="38"/>
      <c r="F828" s="38"/>
      <c r="G828" s="38"/>
      <c r="H828" s="41"/>
      <c r="I828" s="38"/>
      <c r="J828" s="60"/>
      <c r="K828" s="56"/>
    </row>
    <row r="829" spans="1:11" ht="20.05" customHeight="1" x14ac:dyDescent="0.2">
      <c r="A829" s="38"/>
      <c r="B829" s="36"/>
      <c r="C829" s="38"/>
      <c r="D829" s="38"/>
      <c r="E829" s="38"/>
      <c r="F829" s="38"/>
      <c r="G829" s="38"/>
      <c r="H829" s="41"/>
      <c r="I829" s="38"/>
      <c r="J829" s="60"/>
      <c r="K829" s="56"/>
    </row>
    <row r="830" spans="1:11" ht="20.05" customHeight="1" x14ac:dyDescent="0.2">
      <c r="A830" s="38"/>
      <c r="B830" s="36"/>
      <c r="C830" s="38"/>
      <c r="D830" s="38"/>
      <c r="E830" s="38"/>
      <c r="F830" s="38"/>
      <c r="G830" s="38"/>
      <c r="H830" s="41"/>
      <c r="I830" s="38"/>
      <c r="J830" s="60"/>
      <c r="K830" s="56"/>
    </row>
    <row r="831" spans="1:11" ht="20.05" customHeight="1" x14ac:dyDescent="0.2">
      <c r="A831" s="38"/>
      <c r="B831" s="36"/>
      <c r="C831" s="38"/>
      <c r="D831" s="38"/>
      <c r="E831" s="38"/>
      <c r="F831" s="38"/>
      <c r="G831" s="38"/>
      <c r="H831" s="41"/>
      <c r="I831" s="38"/>
      <c r="J831" s="60"/>
      <c r="K831" s="56"/>
    </row>
    <row r="832" spans="1:11" ht="20.05" customHeight="1" x14ac:dyDescent="0.2">
      <c r="A832" s="38"/>
      <c r="B832" s="36"/>
      <c r="C832" s="38"/>
      <c r="D832" s="38"/>
      <c r="E832" s="38"/>
      <c r="F832" s="38"/>
      <c r="G832" s="38"/>
      <c r="H832" s="41"/>
      <c r="I832" s="38"/>
      <c r="J832" s="60"/>
      <c r="K832" s="56"/>
    </row>
    <row r="833" spans="1:11" ht="20.05" customHeight="1" x14ac:dyDescent="0.2">
      <c r="A833" s="38"/>
      <c r="B833" s="36"/>
      <c r="C833" s="38"/>
      <c r="D833" s="38"/>
      <c r="E833" s="38"/>
      <c r="F833" s="38"/>
      <c r="G833" s="38"/>
      <c r="H833" s="41"/>
      <c r="I833" s="38"/>
      <c r="J833" s="60"/>
      <c r="K833" s="56"/>
    </row>
    <row r="834" spans="1:11" ht="20.05" customHeight="1" x14ac:dyDescent="0.2">
      <c r="A834" s="38"/>
      <c r="B834" s="36"/>
      <c r="C834" s="38"/>
      <c r="D834" s="38"/>
      <c r="E834" s="38"/>
      <c r="F834" s="38"/>
      <c r="G834" s="38"/>
      <c r="H834" s="41"/>
      <c r="I834" s="38"/>
      <c r="J834" s="60"/>
      <c r="K834" s="56"/>
    </row>
    <row r="835" spans="1:11" ht="20.05" customHeight="1" x14ac:dyDescent="0.2">
      <c r="A835" s="38"/>
      <c r="B835" s="36"/>
      <c r="C835" s="38"/>
      <c r="D835" s="38"/>
      <c r="E835" s="38"/>
      <c r="F835" s="38"/>
      <c r="G835" s="38"/>
      <c r="H835" s="42"/>
      <c r="I835" s="38"/>
      <c r="J835" s="60"/>
      <c r="K835" s="56"/>
    </row>
    <row r="836" spans="1:11" ht="20.05" customHeight="1" x14ac:dyDescent="0.2">
      <c r="A836" s="38"/>
      <c r="B836" s="160"/>
      <c r="C836" s="160"/>
      <c r="D836" s="160"/>
      <c r="E836" s="160"/>
      <c r="F836" s="160"/>
      <c r="G836" s="160"/>
      <c r="H836" s="38"/>
      <c r="I836" s="38"/>
      <c r="J836" s="60"/>
      <c r="K836" s="56"/>
    </row>
    <row r="837" spans="1:11" ht="20.05" customHeight="1" x14ac:dyDescent="0.2">
      <c r="A837" s="38"/>
      <c r="B837" s="36"/>
      <c r="C837" s="38"/>
      <c r="D837" s="38"/>
      <c r="E837" s="38"/>
      <c r="F837" s="38"/>
      <c r="G837" s="38"/>
      <c r="H837" s="41"/>
      <c r="I837" s="38"/>
      <c r="J837" s="60"/>
      <c r="K837" s="56"/>
    </row>
    <row r="838" spans="1:11" ht="20.05" customHeight="1" x14ac:dyDescent="0.2">
      <c r="A838" s="38"/>
      <c r="B838" s="36"/>
      <c r="C838" s="38"/>
      <c r="D838" s="38"/>
      <c r="E838" s="38"/>
      <c r="F838" s="38"/>
      <c r="G838" s="38"/>
      <c r="H838" s="41"/>
      <c r="I838" s="38"/>
      <c r="J838" s="60"/>
      <c r="K838" s="56"/>
    </row>
    <row r="839" spans="1:11" ht="20.05" customHeight="1" x14ac:dyDescent="0.2">
      <c r="A839" s="38"/>
      <c r="B839" s="36"/>
      <c r="C839" s="38"/>
      <c r="D839" s="38"/>
      <c r="E839" s="38"/>
      <c r="F839" s="38"/>
      <c r="G839" s="38"/>
      <c r="H839" s="41"/>
      <c r="I839" s="38"/>
      <c r="J839" s="60"/>
      <c r="K839" s="56"/>
    </row>
    <row r="840" spans="1:11" ht="20.05" customHeight="1" x14ac:dyDescent="0.2">
      <c r="A840" s="38"/>
      <c r="B840" s="36"/>
      <c r="C840" s="38"/>
      <c r="D840" s="38"/>
      <c r="E840" s="38"/>
      <c r="F840" s="38"/>
      <c r="G840" s="38"/>
      <c r="H840" s="42"/>
      <c r="I840" s="38"/>
      <c r="J840" s="60"/>
      <c r="K840" s="56"/>
    </row>
    <row r="841" spans="1:11" ht="20.05" customHeight="1" x14ac:dyDescent="0.2">
      <c r="A841" s="38"/>
      <c r="B841" s="160"/>
      <c r="C841" s="160"/>
      <c r="D841" s="160"/>
      <c r="E841" s="160"/>
      <c r="F841" s="160"/>
      <c r="G841" s="160"/>
      <c r="H841" s="38"/>
      <c r="I841" s="38"/>
      <c r="J841" s="60"/>
      <c r="K841" s="56"/>
    </row>
    <row r="842" spans="1:11" ht="20.05" customHeight="1" x14ac:dyDescent="0.2">
      <c r="A842" s="38"/>
      <c r="B842" s="36"/>
      <c r="C842" s="38"/>
      <c r="D842" s="38"/>
      <c r="E842" s="38"/>
      <c r="F842" s="38"/>
      <c r="G842" s="38"/>
      <c r="H842" s="41"/>
      <c r="I842" s="38"/>
      <c r="J842" s="60"/>
      <c r="K842" s="56"/>
    </row>
    <row r="843" spans="1:11" ht="20.05" customHeight="1" x14ac:dyDescent="0.2">
      <c r="A843" s="38"/>
      <c r="B843" s="36"/>
      <c r="C843" s="38"/>
      <c r="D843" s="38"/>
      <c r="E843" s="38"/>
      <c r="F843" s="38"/>
      <c r="G843" s="38"/>
      <c r="H843" s="41"/>
      <c r="I843" s="38"/>
      <c r="J843" s="60"/>
      <c r="K843" s="56"/>
    </row>
    <row r="844" spans="1:11" ht="20.05" customHeight="1" x14ac:dyDescent="0.2">
      <c r="A844" s="38"/>
      <c r="B844" s="36"/>
      <c r="C844" s="38"/>
      <c r="D844" s="38"/>
      <c r="E844" s="38"/>
      <c r="F844" s="38"/>
      <c r="G844" s="38"/>
      <c r="H844" s="41"/>
      <c r="I844" s="38"/>
      <c r="J844" s="60"/>
      <c r="K844" s="56"/>
    </row>
    <row r="845" spans="1:11" ht="20.05" customHeight="1" x14ac:dyDescent="0.2">
      <c r="A845" s="38"/>
      <c r="B845" s="36"/>
      <c r="C845" s="38"/>
      <c r="D845" s="38"/>
      <c r="E845" s="38"/>
      <c r="F845" s="38"/>
      <c r="G845" s="38"/>
      <c r="H845" s="41"/>
      <c r="I845" s="38"/>
      <c r="J845" s="60"/>
      <c r="K845" s="56"/>
    </row>
    <row r="846" spans="1:11" ht="20.05" customHeight="1" x14ac:dyDescent="0.2">
      <c r="A846" s="38"/>
      <c r="B846" s="36"/>
      <c r="C846" s="38"/>
      <c r="D846" s="38"/>
      <c r="E846" s="38"/>
      <c r="F846" s="38"/>
      <c r="G846" s="38"/>
      <c r="H846" s="41"/>
      <c r="I846" s="38"/>
      <c r="J846" s="60"/>
      <c r="K846" s="56"/>
    </row>
    <row r="847" spans="1:11" ht="20.05" customHeight="1" x14ac:dyDescent="0.2">
      <c r="A847" s="38"/>
      <c r="B847" s="36"/>
      <c r="C847" s="38"/>
      <c r="D847" s="38"/>
      <c r="E847" s="38"/>
      <c r="F847" s="38"/>
      <c r="G847" s="38"/>
      <c r="H847" s="41"/>
      <c r="I847" s="38"/>
      <c r="J847" s="60"/>
      <c r="K847" s="56"/>
    </row>
    <row r="848" spans="1:11" ht="20.05" customHeight="1" x14ac:dyDescent="0.2">
      <c r="A848" s="38"/>
      <c r="B848" s="36"/>
      <c r="C848" s="38"/>
      <c r="D848" s="38"/>
      <c r="E848" s="38"/>
      <c r="F848" s="38"/>
      <c r="G848" s="38"/>
      <c r="H848" s="41"/>
      <c r="I848" s="38"/>
      <c r="J848" s="60"/>
      <c r="K848" s="56"/>
    </row>
    <row r="849" spans="1:11" ht="20.05" customHeight="1" x14ac:dyDescent="0.2">
      <c r="A849" s="38"/>
      <c r="B849" s="36"/>
      <c r="C849" s="38"/>
      <c r="D849" s="38"/>
      <c r="E849" s="38"/>
      <c r="F849" s="38"/>
      <c r="G849" s="38"/>
      <c r="H849" s="41"/>
      <c r="I849" s="38"/>
      <c r="J849" s="60"/>
      <c r="K849" s="56"/>
    </row>
    <row r="850" spans="1:11" ht="20.05" customHeight="1" x14ac:dyDescent="0.2">
      <c r="A850" s="38"/>
      <c r="B850" s="36"/>
      <c r="C850" s="38"/>
      <c r="D850" s="38"/>
      <c r="E850" s="38"/>
      <c r="F850" s="38"/>
      <c r="G850" s="38"/>
      <c r="H850" s="41"/>
      <c r="I850" s="38"/>
      <c r="J850" s="60"/>
      <c r="K850" s="56"/>
    </row>
    <row r="851" spans="1:11" ht="20.05" customHeight="1" x14ac:dyDescent="0.2">
      <c r="A851" s="38"/>
      <c r="B851" s="36"/>
      <c r="C851" s="38"/>
      <c r="D851" s="38"/>
      <c r="E851" s="38"/>
      <c r="F851" s="38"/>
      <c r="G851" s="38"/>
      <c r="H851" s="42"/>
      <c r="I851" s="38"/>
      <c r="J851" s="60"/>
      <c r="K851" s="56"/>
    </row>
    <row r="852" spans="1:11" ht="20.05" customHeight="1" x14ac:dyDescent="0.2">
      <c r="A852" s="38"/>
      <c r="B852" s="160"/>
      <c r="C852" s="160"/>
      <c r="D852" s="160"/>
      <c r="E852" s="160"/>
      <c r="F852" s="160"/>
      <c r="G852" s="160"/>
      <c r="H852" s="38"/>
      <c r="I852" s="38"/>
      <c r="J852" s="60"/>
      <c r="K852" s="56"/>
    </row>
    <row r="853" spans="1:11" ht="20.05" customHeight="1" x14ac:dyDescent="0.2">
      <c r="A853" s="38"/>
      <c r="B853" s="36"/>
      <c r="C853" s="38"/>
      <c r="D853" s="38"/>
      <c r="E853" s="38"/>
      <c r="F853" s="38"/>
      <c r="G853" s="38"/>
      <c r="H853" s="41"/>
      <c r="I853" s="38"/>
      <c r="J853" s="60"/>
      <c r="K853" s="56"/>
    </row>
    <row r="854" spans="1:11" ht="20.05" customHeight="1" x14ac:dyDescent="0.2">
      <c r="A854" s="38"/>
      <c r="B854" s="36"/>
      <c r="C854" s="38"/>
      <c r="D854" s="38"/>
      <c r="E854" s="38"/>
      <c r="F854" s="38"/>
      <c r="G854" s="38"/>
      <c r="H854" s="41"/>
      <c r="I854" s="38"/>
      <c r="J854" s="60"/>
      <c r="K854" s="56"/>
    </row>
    <row r="855" spans="1:11" ht="20.05" customHeight="1" x14ac:dyDescent="0.2">
      <c r="A855" s="38"/>
      <c r="B855" s="36"/>
      <c r="C855" s="38"/>
      <c r="D855" s="38"/>
      <c r="E855" s="38"/>
      <c r="F855" s="38"/>
      <c r="G855" s="38"/>
      <c r="H855" s="41"/>
      <c r="I855" s="38"/>
      <c r="J855" s="60"/>
      <c r="K855" s="56"/>
    </row>
    <row r="856" spans="1:11" ht="20.05" customHeight="1" x14ac:dyDescent="0.2">
      <c r="A856" s="38"/>
      <c r="B856" s="36"/>
      <c r="C856" s="38"/>
      <c r="D856" s="38"/>
      <c r="E856" s="38"/>
      <c r="F856" s="38"/>
      <c r="G856" s="38"/>
      <c r="H856" s="41"/>
      <c r="I856" s="38"/>
      <c r="J856" s="60"/>
      <c r="K856" s="56"/>
    </row>
    <row r="857" spans="1:11" ht="20.05" customHeight="1" x14ac:dyDescent="0.2">
      <c r="A857" s="38"/>
      <c r="B857" s="36"/>
      <c r="C857" s="38"/>
      <c r="D857" s="38"/>
      <c r="E857" s="38"/>
      <c r="F857" s="38"/>
      <c r="G857" s="38"/>
      <c r="H857" s="41"/>
      <c r="I857" s="38"/>
      <c r="J857" s="60"/>
      <c r="K857" s="56"/>
    </row>
    <row r="858" spans="1:11" ht="20.05" customHeight="1" x14ac:dyDescent="0.2">
      <c r="A858" s="38"/>
      <c r="B858" s="36"/>
      <c r="C858" s="38"/>
      <c r="D858" s="38"/>
      <c r="E858" s="38"/>
      <c r="F858" s="38"/>
      <c r="G858" s="38"/>
      <c r="H858" s="41"/>
      <c r="I858" s="38"/>
      <c r="J858" s="60"/>
      <c r="K858" s="56"/>
    </row>
    <row r="859" spans="1:11" ht="20.05" customHeight="1" x14ac:dyDescent="0.2">
      <c r="A859" s="38"/>
      <c r="B859" s="36"/>
      <c r="C859" s="38"/>
      <c r="D859" s="38"/>
      <c r="E859" s="38"/>
      <c r="F859" s="38"/>
      <c r="G859" s="38"/>
      <c r="H859" s="41"/>
      <c r="I859" s="38"/>
      <c r="J859" s="60"/>
      <c r="K859" s="56"/>
    </row>
    <row r="860" spans="1:11" ht="20.05" customHeight="1" x14ac:dyDescent="0.2">
      <c r="A860" s="38"/>
      <c r="B860" s="36"/>
      <c r="C860" s="38"/>
      <c r="D860" s="38"/>
      <c r="E860" s="38"/>
      <c r="F860" s="38"/>
      <c r="G860" s="38"/>
      <c r="H860" s="41"/>
      <c r="I860" s="38"/>
      <c r="J860" s="60"/>
      <c r="K860" s="56"/>
    </row>
    <row r="861" spans="1:11" ht="20.05" customHeight="1" x14ac:dyDescent="0.2">
      <c r="A861" s="38"/>
      <c r="B861" s="36"/>
      <c r="C861" s="38"/>
      <c r="D861" s="38"/>
      <c r="E861" s="38"/>
      <c r="F861" s="38"/>
      <c r="G861" s="38"/>
      <c r="H861" s="41"/>
      <c r="I861" s="38"/>
      <c r="J861" s="60"/>
      <c r="K861" s="56"/>
    </row>
    <row r="862" spans="1:11" ht="20.05" customHeight="1" x14ac:dyDescent="0.2">
      <c r="A862" s="38"/>
      <c r="B862" s="36"/>
      <c r="C862" s="38"/>
      <c r="D862" s="38"/>
      <c r="E862" s="38"/>
      <c r="F862" s="38"/>
      <c r="G862" s="38"/>
      <c r="H862" s="41"/>
      <c r="I862" s="38"/>
      <c r="J862" s="60"/>
      <c r="K862" s="56"/>
    </row>
    <row r="863" spans="1:11" ht="20.05" customHeight="1" x14ac:dyDescent="0.2">
      <c r="A863" s="38"/>
      <c r="B863" s="36"/>
      <c r="C863" s="38"/>
      <c r="D863" s="38"/>
      <c r="E863" s="38"/>
      <c r="F863" s="38"/>
      <c r="G863" s="38"/>
      <c r="H863" s="41"/>
      <c r="I863" s="38"/>
      <c r="J863" s="60"/>
      <c r="K863" s="56"/>
    </row>
    <row r="864" spans="1:11" ht="20.05" customHeight="1" x14ac:dyDescent="0.2">
      <c r="A864" s="38"/>
      <c r="B864" s="36"/>
      <c r="C864" s="38"/>
      <c r="D864" s="38"/>
      <c r="E864" s="38"/>
      <c r="F864" s="38"/>
      <c r="G864" s="38"/>
      <c r="H864" s="41"/>
      <c r="I864" s="38"/>
      <c r="J864" s="60"/>
      <c r="K864" s="56"/>
    </row>
    <row r="865" spans="1:11" ht="20.05" customHeight="1" x14ac:dyDescent="0.2">
      <c r="A865" s="38"/>
      <c r="B865" s="36"/>
      <c r="C865" s="38"/>
      <c r="D865" s="38"/>
      <c r="E865" s="38"/>
      <c r="F865" s="38"/>
      <c r="G865" s="38"/>
      <c r="H865" s="41"/>
      <c r="I865" s="38"/>
      <c r="J865" s="60"/>
      <c r="K865" s="56"/>
    </row>
    <row r="866" spans="1:11" ht="20.05" customHeight="1" x14ac:dyDescent="0.2">
      <c r="A866" s="38"/>
      <c r="B866" s="36"/>
      <c r="C866" s="38"/>
      <c r="D866" s="38"/>
      <c r="E866" s="38"/>
      <c r="F866" s="38"/>
      <c r="G866" s="38"/>
      <c r="H866" s="41"/>
      <c r="I866" s="38"/>
      <c r="J866" s="60"/>
      <c r="K866" s="56"/>
    </row>
    <row r="867" spans="1:11" ht="20.05" customHeight="1" x14ac:dyDescent="0.2">
      <c r="A867" s="38"/>
      <c r="B867" s="36"/>
      <c r="C867" s="38"/>
      <c r="D867" s="38"/>
      <c r="E867" s="38"/>
      <c r="F867" s="38"/>
      <c r="G867" s="38"/>
      <c r="H867" s="41"/>
      <c r="I867" s="38"/>
      <c r="J867" s="60"/>
      <c r="K867" s="56"/>
    </row>
    <row r="868" spans="1:11" ht="20.05" customHeight="1" x14ac:dyDescent="0.2">
      <c r="A868" s="38"/>
      <c r="B868" s="36"/>
      <c r="C868" s="38"/>
      <c r="D868" s="38"/>
      <c r="E868" s="38"/>
      <c r="F868" s="38"/>
      <c r="G868" s="38"/>
      <c r="H868" s="41"/>
      <c r="I868" s="38"/>
      <c r="J868" s="60"/>
      <c r="K868" s="56"/>
    </row>
    <row r="869" spans="1:11" ht="20.05" customHeight="1" x14ac:dyDescent="0.2">
      <c r="A869" s="38"/>
      <c r="B869" s="36"/>
      <c r="C869" s="38"/>
      <c r="D869" s="38"/>
      <c r="E869" s="38"/>
      <c r="F869" s="38"/>
      <c r="G869" s="38"/>
      <c r="H869" s="41"/>
      <c r="I869" s="38"/>
      <c r="J869" s="60"/>
      <c r="K869" s="56"/>
    </row>
    <row r="870" spans="1:11" ht="20.05" customHeight="1" x14ac:dyDescent="0.2">
      <c r="A870" s="38"/>
      <c r="B870" s="36"/>
      <c r="C870" s="38"/>
      <c r="D870" s="38"/>
      <c r="E870" s="38"/>
      <c r="F870" s="38"/>
      <c r="G870" s="38"/>
      <c r="H870" s="41"/>
      <c r="I870" s="38"/>
      <c r="J870" s="60"/>
      <c r="K870" s="56"/>
    </row>
    <row r="871" spans="1:11" ht="20.05" customHeight="1" x14ac:dyDescent="0.2">
      <c r="A871" s="38"/>
      <c r="B871" s="36"/>
      <c r="C871" s="38"/>
      <c r="D871" s="38"/>
      <c r="E871" s="38"/>
      <c r="F871" s="38"/>
      <c r="G871" s="38"/>
      <c r="H871" s="41"/>
      <c r="I871" s="38"/>
      <c r="J871" s="60"/>
      <c r="K871" s="56"/>
    </row>
    <row r="872" spans="1:11" ht="20.05" customHeight="1" x14ac:dyDescent="0.2">
      <c r="A872" s="38"/>
      <c r="B872" s="36"/>
      <c r="C872" s="38"/>
      <c r="D872" s="38"/>
      <c r="E872" s="38"/>
      <c r="F872" s="38"/>
      <c r="G872" s="38"/>
      <c r="H872" s="41"/>
      <c r="I872" s="38"/>
      <c r="J872" s="60"/>
      <c r="K872" s="56"/>
    </row>
    <row r="873" spans="1:11" ht="20.05" customHeight="1" x14ac:dyDescent="0.2">
      <c r="A873" s="38"/>
      <c r="B873" s="36"/>
      <c r="C873" s="38"/>
      <c r="D873" s="38"/>
      <c r="E873" s="38"/>
      <c r="F873" s="38"/>
      <c r="G873" s="38"/>
      <c r="H873" s="41"/>
      <c r="I873" s="38"/>
      <c r="J873" s="60"/>
      <c r="K873" s="56"/>
    </row>
    <row r="874" spans="1:11" ht="20.05" customHeight="1" x14ac:dyDescent="0.2">
      <c r="A874" s="38"/>
      <c r="B874" s="36"/>
      <c r="C874" s="38"/>
      <c r="D874" s="38"/>
      <c r="E874" s="38"/>
      <c r="F874" s="38"/>
      <c r="G874" s="38"/>
      <c r="H874" s="41"/>
      <c r="I874" s="38"/>
      <c r="J874" s="60"/>
      <c r="K874" s="56"/>
    </row>
    <row r="875" spans="1:11" ht="20.05" customHeight="1" x14ac:dyDescent="0.2">
      <c r="A875" s="38"/>
      <c r="B875" s="36"/>
      <c r="C875" s="38"/>
      <c r="D875" s="38"/>
      <c r="E875" s="38"/>
      <c r="F875" s="38"/>
      <c r="G875" s="38"/>
      <c r="H875" s="41"/>
      <c r="I875" s="38"/>
      <c r="J875" s="60"/>
      <c r="K875" s="56"/>
    </row>
    <row r="876" spans="1:11" ht="20.05" customHeight="1" x14ac:dyDescent="0.2">
      <c r="A876" s="38"/>
      <c r="B876" s="36"/>
      <c r="C876" s="38"/>
      <c r="D876" s="38"/>
      <c r="E876" s="38"/>
      <c r="F876" s="38"/>
      <c r="G876" s="38"/>
      <c r="H876" s="41"/>
      <c r="I876" s="38"/>
      <c r="J876" s="60"/>
      <c r="K876" s="56"/>
    </row>
    <row r="877" spans="1:11" ht="20.05" customHeight="1" x14ac:dyDescent="0.2">
      <c r="A877" s="38"/>
      <c r="B877" s="36"/>
      <c r="C877" s="38"/>
      <c r="D877" s="38"/>
      <c r="E877" s="38"/>
      <c r="F877" s="38"/>
      <c r="G877" s="38"/>
      <c r="H877" s="41"/>
      <c r="I877" s="38"/>
      <c r="J877" s="60"/>
      <c r="K877" s="56"/>
    </row>
    <row r="878" spans="1:11" ht="20.05" customHeight="1" x14ac:dyDescent="0.2">
      <c r="A878" s="38"/>
      <c r="B878" s="36"/>
      <c r="C878" s="38"/>
      <c r="D878" s="38"/>
      <c r="E878" s="38"/>
      <c r="F878" s="38"/>
      <c r="G878" s="38"/>
      <c r="H878" s="41"/>
      <c r="I878" s="38"/>
      <c r="J878" s="60"/>
      <c r="K878" s="56"/>
    </row>
    <row r="879" spans="1:11" ht="20.05" customHeight="1" x14ac:dyDescent="0.2">
      <c r="A879" s="38"/>
      <c r="B879" s="36"/>
      <c r="C879" s="38"/>
      <c r="D879" s="38"/>
      <c r="E879" s="38"/>
      <c r="F879" s="38"/>
      <c r="G879" s="38"/>
      <c r="H879" s="41"/>
      <c r="I879" s="38"/>
      <c r="J879" s="60"/>
      <c r="K879" s="56"/>
    </row>
    <row r="880" spans="1:11" ht="20.05" customHeight="1" x14ac:dyDescent="0.2">
      <c r="A880" s="38"/>
      <c r="B880" s="36"/>
      <c r="C880" s="38"/>
      <c r="D880" s="38"/>
      <c r="E880" s="38"/>
      <c r="F880" s="38"/>
      <c r="G880" s="38"/>
      <c r="H880" s="41"/>
      <c r="I880" s="38"/>
      <c r="J880" s="60"/>
      <c r="K880" s="56"/>
    </row>
    <row r="881" spans="1:11" ht="20.05" customHeight="1" x14ac:dyDescent="0.2">
      <c r="A881" s="38"/>
      <c r="B881" s="36"/>
      <c r="C881" s="38"/>
      <c r="D881" s="38"/>
      <c r="E881" s="38"/>
      <c r="F881" s="38"/>
      <c r="G881" s="38"/>
      <c r="H881" s="41"/>
      <c r="I881" s="38"/>
      <c r="J881" s="60"/>
      <c r="K881" s="56"/>
    </row>
    <row r="882" spans="1:11" ht="20.05" customHeight="1" x14ac:dyDescent="0.2">
      <c r="A882" s="38"/>
      <c r="B882" s="36"/>
      <c r="C882" s="38"/>
      <c r="D882" s="38"/>
      <c r="E882" s="38"/>
      <c r="F882" s="38"/>
      <c r="G882" s="38"/>
      <c r="H882" s="41"/>
      <c r="I882" s="38"/>
      <c r="J882" s="60"/>
      <c r="K882" s="56"/>
    </row>
    <row r="883" spans="1:11" ht="20.05" customHeight="1" x14ac:dyDescent="0.2">
      <c r="A883" s="38"/>
      <c r="B883" s="36"/>
      <c r="C883" s="38"/>
      <c r="D883" s="38"/>
      <c r="E883" s="38"/>
      <c r="F883" s="38"/>
      <c r="G883" s="38"/>
      <c r="H883" s="41"/>
      <c r="I883" s="38"/>
      <c r="J883" s="60"/>
      <c r="K883" s="56"/>
    </row>
    <row r="884" spans="1:11" ht="20.05" customHeight="1" x14ac:dyDescent="0.2">
      <c r="A884" s="38"/>
      <c r="B884" s="36"/>
      <c r="C884" s="38"/>
      <c r="D884" s="38"/>
      <c r="E884" s="38"/>
      <c r="F884" s="38"/>
      <c r="G884" s="38"/>
      <c r="H884" s="41"/>
      <c r="I884" s="38"/>
      <c r="J884" s="60"/>
      <c r="K884" s="56"/>
    </row>
    <row r="885" spans="1:11" ht="20.05" customHeight="1" x14ac:dyDescent="0.2">
      <c r="A885" s="38"/>
      <c r="B885" s="36"/>
      <c r="C885" s="38"/>
      <c r="D885" s="38"/>
      <c r="E885" s="38"/>
      <c r="F885" s="38"/>
      <c r="G885" s="38"/>
      <c r="H885" s="41"/>
      <c r="I885" s="38"/>
      <c r="J885" s="60"/>
      <c r="K885" s="56"/>
    </row>
    <row r="886" spans="1:11" ht="20.05" customHeight="1" x14ac:dyDescent="0.2">
      <c r="A886" s="38"/>
      <c r="B886" s="36"/>
      <c r="C886" s="38"/>
      <c r="D886" s="38"/>
      <c r="E886" s="38"/>
      <c r="F886" s="38"/>
      <c r="G886" s="38"/>
      <c r="H886" s="41"/>
      <c r="I886" s="38"/>
      <c r="J886" s="60"/>
      <c r="K886" s="56"/>
    </row>
    <row r="887" spans="1:11" ht="20.05" customHeight="1" x14ac:dyDescent="0.2">
      <c r="A887" s="38"/>
      <c r="B887" s="36"/>
      <c r="C887" s="38"/>
      <c r="D887" s="38"/>
      <c r="E887" s="38"/>
      <c r="F887" s="38"/>
      <c r="G887" s="38"/>
      <c r="H887" s="41"/>
      <c r="I887" s="38"/>
      <c r="J887" s="60"/>
      <c r="K887" s="56"/>
    </row>
    <row r="888" spans="1:11" ht="20.05" customHeight="1" x14ac:dyDescent="0.2">
      <c r="A888" s="38"/>
      <c r="B888" s="36"/>
      <c r="C888" s="38"/>
      <c r="D888" s="38"/>
      <c r="E888" s="38"/>
      <c r="F888" s="38"/>
      <c r="G888" s="38"/>
      <c r="H888" s="41"/>
      <c r="I888" s="38"/>
      <c r="J888" s="60"/>
      <c r="K888" s="56"/>
    </row>
    <row r="889" spans="1:11" ht="20.05" customHeight="1" x14ac:dyDescent="0.2">
      <c r="A889" s="38"/>
      <c r="B889" s="36"/>
      <c r="C889" s="38"/>
      <c r="D889" s="38"/>
      <c r="E889" s="38"/>
      <c r="F889" s="38"/>
      <c r="G889" s="38"/>
      <c r="H889" s="41"/>
      <c r="I889" s="38"/>
      <c r="J889" s="60"/>
      <c r="K889" s="56"/>
    </row>
    <row r="890" spans="1:11" ht="20.05" customHeight="1" x14ac:dyDescent="0.2">
      <c r="A890" s="38"/>
      <c r="B890" s="36"/>
      <c r="C890" s="38"/>
      <c r="D890" s="38"/>
      <c r="E890" s="38"/>
      <c r="F890" s="38"/>
      <c r="G890" s="38"/>
      <c r="H890" s="41"/>
      <c r="I890" s="38"/>
      <c r="J890" s="60"/>
      <c r="K890" s="56"/>
    </row>
    <row r="891" spans="1:11" ht="20.05" customHeight="1" x14ac:dyDescent="0.2">
      <c r="A891" s="38"/>
      <c r="B891" s="36"/>
      <c r="C891" s="38"/>
      <c r="D891" s="38"/>
      <c r="E891" s="38"/>
      <c r="F891" s="38"/>
      <c r="G891" s="38"/>
      <c r="H891" s="41"/>
      <c r="I891" s="38"/>
      <c r="J891" s="60"/>
      <c r="K891" s="56"/>
    </row>
    <row r="892" spans="1:11" ht="20.05" customHeight="1" x14ac:dyDescent="0.2">
      <c r="A892" s="38"/>
      <c r="B892" s="36"/>
      <c r="C892" s="38"/>
      <c r="D892" s="38"/>
      <c r="E892" s="38"/>
      <c r="F892" s="38"/>
      <c r="G892" s="38"/>
      <c r="H892" s="41"/>
      <c r="I892" s="38"/>
      <c r="J892" s="60"/>
      <c r="K892" s="56"/>
    </row>
    <row r="893" spans="1:11" ht="20.05" customHeight="1" x14ac:dyDescent="0.2">
      <c r="A893" s="38"/>
      <c r="B893" s="36"/>
      <c r="C893" s="38"/>
      <c r="D893" s="38"/>
      <c r="E893" s="38"/>
      <c r="F893" s="38"/>
      <c r="G893" s="38"/>
      <c r="H893" s="41"/>
      <c r="I893" s="38"/>
      <c r="J893" s="60"/>
      <c r="K893" s="56"/>
    </row>
    <row r="894" spans="1:11" ht="20.05" customHeight="1" x14ac:dyDescent="0.2">
      <c r="A894" s="38"/>
      <c r="B894" s="36"/>
      <c r="C894" s="38"/>
      <c r="D894" s="38"/>
      <c r="E894" s="38"/>
      <c r="F894" s="38"/>
      <c r="G894" s="38"/>
      <c r="H894" s="41"/>
      <c r="I894" s="38"/>
      <c r="J894" s="60"/>
      <c r="K894" s="56"/>
    </row>
    <row r="895" spans="1:11" ht="20.05" customHeight="1" x14ac:dyDescent="0.2">
      <c r="A895" s="38"/>
      <c r="B895" s="36"/>
      <c r="C895" s="38"/>
      <c r="D895" s="38"/>
      <c r="E895" s="38"/>
      <c r="F895" s="38"/>
      <c r="G895" s="38"/>
      <c r="H895" s="41"/>
      <c r="I895" s="38"/>
      <c r="J895" s="60"/>
      <c r="K895" s="56"/>
    </row>
    <row r="896" spans="1:11" ht="20.05" customHeight="1" x14ac:dyDescent="0.2">
      <c r="A896" s="38"/>
      <c r="B896" s="36"/>
      <c r="C896" s="38"/>
      <c r="D896" s="38"/>
      <c r="E896" s="38"/>
      <c r="F896" s="38"/>
      <c r="G896" s="38"/>
      <c r="H896" s="41"/>
      <c r="I896" s="38"/>
      <c r="J896" s="60"/>
      <c r="K896" s="56"/>
    </row>
    <row r="897" spans="1:11" ht="20.05" customHeight="1" x14ac:dyDescent="0.2">
      <c r="A897" s="38"/>
      <c r="B897" s="36"/>
      <c r="C897" s="38"/>
      <c r="D897" s="38"/>
      <c r="E897" s="38"/>
      <c r="F897" s="38"/>
      <c r="G897" s="38"/>
      <c r="H897" s="41"/>
      <c r="I897" s="38"/>
      <c r="J897" s="60"/>
      <c r="K897" s="56"/>
    </row>
    <row r="898" spans="1:11" ht="20.05" customHeight="1" x14ac:dyDescent="0.2">
      <c r="A898" s="38"/>
      <c r="B898" s="36"/>
      <c r="C898" s="38"/>
      <c r="D898" s="38"/>
      <c r="E898" s="38"/>
      <c r="F898" s="38"/>
      <c r="G898" s="38"/>
      <c r="H898" s="41"/>
      <c r="I898" s="38"/>
      <c r="J898" s="60"/>
      <c r="K898" s="56"/>
    </row>
    <row r="899" spans="1:11" ht="20.05" customHeight="1" x14ac:dyDescent="0.2">
      <c r="A899" s="38"/>
      <c r="B899" s="36"/>
      <c r="C899" s="38"/>
      <c r="D899" s="38"/>
      <c r="E899" s="38"/>
      <c r="F899" s="38"/>
      <c r="G899" s="38"/>
      <c r="H899" s="41"/>
      <c r="I899" s="38"/>
      <c r="J899" s="60"/>
      <c r="K899" s="56"/>
    </row>
    <row r="900" spans="1:11" ht="20.05" customHeight="1" x14ac:dyDescent="0.2">
      <c r="A900" s="38"/>
      <c r="B900" s="36"/>
      <c r="C900" s="38"/>
      <c r="D900" s="38"/>
      <c r="E900" s="38"/>
      <c r="F900" s="38"/>
      <c r="G900" s="38"/>
      <c r="H900" s="41"/>
      <c r="I900" s="38"/>
      <c r="J900" s="60"/>
      <c r="K900" s="56"/>
    </row>
    <row r="901" spans="1:11" ht="20.05" customHeight="1" x14ac:dyDescent="0.2">
      <c r="A901" s="38"/>
      <c r="B901" s="36"/>
      <c r="C901" s="38"/>
      <c r="D901" s="38"/>
      <c r="E901" s="38"/>
      <c r="F901" s="38"/>
      <c r="G901" s="38"/>
      <c r="H901" s="41"/>
      <c r="I901" s="38"/>
      <c r="J901" s="60"/>
      <c r="K901" s="56"/>
    </row>
    <row r="902" spans="1:11" ht="20.05" customHeight="1" x14ac:dyDescent="0.2">
      <c r="A902" s="38"/>
      <c r="B902" s="36"/>
      <c r="C902" s="38"/>
      <c r="D902" s="38"/>
      <c r="E902" s="38"/>
      <c r="F902" s="38"/>
      <c r="G902" s="38"/>
      <c r="H902" s="41"/>
      <c r="I902" s="38"/>
      <c r="J902" s="60"/>
      <c r="K902" s="56"/>
    </row>
    <row r="903" spans="1:11" ht="20.05" customHeight="1" x14ac:dyDescent="0.2">
      <c r="A903" s="38"/>
      <c r="B903" s="36"/>
      <c r="C903" s="38"/>
      <c r="D903" s="38"/>
      <c r="E903" s="38"/>
      <c r="F903" s="38"/>
      <c r="G903" s="38"/>
      <c r="H903" s="41"/>
      <c r="I903" s="38"/>
      <c r="J903" s="60"/>
      <c r="K903" s="56"/>
    </row>
    <row r="904" spans="1:11" ht="20.05" customHeight="1" x14ac:dyDescent="0.2">
      <c r="A904" s="38"/>
      <c r="B904" s="36"/>
      <c r="C904" s="38"/>
      <c r="D904" s="38"/>
      <c r="E904" s="38"/>
      <c r="F904" s="38"/>
      <c r="G904" s="38"/>
      <c r="H904" s="41"/>
      <c r="I904" s="38"/>
      <c r="J904" s="60"/>
      <c r="K904" s="56"/>
    </row>
    <row r="905" spans="1:11" ht="20.05" customHeight="1" x14ac:dyDescent="0.2">
      <c r="A905" s="38"/>
      <c r="B905" s="36"/>
      <c r="C905" s="38"/>
      <c r="D905" s="38"/>
      <c r="E905" s="38"/>
      <c r="F905" s="38"/>
      <c r="G905" s="38"/>
      <c r="H905" s="42"/>
      <c r="I905" s="38"/>
      <c r="J905" s="60"/>
      <c r="K905" s="56"/>
    </row>
    <row r="906" spans="1:11" ht="20.05" customHeight="1" x14ac:dyDescent="0.2">
      <c r="A906" s="38"/>
      <c r="B906" s="160"/>
      <c r="C906" s="160"/>
      <c r="D906" s="160"/>
      <c r="E906" s="160"/>
      <c r="F906" s="160"/>
      <c r="G906" s="160"/>
      <c r="H906" s="38"/>
      <c r="I906" s="38"/>
      <c r="J906" s="60"/>
      <c r="K906" s="56"/>
    </row>
    <row r="907" spans="1:11" ht="20.05" customHeight="1" x14ac:dyDescent="0.2">
      <c r="A907" s="38"/>
      <c r="B907" s="36"/>
      <c r="C907" s="38"/>
      <c r="D907" s="38"/>
      <c r="E907" s="38"/>
      <c r="F907" s="38"/>
      <c r="G907" s="38"/>
      <c r="H907" s="41"/>
      <c r="I907" s="38"/>
      <c r="J907" s="60"/>
      <c r="K907" s="56"/>
    </row>
    <row r="908" spans="1:11" ht="20.05" customHeight="1" x14ac:dyDescent="0.2">
      <c r="A908" s="38"/>
      <c r="B908" s="36"/>
      <c r="C908" s="38"/>
      <c r="D908" s="38"/>
      <c r="E908" s="38"/>
      <c r="F908" s="38"/>
      <c r="G908" s="38"/>
      <c r="H908" s="41"/>
      <c r="I908" s="38"/>
      <c r="J908" s="60"/>
      <c r="K908" s="56"/>
    </row>
    <row r="909" spans="1:11" ht="20.05" customHeight="1" x14ac:dyDescent="0.2">
      <c r="A909" s="38"/>
      <c r="B909" s="36"/>
      <c r="C909" s="38"/>
      <c r="D909" s="38"/>
      <c r="E909" s="38"/>
      <c r="F909" s="38"/>
      <c r="G909" s="38"/>
      <c r="H909" s="41"/>
      <c r="I909" s="38"/>
      <c r="J909" s="60"/>
      <c r="K909" s="56"/>
    </row>
    <row r="910" spans="1:11" ht="20.05" customHeight="1" x14ac:dyDescent="0.2">
      <c r="A910" s="38"/>
      <c r="B910" s="36"/>
      <c r="C910" s="38"/>
      <c r="D910" s="38"/>
      <c r="E910" s="38"/>
      <c r="F910" s="38"/>
      <c r="G910" s="38"/>
      <c r="H910" s="41"/>
      <c r="I910" s="38"/>
      <c r="J910" s="60"/>
      <c r="K910" s="56"/>
    </row>
    <row r="911" spans="1:11" ht="20.05" customHeight="1" x14ac:dyDescent="0.2">
      <c r="A911" s="38"/>
      <c r="B911" s="36"/>
      <c r="C911" s="38"/>
      <c r="D911" s="38"/>
      <c r="E911" s="38"/>
      <c r="F911" s="38"/>
      <c r="G911" s="38"/>
      <c r="H911" s="41"/>
      <c r="I911" s="38"/>
      <c r="J911" s="60"/>
      <c r="K911" s="56"/>
    </row>
    <row r="912" spans="1:11" ht="20.05" customHeight="1" x14ac:dyDescent="0.2">
      <c r="A912" s="38"/>
      <c r="B912" s="36"/>
      <c r="C912" s="38"/>
      <c r="D912" s="38"/>
      <c r="E912" s="38"/>
      <c r="F912" s="38"/>
      <c r="G912" s="38"/>
      <c r="H912" s="41"/>
      <c r="I912" s="38"/>
      <c r="J912" s="60"/>
      <c r="K912" s="56"/>
    </row>
    <row r="913" spans="1:11" ht="20.05" customHeight="1" x14ac:dyDescent="0.2">
      <c r="A913" s="38"/>
      <c r="B913" s="36"/>
      <c r="C913" s="38"/>
      <c r="D913" s="38"/>
      <c r="E913" s="38"/>
      <c r="F913" s="38"/>
      <c r="G913" s="38"/>
      <c r="H913" s="41"/>
      <c r="I913" s="38"/>
      <c r="J913" s="60"/>
      <c r="K913" s="56"/>
    </row>
    <row r="914" spans="1:11" ht="20.05" customHeight="1" x14ac:dyDescent="0.2">
      <c r="A914" s="38"/>
      <c r="B914" s="36"/>
      <c r="C914" s="38"/>
      <c r="D914" s="38"/>
      <c r="E914" s="38"/>
      <c r="F914" s="38"/>
      <c r="G914" s="38"/>
      <c r="H914" s="42"/>
      <c r="I914" s="38"/>
      <c r="J914" s="60"/>
      <c r="K914" s="56"/>
    </row>
    <row r="915" spans="1:11" ht="20.05" customHeight="1" x14ac:dyDescent="0.2">
      <c r="A915" s="38"/>
      <c r="B915" s="160"/>
      <c r="C915" s="160"/>
      <c r="D915" s="160"/>
      <c r="E915" s="160"/>
      <c r="F915" s="160"/>
      <c r="G915" s="160"/>
      <c r="H915" s="38"/>
      <c r="I915" s="38"/>
      <c r="J915" s="60"/>
      <c r="K915" s="56"/>
    </row>
    <row r="916" spans="1:11" ht="20.05" customHeight="1" x14ac:dyDescent="0.2">
      <c r="A916" s="38"/>
      <c r="B916" s="36"/>
      <c r="C916" s="38"/>
      <c r="D916" s="38"/>
      <c r="E916" s="38"/>
      <c r="F916" s="38"/>
      <c r="G916" s="38"/>
      <c r="H916" s="41"/>
      <c r="I916" s="38"/>
      <c r="J916" s="60"/>
      <c r="K916" s="56"/>
    </row>
    <row r="917" spans="1:11" ht="20.05" customHeight="1" x14ac:dyDescent="0.2">
      <c r="A917" s="38"/>
      <c r="B917" s="36"/>
      <c r="C917" s="38"/>
      <c r="D917" s="38"/>
      <c r="E917" s="38"/>
      <c r="F917" s="38"/>
      <c r="G917" s="38"/>
      <c r="H917" s="41"/>
      <c r="I917" s="38"/>
      <c r="J917" s="60"/>
      <c r="K917" s="56"/>
    </row>
    <row r="918" spans="1:11" ht="20.05" customHeight="1" x14ac:dyDescent="0.2">
      <c r="A918" s="38"/>
      <c r="B918" s="36"/>
      <c r="C918" s="38"/>
      <c r="D918" s="38"/>
      <c r="E918" s="38"/>
      <c r="F918" s="38"/>
      <c r="G918" s="38"/>
      <c r="H918" s="41"/>
      <c r="I918" s="38"/>
      <c r="J918" s="60"/>
      <c r="K918" s="56"/>
    </row>
    <row r="919" spans="1:11" ht="20.05" customHeight="1" x14ac:dyDescent="0.2">
      <c r="A919" s="38"/>
      <c r="B919" s="36"/>
      <c r="C919" s="38"/>
      <c r="D919" s="38"/>
      <c r="E919" s="38"/>
      <c r="F919" s="38"/>
      <c r="G919" s="38"/>
      <c r="H919" s="41"/>
      <c r="I919" s="38"/>
      <c r="J919" s="60"/>
      <c r="K919" s="56"/>
    </row>
    <row r="920" spans="1:11" ht="20.05" customHeight="1" x14ac:dyDescent="0.2">
      <c r="A920" s="38"/>
      <c r="B920" s="36"/>
      <c r="C920" s="38"/>
      <c r="D920" s="38"/>
      <c r="E920" s="38"/>
      <c r="F920" s="38"/>
      <c r="G920" s="38"/>
      <c r="H920" s="41"/>
      <c r="I920" s="38"/>
      <c r="J920" s="60"/>
      <c r="K920" s="56"/>
    </row>
    <row r="921" spans="1:11" ht="20.05" customHeight="1" x14ac:dyDescent="0.2">
      <c r="A921" s="38"/>
      <c r="B921" s="36"/>
      <c r="C921" s="38"/>
      <c r="D921" s="38"/>
      <c r="E921" s="38"/>
      <c r="F921" s="38"/>
      <c r="G921" s="38"/>
      <c r="H921" s="41"/>
      <c r="I921" s="38"/>
      <c r="J921" s="60"/>
      <c r="K921" s="56"/>
    </row>
    <row r="922" spans="1:11" ht="20.05" customHeight="1" x14ac:dyDescent="0.2">
      <c r="A922" s="38"/>
      <c r="B922" s="36"/>
      <c r="C922" s="38"/>
      <c r="D922" s="38"/>
      <c r="E922" s="38"/>
      <c r="F922" s="38"/>
      <c r="G922" s="38"/>
      <c r="H922" s="41"/>
      <c r="I922" s="38"/>
      <c r="J922" s="60"/>
      <c r="K922" s="56"/>
    </row>
    <row r="923" spans="1:11" ht="20.05" customHeight="1" x14ac:dyDescent="0.2">
      <c r="A923" s="38"/>
      <c r="B923" s="36"/>
      <c r="C923" s="38"/>
      <c r="D923" s="38"/>
      <c r="E923" s="38"/>
      <c r="F923" s="38"/>
      <c r="G923" s="38"/>
      <c r="H923" s="41"/>
      <c r="I923" s="38"/>
      <c r="J923" s="60"/>
      <c r="K923" s="56"/>
    </row>
    <row r="924" spans="1:11" ht="20.05" customHeight="1" x14ac:dyDescent="0.2">
      <c r="A924" s="38"/>
      <c r="B924" s="36"/>
      <c r="C924" s="38"/>
      <c r="D924" s="38"/>
      <c r="E924" s="38"/>
      <c r="F924" s="38"/>
      <c r="G924" s="38"/>
      <c r="H924" s="41"/>
      <c r="I924" s="38"/>
      <c r="J924" s="60"/>
      <c r="K924" s="56"/>
    </row>
    <row r="925" spans="1:11" ht="20.05" customHeight="1" x14ac:dyDescent="0.2">
      <c r="A925" s="38"/>
      <c r="B925" s="36"/>
      <c r="C925" s="38"/>
      <c r="D925" s="38"/>
      <c r="E925" s="38"/>
      <c r="F925" s="38"/>
      <c r="G925" s="38"/>
      <c r="H925" s="41"/>
      <c r="I925" s="38"/>
      <c r="J925" s="60"/>
      <c r="K925" s="56"/>
    </row>
    <row r="926" spans="1:11" ht="20.05" customHeight="1" x14ac:dyDescent="0.2">
      <c r="A926" s="38"/>
      <c r="B926" s="36"/>
      <c r="C926" s="38"/>
      <c r="D926" s="38"/>
      <c r="E926" s="38"/>
      <c r="F926" s="38"/>
      <c r="G926" s="38"/>
      <c r="H926" s="41"/>
      <c r="I926" s="38"/>
      <c r="J926" s="60"/>
      <c r="K926" s="56"/>
    </row>
    <row r="927" spans="1:11" ht="20.05" customHeight="1" x14ac:dyDescent="0.2">
      <c r="A927" s="38"/>
      <c r="B927" s="36"/>
      <c r="C927" s="38"/>
      <c r="D927" s="38"/>
      <c r="E927" s="38"/>
      <c r="F927" s="38"/>
      <c r="G927" s="38"/>
      <c r="H927" s="41"/>
      <c r="I927" s="38"/>
      <c r="J927" s="60"/>
      <c r="K927" s="56"/>
    </row>
    <row r="928" spans="1:11" ht="20.05" customHeight="1" x14ac:dyDescent="0.2">
      <c r="A928" s="38"/>
      <c r="B928" s="36"/>
      <c r="C928" s="38"/>
      <c r="D928" s="38"/>
      <c r="E928" s="38"/>
      <c r="F928" s="38"/>
      <c r="G928" s="38"/>
      <c r="H928" s="41"/>
      <c r="I928" s="38"/>
      <c r="J928" s="60"/>
      <c r="K928" s="56"/>
    </row>
    <row r="929" spans="1:11" ht="20.05" customHeight="1" x14ac:dyDescent="0.2">
      <c r="A929" s="38"/>
      <c r="B929" s="36"/>
      <c r="C929" s="38"/>
      <c r="D929" s="38"/>
      <c r="E929" s="38"/>
      <c r="F929" s="38"/>
      <c r="G929" s="38"/>
      <c r="H929" s="41"/>
      <c r="I929" s="38"/>
      <c r="J929" s="60"/>
      <c r="K929" s="56"/>
    </row>
    <row r="930" spans="1:11" ht="20.05" customHeight="1" x14ac:dyDescent="0.2">
      <c r="A930" s="38"/>
      <c r="B930" s="36"/>
      <c r="C930" s="38"/>
      <c r="D930" s="38"/>
      <c r="E930" s="38"/>
      <c r="F930" s="38"/>
      <c r="G930" s="38"/>
      <c r="H930" s="41"/>
      <c r="I930" s="38"/>
      <c r="J930" s="60"/>
      <c r="K930" s="56"/>
    </row>
    <row r="931" spans="1:11" ht="20.05" customHeight="1" x14ac:dyDescent="0.2">
      <c r="A931" s="38"/>
      <c r="B931" s="36"/>
      <c r="C931" s="38"/>
      <c r="D931" s="38"/>
      <c r="E931" s="38"/>
      <c r="F931" s="38"/>
      <c r="G931" s="38"/>
      <c r="H931" s="41"/>
      <c r="I931" s="38"/>
      <c r="J931" s="60"/>
      <c r="K931" s="56"/>
    </row>
    <row r="932" spans="1:11" ht="20.05" customHeight="1" x14ac:dyDescent="0.2">
      <c r="A932" s="38"/>
      <c r="B932" s="36"/>
      <c r="C932" s="38"/>
      <c r="D932" s="38"/>
      <c r="E932" s="38"/>
      <c r="F932" s="38"/>
      <c r="G932" s="38"/>
      <c r="H932" s="41"/>
      <c r="I932" s="38"/>
      <c r="J932" s="60"/>
      <c r="K932" s="56"/>
    </row>
    <row r="933" spans="1:11" ht="20.05" customHeight="1" x14ac:dyDescent="0.2">
      <c r="A933" s="38"/>
      <c r="B933" s="36"/>
      <c r="C933" s="38"/>
      <c r="D933" s="38"/>
      <c r="E933" s="38"/>
      <c r="F933" s="38"/>
      <c r="G933" s="38"/>
      <c r="H933" s="41"/>
      <c r="I933" s="38"/>
      <c r="J933" s="60"/>
      <c r="K933" s="56"/>
    </row>
    <row r="934" spans="1:11" ht="20.05" customHeight="1" x14ac:dyDescent="0.2">
      <c r="A934" s="38"/>
      <c r="B934" s="36"/>
      <c r="C934" s="38"/>
      <c r="D934" s="38"/>
      <c r="E934" s="38"/>
      <c r="F934" s="38"/>
      <c r="G934" s="38"/>
      <c r="H934" s="41"/>
      <c r="I934" s="38"/>
      <c r="J934" s="60"/>
      <c r="K934" s="56"/>
    </row>
    <row r="935" spans="1:11" ht="20.05" customHeight="1" x14ac:dyDescent="0.2">
      <c r="A935" s="38"/>
      <c r="B935" s="36"/>
      <c r="C935" s="38"/>
      <c r="D935" s="38"/>
      <c r="E935" s="38"/>
      <c r="F935" s="38"/>
      <c r="G935" s="38"/>
      <c r="H935" s="41"/>
      <c r="I935" s="38"/>
      <c r="J935" s="60"/>
      <c r="K935" s="56"/>
    </row>
    <row r="936" spans="1:11" ht="20.05" customHeight="1" x14ac:dyDescent="0.2">
      <c r="A936" s="38"/>
      <c r="B936" s="36"/>
      <c r="C936" s="38"/>
      <c r="D936" s="38"/>
      <c r="E936" s="38"/>
      <c r="F936" s="38"/>
      <c r="G936" s="38"/>
      <c r="H936" s="41"/>
      <c r="I936" s="38"/>
      <c r="J936" s="60"/>
      <c r="K936" s="56"/>
    </row>
    <row r="937" spans="1:11" ht="20.05" customHeight="1" x14ac:dyDescent="0.2">
      <c r="A937" s="38"/>
      <c r="B937" s="36"/>
      <c r="C937" s="38"/>
      <c r="D937" s="38"/>
      <c r="E937" s="38"/>
      <c r="F937" s="38"/>
      <c r="G937" s="38"/>
      <c r="H937" s="41"/>
      <c r="I937" s="38"/>
      <c r="J937" s="60"/>
      <c r="K937" s="56"/>
    </row>
    <row r="938" spans="1:11" ht="20.05" customHeight="1" x14ac:dyDescent="0.2">
      <c r="A938" s="38"/>
      <c r="B938" s="36"/>
      <c r="C938" s="38"/>
      <c r="D938" s="38"/>
      <c r="E938" s="38"/>
      <c r="F938" s="38"/>
      <c r="G938" s="38"/>
      <c r="H938" s="41"/>
      <c r="I938" s="38"/>
      <c r="J938" s="60"/>
      <c r="K938" s="56"/>
    </row>
    <row r="939" spans="1:11" ht="20.05" customHeight="1" x14ac:dyDescent="0.2">
      <c r="A939" s="38"/>
      <c r="B939" s="36"/>
      <c r="C939" s="38"/>
      <c r="D939" s="38"/>
      <c r="E939" s="38"/>
      <c r="F939" s="38"/>
      <c r="G939" s="38"/>
      <c r="H939" s="41"/>
      <c r="I939" s="38"/>
      <c r="J939" s="60"/>
      <c r="K939" s="56"/>
    </row>
    <row r="940" spans="1:11" ht="20.05" customHeight="1" x14ac:dyDescent="0.2">
      <c r="A940" s="38"/>
      <c r="B940" s="36"/>
      <c r="C940" s="38"/>
      <c r="D940" s="38"/>
      <c r="E940" s="38"/>
      <c r="F940" s="38"/>
      <c r="G940" s="38"/>
      <c r="H940" s="41"/>
      <c r="I940" s="38"/>
      <c r="J940" s="60"/>
      <c r="K940" s="56"/>
    </row>
    <row r="941" spans="1:11" ht="20.05" customHeight="1" x14ac:dyDescent="0.2">
      <c r="A941" s="38"/>
      <c r="B941" s="36"/>
      <c r="C941" s="38"/>
      <c r="D941" s="38"/>
      <c r="E941" s="38"/>
      <c r="F941" s="38"/>
      <c r="G941" s="38"/>
      <c r="H941" s="41"/>
      <c r="I941" s="38"/>
      <c r="J941" s="60"/>
      <c r="K941" s="56"/>
    </row>
    <row r="942" spans="1:11" ht="20.05" customHeight="1" x14ac:dyDescent="0.2">
      <c r="A942" s="38"/>
      <c r="B942" s="36"/>
      <c r="C942" s="38"/>
      <c r="D942" s="38"/>
      <c r="E942" s="38"/>
      <c r="F942" s="38"/>
      <c r="G942" s="38"/>
      <c r="H942" s="41"/>
      <c r="I942" s="38"/>
      <c r="J942" s="60"/>
      <c r="K942" s="56"/>
    </row>
    <row r="943" spans="1:11" ht="20.05" customHeight="1" x14ac:dyDescent="0.2">
      <c r="A943" s="38"/>
      <c r="B943" s="36"/>
      <c r="C943" s="38"/>
      <c r="D943" s="38"/>
      <c r="E943" s="38"/>
      <c r="F943" s="38"/>
      <c r="G943" s="38"/>
      <c r="H943" s="41"/>
      <c r="I943" s="38"/>
      <c r="J943" s="60"/>
      <c r="K943" s="56"/>
    </row>
    <row r="944" spans="1:11" ht="20.05" customHeight="1" x14ac:dyDescent="0.2">
      <c r="A944" s="38"/>
      <c r="B944" s="36"/>
      <c r="C944" s="38"/>
      <c r="D944" s="38"/>
      <c r="E944" s="38"/>
      <c r="F944" s="38"/>
      <c r="G944" s="38"/>
      <c r="H944" s="41"/>
      <c r="I944" s="38"/>
      <c r="J944" s="60"/>
      <c r="K944" s="56"/>
    </row>
    <row r="945" spans="1:11" ht="20.05" customHeight="1" x14ac:dyDescent="0.2">
      <c r="A945" s="38"/>
      <c r="B945" s="36"/>
      <c r="C945" s="38"/>
      <c r="D945" s="38"/>
      <c r="E945" s="38"/>
      <c r="F945" s="38"/>
      <c r="G945" s="38"/>
      <c r="H945" s="41"/>
      <c r="I945" s="38"/>
      <c r="J945" s="60"/>
      <c r="K945" s="56"/>
    </row>
    <row r="946" spans="1:11" ht="20.05" customHeight="1" x14ac:dyDescent="0.2">
      <c r="A946" s="38"/>
      <c r="B946" s="36"/>
      <c r="C946" s="38"/>
      <c r="D946" s="38"/>
      <c r="E946" s="38"/>
      <c r="F946" s="38"/>
      <c r="G946" s="38"/>
      <c r="H946" s="42"/>
      <c r="I946" s="38"/>
      <c r="J946" s="60"/>
      <c r="K946" s="56"/>
    </row>
    <row r="947" spans="1:11" ht="20.05" customHeight="1" x14ac:dyDescent="0.2">
      <c r="A947" s="38"/>
      <c r="B947" s="160"/>
      <c r="C947" s="160"/>
      <c r="D947" s="160"/>
      <c r="E947" s="160"/>
      <c r="F947" s="160"/>
      <c r="G947" s="160"/>
      <c r="H947" s="38"/>
      <c r="I947" s="38"/>
      <c r="J947" s="60"/>
      <c r="K947" s="56"/>
    </row>
    <row r="948" spans="1:11" ht="20.05" customHeight="1" x14ac:dyDescent="0.2">
      <c r="A948" s="38"/>
      <c r="B948" s="52"/>
      <c r="C948" s="96"/>
      <c r="D948" s="96"/>
      <c r="E948" s="96"/>
      <c r="F948" s="96"/>
      <c r="G948" s="96"/>
      <c r="H948" s="38"/>
      <c r="I948" s="38"/>
      <c r="J948" s="60"/>
      <c r="K948" s="56"/>
    </row>
    <row r="949" spans="1:11" ht="20.05" customHeight="1" x14ac:dyDescent="0.2">
      <c r="A949" s="38"/>
      <c r="B949" s="36"/>
      <c r="C949" s="38"/>
      <c r="D949" s="38"/>
      <c r="E949" s="38"/>
      <c r="F949" s="38"/>
      <c r="G949" s="38"/>
      <c r="H949" s="41"/>
      <c r="I949" s="38"/>
      <c r="J949" s="60"/>
      <c r="K949" s="56"/>
    </row>
    <row r="950" spans="1:11" ht="20.05" customHeight="1" x14ac:dyDescent="0.2">
      <c r="A950" s="38"/>
      <c r="B950" s="36"/>
      <c r="C950" s="38"/>
      <c r="D950" s="38"/>
      <c r="E950" s="38"/>
      <c r="F950" s="38"/>
      <c r="G950" s="38"/>
      <c r="H950" s="41"/>
      <c r="I950" s="38"/>
      <c r="J950" s="60"/>
      <c r="K950" s="56"/>
    </row>
    <row r="951" spans="1:11" ht="20.05" customHeight="1" x14ac:dyDescent="0.2">
      <c r="A951" s="38"/>
      <c r="B951" s="36"/>
      <c r="C951" s="38"/>
      <c r="D951" s="38"/>
      <c r="E951" s="38"/>
      <c r="F951" s="38"/>
      <c r="G951" s="38"/>
      <c r="H951" s="41"/>
      <c r="I951" s="38"/>
      <c r="J951" s="60"/>
      <c r="K951" s="56"/>
    </row>
    <row r="952" spans="1:11" ht="20.05" customHeight="1" x14ac:dyDescent="0.2">
      <c r="A952" s="38"/>
      <c r="B952" s="36"/>
      <c r="C952" s="38"/>
      <c r="D952" s="38"/>
      <c r="E952" s="38"/>
      <c r="F952" s="38"/>
      <c r="G952" s="38"/>
      <c r="H952" s="41"/>
      <c r="I952" s="38"/>
      <c r="J952" s="60"/>
      <c r="K952" s="56"/>
    </row>
    <row r="953" spans="1:11" ht="20.05" customHeight="1" x14ac:dyDescent="0.2">
      <c r="A953" s="38"/>
      <c r="B953" s="36"/>
      <c r="C953" s="38"/>
      <c r="D953" s="38"/>
      <c r="E953" s="38"/>
      <c r="F953" s="38"/>
      <c r="G953" s="38"/>
      <c r="H953" s="41"/>
      <c r="I953" s="38"/>
      <c r="J953" s="60"/>
      <c r="K953" s="56"/>
    </row>
    <row r="954" spans="1:11" ht="20.05" customHeight="1" x14ac:dyDescent="0.2">
      <c r="A954" s="38"/>
      <c r="B954" s="36"/>
      <c r="C954" s="38"/>
      <c r="D954" s="38"/>
      <c r="E954" s="38"/>
      <c r="F954" s="38"/>
      <c r="G954" s="38"/>
      <c r="H954" s="41"/>
      <c r="I954" s="38"/>
      <c r="J954" s="60"/>
      <c r="K954" s="56"/>
    </row>
    <row r="955" spans="1:11" ht="20.05" customHeight="1" x14ac:dyDescent="0.2">
      <c r="A955" s="38"/>
      <c r="B955" s="36"/>
      <c r="C955" s="38"/>
      <c r="D955" s="38"/>
      <c r="E955" s="38"/>
      <c r="F955" s="38"/>
      <c r="G955" s="38"/>
      <c r="H955" s="41"/>
      <c r="I955" s="38"/>
      <c r="J955" s="60"/>
      <c r="K955" s="56"/>
    </row>
    <row r="956" spans="1:11" ht="20.05" customHeight="1" x14ac:dyDescent="0.2">
      <c r="A956" s="38"/>
      <c r="B956" s="36"/>
      <c r="C956" s="38"/>
      <c r="D956" s="38"/>
      <c r="E956" s="38"/>
      <c r="F956" s="38"/>
      <c r="G956" s="38"/>
      <c r="H956" s="41"/>
      <c r="I956" s="38"/>
      <c r="J956" s="60"/>
      <c r="K956" s="56"/>
    </row>
    <row r="957" spans="1:11" ht="20.05" customHeight="1" x14ac:dyDescent="0.2">
      <c r="A957" s="38"/>
      <c r="B957" s="36"/>
      <c r="C957" s="38"/>
      <c r="D957" s="38"/>
      <c r="E957" s="38"/>
      <c r="F957" s="38"/>
      <c r="G957" s="38"/>
      <c r="H957" s="41"/>
      <c r="I957" s="38"/>
      <c r="J957" s="60"/>
      <c r="K957" s="56"/>
    </row>
    <row r="958" spans="1:11" ht="20.05" customHeight="1" x14ac:dyDescent="0.2">
      <c r="A958" s="38"/>
      <c r="B958" s="36"/>
      <c r="C958" s="38"/>
      <c r="D958" s="38"/>
      <c r="E958" s="38"/>
      <c r="F958" s="38"/>
      <c r="G958" s="38"/>
      <c r="H958" s="41"/>
      <c r="I958" s="38"/>
      <c r="J958" s="60"/>
      <c r="K958" s="56"/>
    </row>
    <row r="959" spans="1:11" ht="20.05" customHeight="1" x14ac:dyDescent="0.2">
      <c r="A959" s="38"/>
      <c r="B959" s="36"/>
      <c r="C959" s="38"/>
      <c r="D959" s="38"/>
      <c r="E959" s="38"/>
      <c r="F959" s="38"/>
      <c r="G959" s="38"/>
      <c r="H959" s="41"/>
      <c r="I959" s="38"/>
      <c r="J959" s="60"/>
      <c r="K959" s="56"/>
    </row>
    <row r="960" spans="1:11" ht="20.05" customHeight="1" x14ac:dyDescent="0.2">
      <c r="A960" s="38"/>
      <c r="B960" s="36"/>
      <c r="C960" s="38"/>
      <c r="D960" s="38"/>
      <c r="E960" s="38"/>
      <c r="F960" s="38"/>
      <c r="G960" s="38"/>
      <c r="H960" s="41"/>
      <c r="I960" s="38"/>
      <c r="J960" s="60"/>
      <c r="K960" s="56"/>
    </row>
    <row r="961" spans="1:11" ht="20.05" customHeight="1" x14ac:dyDescent="0.2">
      <c r="A961" s="38"/>
      <c r="B961" s="36"/>
      <c r="C961" s="38"/>
      <c r="D961" s="38"/>
      <c r="E961" s="38"/>
      <c r="F961" s="38"/>
      <c r="G961" s="38"/>
      <c r="H961" s="41"/>
      <c r="I961" s="38"/>
      <c r="J961" s="60"/>
      <c r="K961" s="56"/>
    </row>
    <row r="962" spans="1:11" ht="20.05" customHeight="1" x14ac:dyDescent="0.2">
      <c r="A962" s="38"/>
      <c r="B962" s="36"/>
      <c r="C962" s="38"/>
      <c r="D962" s="38"/>
      <c r="E962" s="38"/>
      <c r="F962" s="38"/>
      <c r="G962" s="38"/>
      <c r="H962" s="41"/>
      <c r="I962" s="38"/>
      <c r="J962" s="60"/>
      <c r="K962" s="56"/>
    </row>
    <row r="963" spans="1:11" ht="20.05" customHeight="1" x14ac:dyDescent="0.2">
      <c r="A963" s="38"/>
      <c r="B963" s="36"/>
      <c r="C963" s="38"/>
      <c r="D963" s="38"/>
      <c r="E963" s="38"/>
      <c r="F963" s="38"/>
      <c r="G963" s="38"/>
      <c r="H963" s="41"/>
      <c r="I963" s="38"/>
      <c r="J963" s="60"/>
      <c r="K963" s="56"/>
    </row>
    <row r="964" spans="1:11" ht="20.05" customHeight="1" x14ac:dyDescent="0.2">
      <c r="A964" s="38"/>
      <c r="B964" s="36"/>
      <c r="C964" s="38"/>
      <c r="D964" s="38"/>
      <c r="E964" s="38"/>
      <c r="F964" s="38"/>
      <c r="G964" s="38"/>
      <c r="H964" s="41"/>
      <c r="I964" s="38"/>
      <c r="J964" s="60"/>
      <c r="K964" s="56"/>
    </row>
    <row r="965" spans="1:11" ht="20.05" customHeight="1" x14ac:dyDescent="0.2">
      <c r="A965" s="38"/>
      <c r="B965" s="36"/>
      <c r="C965" s="38"/>
      <c r="D965" s="38"/>
      <c r="E965" s="38"/>
      <c r="F965" s="38"/>
      <c r="G965" s="38"/>
      <c r="H965" s="41"/>
      <c r="I965" s="38"/>
      <c r="J965" s="60"/>
      <c r="K965" s="56"/>
    </row>
    <row r="966" spans="1:11" ht="20.05" customHeight="1" x14ac:dyDescent="0.2">
      <c r="A966" s="38"/>
      <c r="B966" s="36"/>
      <c r="C966" s="38"/>
      <c r="D966" s="38"/>
      <c r="E966" s="38"/>
      <c r="F966" s="38"/>
      <c r="G966" s="38"/>
      <c r="H966" s="41"/>
      <c r="I966" s="38"/>
      <c r="J966" s="60"/>
      <c r="K966" s="56"/>
    </row>
    <row r="967" spans="1:11" ht="20.05" customHeight="1" x14ac:dyDescent="0.2">
      <c r="A967" s="38"/>
      <c r="B967" s="36"/>
      <c r="C967" s="38"/>
      <c r="D967" s="38"/>
      <c r="E967" s="38"/>
      <c r="F967" s="38"/>
      <c r="G967" s="38"/>
      <c r="H967" s="41"/>
      <c r="I967" s="38"/>
      <c r="J967" s="60"/>
      <c r="K967" s="56"/>
    </row>
    <row r="968" spans="1:11" ht="20.05" customHeight="1" x14ac:dyDescent="0.2">
      <c r="A968" s="38"/>
      <c r="B968" s="36"/>
      <c r="C968" s="38"/>
      <c r="D968" s="38"/>
      <c r="E968" s="38"/>
      <c r="F968" s="38"/>
      <c r="G968" s="38"/>
      <c r="H968" s="41"/>
      <c r="I968" s="38"/>
      <c r="J968" s="60"/>
      <c r="K968" s="56"/>
    </row>
    <row r="969" spans="1:11" ht="20.05" customHeight="1" x14ac:dyDescent="0.2">
      <c r="A969" s="38"/>
      <c r="B969" s="36"/>
      <c r="C969" s="38"/>
      <c r="D969" s="38"/>
      <c r="E969" s="38"/>
      <c r="F969" s="38"/>
      <c r="G969" s="38"/>
      <c r="H969" s="41"/>
      <c r="I969" s="38"/>
      <c r="J969" s="60"/>
      <c r="K969" s="56"/>
    </row>
    <row r="970" spans="1:11" ht="20.05" customHeight="1" x14ac:dyDescent="0.2">
      <c r="A970" s="38"/>
      <c r="B970" s="36"/>
      <c r="C970" s="38"/>
      <c r="D970" s="38"/>
      <c r="E970" s="38"/>
      <c r="F970" s="38"/>
      <c r="G970" s="38"/>
      <c r="H970" s="41"/>
      <c r="I970" s="38"/>
      <c r="J970" s="60"/>
      <c r="K970" s="56"/>
    </row>
    <row r="971" spans="1:11" ht="20.05" customHeight="1" x14ac:dyDescent="0.2">
      <c r="A971" s="38"/>
      <c r="B971" s="36"/>
      <c r="C971" s="38"/>
      <c r="D971" s="38"/>
      <c r="E971" s="38"/>
      <c r="F971" s="38"/>
      <c r="G971" s="38"/>
      <c r="H971" s="41"/>
      <c r="I971" s="38"/>
      <c r="J971" s="60"/>
      <c r="K971" s="56"/>
    </row>
    <row r="972" spans="1:11" ht="20.05" customHeight="1" x14ac:dyDescent="0.2">
      <c r="A972" s="38"/>
      <c r="B972" s="36"/>
      <c r="C972" s="38"/>
      <c r="D972" s="38"/>
      <c r="E972" s="38"/>
      <c r="F972" s="38"/>
      <c r="G972" s="38"/>
      <c r="H972" s="41"/>
      <c r="I972" s="38"/>
      <c r="J972" s="60"/>
      <c r="K972" s="56"/>
    </row>
    <row r="973" spans="1:11" ht="20.05" customHeight="1" x14ac:dyDescent="0.2">
      <c r="A973" s="38"/>
      <c r="B973" s="36"/>
      <c r="C973" s="38"/>
      <c r="D973" s="38"/>
      <c r="E973" s="38"/>
      <c r="F973" s="38"/>
      <c r="G973" s="38"/>
      <c r="H973" s="41"/>
      <c r="I973" s="38"/>
      <c r="J973" s="60"/>
      <c r="K973" s="56"/>
    </row>
    <row r="974" spans="1:11" ht="20.05" customHeight="1" x14ac:dyDescent="0.2">
      <c r="A974" s="38"/>
      <c r="B974" s="36"/>
      <c r="C974" s="38"/>
      <c r="D974" s="38"/>
      <c r="E974" s="38"/>
      <c r="F974" s="38"/>
      <c r="G974" s="38"/>
      <c r="H974" s="41"/>
      <c r="I974" s="38"/>
      <c r="J974" s="60"/>
      <c r="K974" s="56"/>
    </row>
    <row r="975" spans="1:11" ht="20.05" customHeight="1" x14ac:dyDescent="0.2">
      <c r="A975" s="38"/>
      <c r="B975" s="36"/>
      <c r="C975" s="38"/>
      <c r="D975" s="38"/>
      <c r="E975" s="38"/>
      <c r="F975" s="38"/>
      <c r="G975" s="38"/>
      <c r="H975" s="41"/>
      <c r="I975" s="38"/>
      <c r="J975" s="60"/>
      <c r="K975" s="56"/>
    </row>
    <row r="976" spans="1:11" ht="20.05" customHeight="1" x14ac:dyDescent="0.2">
      <c r="A976" s="38"/>
      <c r="B976" s="36"/>
      <c r="C976" s="38"/>
      <c r="D976" s="38"/>
      <c r="E976" s="38"/>
      <c r="F976" s="38"/>
      <c r="G976" s="38"/>
      <c r="H976" s="41"/>
      <c r="I976" s="38"/>
      <c r="J976" s="60"/>
      <c r="K976" s="56"/>
    </row>
    <row r="977" spans="1:11" ht="20.05" customHeight="1" x14ac:dyDescent="0.2">
      <c r="A977" s="38"/>
      <c r="B977" s="36"/>
      <c r="C977" s="38"/>
      <c r="D977" s="38"/>
      <c r="E977" s="38"/>
      <c r="F977" s="38"/>
      <c r="G977" s="38"/>
      <c r="H977" s="41"/>
      <c r="I977" s="38"/>
      <c r="J977" s="60"/>
      <c r="K977" s="56"/>
    </row>
    <row r="978" spans="1:11" ht="20.05" customHeight="1" x14ac:dyDescent="0.2">
      <c r="A978" s="38"/>
      <c r="B978" s="36"/>
      <c r="C978" s="38"/>
      <c r="D978" s="38"/>
      <c r="E978" s="38"/>
      <c r="F978" s="38"/>
      <c r="G978" s="38"/>
      <c r="H978" s="41"/>
      <c r="I978" s="38"/>
      <c r="J978" s="60"/>
      <c r="K978" s="56"/>
    </row>
    <row r="979" spans="1:11" ht="20.05" customHeight="1" x14ac:dyDescent="0.2">
      <c r="A979" s="38"/>
      <c r="B979" s="51"/>
      <c r="C979" s="38"/>
      <c r="D979" s="38"/>
      <c r="E979" s="38"/>
      <c r="F979" s="38"/>
      <c r="G979" s="38"/>
      <c r="H979" s="41"/>
      <c r="I979" s="38"/>
      <c r="J979" s="60"/>
      <c r="K979" s="56"/>
    </row>
    <row r="980" spans="1:11" ht="20.05" customHeight="1" x14ac:dyDescent="0.2">
      <c r="A980" s="38"/>
      <c r="B980" s="36"/>
      <c r="C980" s="38"/>
      <c r="D980" s="38"/>
      <c r="E980" s="38"/>
      <c r="F980" s="38"/>
      <c r="G980" s="38"/>
      <c r="H980" s="41"/>
      <c r="I980" s="38"/>
      <c r="J980" s="60"/>
      <c r="K980" s="56"/>
    </row>
    <row r="981" spans="1:11" ht="20.05" customHeight="1" x14ac:dyDescent="0.2">
      <c r="A981" s="38"/>
      <c r="B981" s="36"/>
      <c r="C981" s="38"/>
      <c r="D981" s="38"/>
      <c r="E981" s="38"/>
      <c r="F981" s="38"/>
      <c r="G981" s="38"/>
      <c r="H981" s="41"/>
      <c r="I981" s="38"/>
      <c r="J981" s="60"/>
      <c r="K981" s="56"/>
    </row>
    <row r="982" spans="1:11" ht="20.05" customHeight="1" x14ac:dyDescent="0.2">
      <c r="A982" s="38"/>
      <c r="B982" s="36"/>
      <c r="C982" s="38"/>
      <c r="D982" s="38"/>
      <c r="E982" s="38"/>
      <c r="F982" s="38"/>
      <c r="G982" s="38"/>
      <c r="H982" s="41"/>
      <c r="I982" s="38"/>
      <c r="J982" s="60"/>
      <c r="K982" s="56"/>
    </row>
    <row r="983" spans="1:11" ht="20.05" customHeight="1" x14ac:dyDescent="0.2">
      <c r="A983" s="38"/>
      <c r="B983" s="36"/>
      <c r="C983" s="38"/>
      <c r="D983" s="38"/>
      <c r="E983" s="38"/>
      <c r="F983" s="38"/>
      <c r="G983" s="38"/>
      <c r="H983" s="41"/>
      <c r="I983" s="38"/>
      <c r="J983" s="60"/>
      <c r="K983" s="56"/>
    </row>
    <row r="984" spans="1:11" ht="20.05" customHeight="1" x14ac:dyDescent="0.2">
      <c r="A984" s="38"/>
      <c r="B984" s="36"/>
      <c r="C984" s="38"/>
      <c r="D984" s="38"/>
      <c r="E984" s="38"/>
      <c r="F984" s="38"/>
      <c r="G984" s="38"/>
      <c r="H984" s="41"/>
      <c r="I984" s="38"/>
      <c r="J984" s="60"/>
      <c r="K984" s="56"/>
    </row>
    <row r="985" spans="1:11" ht="20.05" customHeight="1" x14ac:dyDescent="0.2">
      <c r="A985" s="38"/>
      <c r="B985" s="36"/>
      <c r="C985" s="38"/>
      <c r="D985" s="38"/>
      <c r="E985" s="38"/>
      <c r="F985" s="38"/>
      <c r="G985" s="38"/>
      <c r="H985" s="41"/>
      <c r="I985" s="38"/>
      <c r="J985" s="60"/>
      <c r="K985" s="56"/>
    </row>
    <row r="986" spans="1:11" ht="20.05" customHeight="1" x14ac:dyDescent="0.2">
      <c r="A986" s="38"/>
      <c r="B986" s="36"/>
      <c r="C986" s="38"/>
      <c r="D986" s="38"/>
      <c r="E986" s="38"/>
      <c r="F986" s="38"/>
      <c r="G986" s="38"/>
      <c r="H986" s="41"/>
      <c r="I986" s="38"/>
      <c r="J986" s="60"/>
      <c r="K986" s="56"/>
    </row>
    <row r="987" spans="1:11" ht="20.05" customHeight="1" x14ac:dyDescent="0.2">
      <c r="A987" s="38"/>
      <c r="B987" s="36"/>
      <c r="C987" s="38"/>
      <c r="D987" s="38"/>
      <c r="E987" s="38"/>
      <c r="F987" s="38"/>
      <c r="G987" s="38"/>
      <c r="H987" s="41"/>
      <c r="I987" s="38"/>
      <c r="J987" s="60"/>
      <c r="K987" s="56"/>
    </row>
    <row r="988" spans="1:11" ht="20.05" customHeight="1" x14ac:dyDescent="0.2">
      <c r="A988" s="38"/>
      <c r="B988" s="36"/>
      <c r="C988" s="38"/>
      <c r="D988" s="38"/>
      <c r="E988" s="38"/>
      <c r="F988" s="38"/>
      <c r="G988" s="38"/>
      <c r="H988" s="41"/>
      <c r="I988" s="38"/>
      <c r="J988" s="60"/>
      <c r="K988" s="56"/>
    </row>
    <row r="989" spans="1:11" ht="20.05" customHeight="1" x14ac:dyDescent="0.2">
      <c r="A989" s="38"/>
      <c r="B989" s="36"/>
      <c r="C989" s="38"/>
      <c r="D989" s="38"/>
      <c r="E989" s="38"/>
      <c r="F989" s="38"/>
      <c r="G989" s="38"/>
      <c r="H989" s="41"/>
      <c r="I989" s="38"/>
      <c r="J989" s="60"/>
      <c r="K989" s="56"/>
    </row>
    <row r="990" spans="1:11" ht="20.05" customHeight="1" x14ac:dyDescent="0.2">
      <c r="A990" s="38"/>
      <c r="B990" s="36"/>
      <c r="C990" s="38"/>
      <c r="D990" s="38"/>
      <c r="E990" s="38"/>
      <c r="F990" s="38"/>
      <c r="G990" s="38"/>
      <c r="H990" s="41"/>
      <c r="I990" s="38"/>
      <c r="J990" s="60"/>
      <c r="K990" s="56"/>
    </row>
    <row r="991" spans="1:11" ht="20.05" customHeight="1" x14ac:dyDescent="0.2">
      <c r="A991" s="38"/>
      <c r="B991" s="36"/>
      <c r="C991" s="38"/>
      <c r="D991" s="38"/>
      <c r="E991" s="38"/>
      <c r="F991" s="38"/>
      <c r="G991" s="38"/>
      <c r="H991" s="41"/>
      <c r="I991" s="38"/>
      <c r="J991" s="60"/>
      <c r="K991" s="56"/>
    </row>
    <row r="992" spans="1:11" ht="20.05" customHeight="1" x14ac:dyDescent="0.2">
      <c r="A992" s="38"/>
      <c r="B992" s="36"/>
      <c r="C992" s="38"/>
      <c r="D992" s="38"/>
      <c r="E992" s="38"/>
      <c r="F992" s="38"/>
      <c r="G992" s="38"/>
      <c r="H992" s="41"/>
      <c r="I992" s="38"/>
      <c r="J992" s="60"/>
      <c r="K992" s="56"/>
    </row>
    <row r="993" spans="1:11" ht="20.05" customHeight="1" x14ac:dyDescent="0.2">
      <c r="A993" s="38"/>
      <c r="B993" s="36"/>
      <c r="C993" s="38"/>
      <c r="D993" s="38"/>
      <c r="E993" s="38"/>
      <c r="F993" s="38"/>
      <c r="G993" s="38"/>
      <c r="H993" s="41"/>
      <c r="I993" s="38"/>
      <c r="J993" s="60"/>
      <c r="K993" s="56"/>
    </row>
    <row r="994" spans="1:11" ht="20.05" customHeight="1" x14ac:dyDescent="0.2">
      <c r="A994" s="38"/>
      <c r="B994" s="36"/>
      <c r="C994" s="38"/>
      <c r="D994" s="38"/>
      <c r="E994" s="38"/>
      <c r="F994" s="38"/>
      <c r="G994" s="38"/>
      <c r="H994" s="41"/>
      <c r="I994" s="38"/>
      <c r="J994" s="60"/>
      <c r="K994" s="56"/>
    </row>
    <row r="995" spans="1:11" ht="20.05" customHeight="1" x14ac:dyDescent="0.2">
      <c r="A995" s="38"/>
      <c r="B995" s="36"/>
      <c r="C995" s="38"/>
      <c r="D995" s="38"/>
      <c r="E995" s="38"/>
      <c r="F995" s="38"/>
      <c r="G995" s="38"/>
      <c r="H995" s="41"/>
      <c r="I995" s="38"/>
      <c r="J995" s="60"/>
      <c r="K995" s="56"/>
    </row>
    <row r="996" spans="1:11" ht="20.05" customHeight="1" x14ac:dyDescent="0.2">
      <c r="A996" s="38"/>
      <c r="B996" s="36"/>
      <c r="C996" s="38"/>
      <c r="D996" s="38"/>
      <c r="E996" s="38"/>
      <c r="F996" s="38"/>
      <c r="G996" s="38"/>
      <c r="H996" s="41"/>
      <c r="I996" s="38"/>
      <c r="J996" s="60"/>
      <c r="K996" s="56"/>
    </row>
    <row r="997" spans="1:11" ht="20.05" customHeight="1" x14ac:dyDescent="0.2">
      <c r="A997" s="38"/>
      <c r="B997" s="36"/>
      <c r="C997" s="38"/>
      <c r="D997" s="38"/>
      <c r="E997" s="38"/>
      <c r="F997" s="38"/>
      <c r="G997" s="38"/>
      <c r="H997" s="41"/>
      <c r="I997" s="38"/>
      <c r="J997" s="60"/>
      <c r="K997" s="56"/>
    </row>
    <row r="998" spans="1:11" ht="20.05" customHeight="1" x14ac:dyDescent="0.2">
      <c r="A998" s="38"/>
      <c r="B998" s="36"/>
      <c r="C998" s="38"/>
      <c r="D998" s="38"/>
      <c r="E998" s="38"/>
      <c r="F998" s="38"/>
      <c r="G998" s="38"/>
      <c r="H998" s="41"/>
      <c r="I998" s="38"/>
      <c r="J998" s="60"/>
      <c r="K998" s="56"/>
    </row>
    <row r="999" spans="1:11" ht="20.05" customHeight="1" x14ac:dyDescent="0.2">
      <c r="A999" s="38"/>
      <c r="B999" s="36"/>
      <c r="C999" s="38"/>
      <c r="D999" s="38"/>
      <c r="E999" s="38"/>
      <c r="F999" s="38"/>
      <c r="G999" s="38"/>
      <c r="H999" s="41"/>
      <c r="I999" s="38"/>
      <c r="J999" s="60"/>
      <c r="K999" s="56"/>
    </row>
    <row r="1000" spans="1:11" ht="20.05" customHeight="1" x14ac:dyDescent="0.2">
      <c r="A1000" s="38"/>
      <c r="B1000" s="36"/>
      <c r="C1000" s="38"/>
      <c r="D1000" s="38"/>
      <c r="E1000" s="38"/>
      <c r="F1000" s="38"/>
      <c r="G1000" s="38"/>
      <c r="H1000" s="42"/>
      <c r="I1000" s="38"/>
      <c r="J1000" s="60"/>
      <c r="K1000" s="56"/>
    </row>
    <row r="1001" spans="1:11" ht="20.05" customHeight="1" x14ac:dyDescent="0.2">
      <c r="A1001" s="38"/>
      <c r="B1001" s="160"/>
      <c r="C1001" s="160"/>
      <c r="D1001" s="160"/>
      <c r="E1001" s="160"/>
      <c r="F1001" s="160"/>
      <c r="G1001" s="160"/>
      <c r="H1001" s="38"/>
      <c r="I1001" s="38"/>
      <c r="J1001" s="60"/>
      <c r="K1001" s="56"/>
    </row>
    <row r="1002" spans="1:11" ht="20.05" customHeight="1" x14ac:dyDescent="0.2">
      <c r="A1002" s="38"/>
      <c r="B1002" s="36"/>
      <c r="C1002" s="38"/>
      <c r="D1002" s="38"/>
      <c r="E1002" s="38"/>
      <c r="F1002" s="38"/>
      <c r="G1002" s="38"/>
      <c r="H1002" s="41"/>
      <c r="I1002" s="38"/>
      <c r="J1002" s="60"/>
      <c r="K1002" s="56"/>
    </row>
    <row r="1003" spans="1:11" ht="20.05" customHeight="1" x14ac:dyDescent="0.2">
      <c r="A1003" s="38"/>
      <c r="B1003" s="36"/>
      <c r="C1003" s="38"/>
      <c r="D1003" s="38"/>
      <c r="E1003" s="38"/>
      <c r="F1003" s="38"/>
      <c r="G1003" s="38"/>
      <c r="H1003" s="41"/>
      <c r="I1003" s="38"/>
      <c r="J1003" s="60"/>
      <c r="K1003" s="56"/>
    </row>
    <row r="1004" spans="1:11" ht="20.05" customHeight="1" x14ac:dyDescent="0.2">
      <c r="A1004" s="38"/>
      <c r="B1004" s="36"/>
      <c r="C1004" s="38"/>
      <c r="D1004" s="38"/>
      <c r="E1004" s="38"/>
      <c r="F1004" s="38"/>
      <c r="G1004" s="38"/>
      <c r="H1004" s="41"/>
      <c r="I1004" s="38"/>
      <c r="J1004" s="60"/>
      <c r="K1004" s="56"/>
    </row>
    <row r="1005" spans="1:11" ht="20.05" customHeight="1" x14ac:dyDescent="0.2">
      <c r="A1005" s="38"/>
      <c r="B1005" s="36"/>
      <c r="C1005" s="38"/>
      <c r="D1005" s="38"/>
      <c r="E1005" s="38"/>
      <c r="F1005" s="38"/>
      <c r="G1005" s="38"/>
      <c r="H1005" s="41"/>
      <c r="I1005" s="38"/>
      <c r="J1005" s="60"/>
      <c r="K1005" s="56"/>
    </row>
    <row r="1006" spans="1:11" ht="20.05" customHeight="1" x14ac:dyDescent="0.2">
      <c r="A1006" s="38"/>
      <c r="B1006" s="36"/>
      <c r="C1006" s="38"/>
      <c r="D1006" s="38"/>
      <c r="E1006" s="38"/>
      <c r="F1006" s="38"/>
      <c r="G1006" s="38"/>
      <c r="H1006" s="41"/>
      <c r="I1006" s="38"/>
      <c r="J1006" s="60"/>
      <c r="K1006" s="56"/>
    </row>
    <row r="1007" spans="1:11" ht="20.05" customHeight="1" x14ac:dyDescent="0.2">
      <c r="A1007" s="38"/>
      <c r="B1007" s="36"/>
      <c r="C1007" s="38"/>
      <c r="D1007" s="38"/>
      <c r="E1007" s="38"/>
      <c r="F1007" s="38"/>
      <c r="G1007" s="38"/>
      <c r="H1007" s="41"/>
      <c r="I1007" s="38"/>
      <c r="J1007" s="60"/>
      <c r="K1007" s="56"/>
    </row>
    <row r="1008" spans="1:11" ht="20.05" customHeight="1" x14ac:dyDescent="0.2">
      <c r="A1008" s="38"/>
      <c r="B1008" s="36"/>
      <c r="C1008" s="38"/>
      <c r="D1008" s="38"/>
      <c r="E1008" s="38"/>
      <c r="F1008" s="38"/>
      <c r="G1008" s="38"/>
      <c r="H1008" s="41"/>
      <c r="I1008" s="38"/>
      <c r="J1008" s="60"/>
      <c r="K1008" s="56"/>
    </row>
    <row r="1009" spans="1:11" ht="20.05" customHeight="1" x14ac:dyDescent="0.2">
      <c r="A1009" s="38"/>
      <c r="B1009" s="36"/>
      <c r="C1009" s="38"/>
      <c r="D1009" s="38"/>
      <c r="E1009" s="38"/>
      <c r="F1009" s="38"/>
      <c r="G1009" s="38"/>
      <c r="H1009" s="41"/>
      <c r="I1009" s="38"/>
      <c r="J1009" s="60"/>
      <c r="K1009" s="56"/>
    </row>
    <row r="1010" spans="1:11" ht="20.05" customHeight="1" x14ac:dyDescent="0.2">
      <c r="A1010" s="38"/>
      <c r="B1010" s="36"/>
      <c r="C1010" s="38"/>
      <c r="D1010" s="38"/>
      <c r="E1010" s="38"/>
      <c r="F1010" s="38"/>
      <c r="G1010" s="38"/>
      <c r="H1010" s="41"/>
      <c r="I1010" s="38"/>
      <c r="J1010" s="60"/>
      <c r="K1010" s="56"/>
    </row>
    <row r="1011" spans="1:11" ht="20.05" customHeight="1" x14ac:dyDescent="0.2">
      <c r="A1011" s="38"/>
      <c r="B1011" s="36"/>
      <c r="C1011" s="38"/>
      <c r="D1011" s="38"/>
      <c r="E1011" s="38"/>
      <c r="F1011" s="38"/>
      <c r="G1011" s="38"/>
      <c r="H1011" s="41"/>
      <c r="I1011" s="38"/>
      <c r="J1011" s="60"/>
      <c r="K1011" s="56"/>
    </row>
    <row r="1012" spans="1:11" ht="20.05" customHeight="1" x14ac:dyDescent="0.2">
      <c r="A1012" s="38"/>
      <c r="B1012" s="36"/>
      <c r="C1012" s="38"/>
      <c r="D1012" s="38"/>
      <c r="E1012" s="38"/>
      <c r="F1012" s="38"/>
      <c r="G1012" s="38"/>
      <c r="H1012" s="41"/>
      <c r="I1012" s="38"/>
      <c r="J1012" s="60"/>
      <c r="K1012" s="56"/>
    </row>
    <row r="1013" spans="1:11" ht="20.05" customHeight="1" x14ac:dyDescent="0.2">
      <c r="A1013" s="38"/>
      <c r="B1013" s="36"/>
      <c r="C1013" s="38"/>
      <c r="D1013" s="38"/>
      <c r="E1013" s="38"/>
      <c r="F1013" s="38"/>
      <c r="G1013" s="38"/>
      <c r="H1013" s="41"/>
      <c r="I1013" s="38"/>
      <c r="J1013" s="60"/>
      <c r="K1013" s="56"/>
    </row>
    <row r="1014" spans="1:11" ht="20.05" customHeight="1" x14ac:dyDescent="0.2">
      <c r="A1014" s="38"/>
      <c r="B1014" s="36"/>
      <c r="C1014" s="38"/>
      <c r="D1014" s="38"/>
      <c r="E1014" s="38"/>
      <c r="F1014" s="38"/>
      <c r="G1014" s="38"/>
      <c r="H1014" s="41"/>
      <c r="I1014" s="38"/>
      <c r="J1014" s="60"/>
      <c r="K1014" s="56"/>
    </row>
    <row r="1015" spans="1:11" ht="20.05" customHeight="1" x14ac:dyDescent="0.2">
      <c r="A1015" s="38"/>
      <c r="B1015" s="36"/>
      <c r="C1015" s="38"/>
      <c r="D1015" s="38"/>
      <c r="E1015" s="38"/>
      <c r="F1015" s="38"/>
      <c r="G1015" s="38"/>
      <c r="H1015" s="41"/>
      <c r="I1015" s="38"/>
      <c r="J1015" s="60"/>
      <c r="K1015" s="56"/>
    </row>
    <row r="1016" spans="1:11" ht="20.05" customHeight="1" x14ac:dyDescent="0.2">
      <c r="A1016" s="38"/>
      <c r="B1016" s="36"/>
      <c r="C1016" s="38"/>
      <c r="D1016" s="38"/>
      <c r="E1016" s="38"/>
      <c r="F1016" s="38"/>
      <c r="G1016" s="38"/>
      <c r="H1016" s="41"/>
      <c r="I1016" s="38"/>
      <c r="J1016" s="60"/>
      <c r="K1016" s="56"/>
    </row>
    <row r="1017" spans="1:11" ht="20.05" customHeight="1" x14ac:dyDescent="0.2">
      <c r="A1017" s="38"/>
      <c r="B1017" s="36"/>
      <c r="C1017" s="38"/>
      <c r="D1017" s="38"/>
      <c r="E1017" s="38"/>
      <c r="F1017" s="38"/>
      <c r="G1017" s="38"/>
      <c r="H1017" s="41"/>
      <c r="I1017" s="38"/>
      <c r="J1017" s="60"/>
      <c r="K1017" s="56"/>
    </row>
    <row r="1018" spans="1:11" ht="20.05" customHeight="1" x14ac:dyDescent="0.2">
      <c r="A1018" s="38"/>
      <c r="B1018" s="36"/>
      <c r="C1018" s="38"/>
      <c r="D1018" s="38"/>
      <c r="E1018" s="38"/>
      <c r="F1018" s="38"/>
      <c r="G1018" s="38"/>
      <c r="H1018" s="41"/>
      <c r="I1018" s="38"/>
      <c r="J1018" s="60"/>
      <c r="K1018" s="56"/>
    </row>
    <row r="1019" spans="1:11" ht="20.05" customHeight="1" x14ac:dyDescent="0.2">
      <c r="A1019" s="38"/>
      <c r="B1019" s="36"/>
      <c r="C1019" s="38"/>
      <c r="D1019" s="38"/>
      <c r="E1019" s="38"/>
      <c r="F1019" s="38"/>
      <c r="G1019" s="38"/>
      <c r="H1019" s="41"/>
      <c r="I1019" s="38"/>
      <c r="J1019" s="60"/>
      <c r="K1019" s="56"/>
    </row>
    <row r="1020" spans="1:11" ht="20.05" customHeight="1" x14ac:dyDescent="0.2">
      <c r="A1020" s="38"/>
      <c r="B1020" s="36"/>
      <c r="C1020" s="38"/>
      <c r="D1020" s="38"/>
      <c r="E1020" s="38"/>
      <c r="F1020" s="38"/>
      <c r="G1020" s="38"/>
      <c r="H1020" s="41"/>
      <c r="I1020" s="38"/>
      <c r="J1020" s="60"/>
      <c r="K1020" s="56"/>
    </row>
    <row r="1021" spans="1:11" ht="20.05" customHeight="1" x14ac:dyDescent="0.2">
      <c r="A1021" s="38"/>
      <c r="B1021" s="36"/>
      <c r="C1021" s="38"/>
      <c r="D1021" s="38"/>
      <c r="E1021" s="38"/>
      <c r="F1021" s="38"/>
      <c r="G1021" s="38"/>
      <c r="H1021" s="41"/>
      <c r="I1021" s="38"/>
      <c r="J1021" s="60"/>
      <c r="K1021" s="56"/>
    </row>
    <row r="1022" spans="1:11" ht="20.05" customHeight="1" x14ac:dyDescent="0.2">
      <c r="A1022" s="38"/>
      <c r="B1022" s="36"/>
      <c r="C1022" s="38"/>
      <c r="D1022" s="38"/>
      <c r="E1022" s="38"/>
      <c r="F1022" s="38"/>
      <c r="G1022" s="38"/>
      <c r="H1022" s="41"/>
      <c r="I1022" s="38"/>
      <c r="J1022" s="60"/>
      <c r="K1022" s="56"/>
    </row>
    <row r="1023" spans="1:11" ht="20.05" customHeight="1" x14ac:dyDescent="0.2">
      <c r="A1023" s="38"/>
      <c r="B1023" s="36"/>
      <c r="C1023" s="38"/>
      <c r="D1023" s="38"/>
      <c r="E1023" s="38"/>
      <c r="F1023" s="38"/>
      <c r="G1023" s="38"/>
      <c r="H1023" s="41"/>
      <c r="I1023" s="38"/>
      <c r="J1023" s="60"/>
      <c r="K1023" s="56"/>
    </row>
    <row r="1024" spans="1:11" ht="20.05" customHeight="1" x14ac:dyDescent="0.2">
      <c r="A1024" s="38"/>
      <c r="B1024" s="36"/>
      <c r="C1024" s="38"/>
      <c r="D1024" s="38"/>
      <c r="E1024" s="38"/>
      <c r="F1024" s="38"/>
      <c r="G1024" s="38"/>
      <c r="H1024" s="41"/>
      <c r="I1024" s="38"/>
      <c r="J1024" s="60"/>
      <c r="K1024" s="56"/>
    </row>
    <row r="1025" spans="1:11" ht="20.05" customHeight="1" x14ac:dyDescent="0.2">
      <c r="A1025" s="38"/>
      <c r="B1025" s="36"/>
      <c r="C1025" s="38"/>
      <c r="D1025" s="38"/>
      <c r="E1025" s="38"/>
      <c r="F1025" s="38"/>
      <c r="G1025" s="38"/>
      <c r="H1025" s="41"/>
      <c r="I1025" s="38"/>
      <c r="J1025" s="60"/>
      <c r="K1025" s="56"/>
    </row>
    <row r="1026" spans="1:11" ht="20.05" customHeight="1" x14ac:dyDescent="0.2">
      <c r="A1026" s="38"/>
      <c r="B1026" s="36"/>
      <c r="C1026" s="38"/>
      <c r="D1026" s="38"/>
      <c r="E1026" s="38"/>
      <c r="F1026" s="38"/>
      <c r="G1026" s="38"/>
      <c r="H1026" s="41"/>
      <c r="I1026" s="38"/>
      <c r="J1026" s="60"/>
      <c r="K1026" s="56"/>
    </row>
    <row r="1027" spans="1:11" ht="20.05" customHeight="1" x14ac:dyDescent="0.2">
      <c r="A1027" s="38"/>
      <c r="B1027" s="36"/>
      <c r="C1027" s="38"/>
      <c r="D1027" s="38"/>
      <c r="E1027" s="38"/>
      <c r="F1027" s="38"/>
      <c r="G1027" s="38"/>
      <c r="H1027" s="41"/>
      <c r="I1027" s="38"/>
      <c r="J1027" s="60"/>
      <c r="K1027" s="56"/>
    </row>
    <row r="1028" spans="1:11" ht="20.05" customHeight="1" x14ac:dyDescent="0.2">
      <c r="A1028" s="38"/>
      <c r="B1028" s="36"/>
      <c r="C1028" s="38"/>
      <c r="D1028" s="38"/>
      <c r="E1028" s="38"/>
      <c r="F1028" s="38"/>
      <c r="G1028" s="38"/>
      <c r="H1028" s="41"/>
      <c r="I1028" s="38"/>
      <c r="J1028" s="60"/>
      <c r="K1028" s="56"/>
    </row>
    <row r="1029" spans="1:11" ht="20.05" customHeight="1" x14ac:dyDescent="0.2">
      <c r="A1029" s="38"/>
      <c r="B1029" s="36"/>
      <c r="C1029" s="38"/>
      <c r="D1029" s="38"/>
      <c r="E1029" s="38"/>
      <c r="F1029" s="38"/>
      <c r="G1029" s="38"/>
      <c r="H1029" s="41"/>
      <c r="I1029" s="38"/>
      <c r="J1029" s="60"/>
      <c r="K1029" s="56"/>
    </row>
    <row r="1030" spans="1:11" ht="20.05" customHeight="1" x14ac:dyDescent="0.2">
      <c r="A1030" s="38"/>
      <c r="B1030" s="36"/>
      <c r="C1030" s="38"/>
      <c r="D1030" s="38"/>
      <c r="E1030" s="38"/>
      <c r="F1030" s="38"/>
      <c r="G1030" s="38"/>
      <c r="H1030" s="41"/>
      <c r="I1030" s="38"/>
      <c r="J1030" s="60"/>
      <c r="K1030" s="56"/>
    </row>
    <row r="1031" spans="1:11" ht="20.05" customHeight="1" x14ac:dyDescent="0.2">
      <c r="A1031" s="38"/>
      <c r="B1031" s="36"/>
      <c r="C1031" s="38"/>
      <c r="D1031" s="38"/>
      <c r="E1031" s="38"/>
      <c r="F1031" s="38"/>
      <c r="G1031" s="38"/>
      <c r="H1031" s="41"/>
      <c r="I1031" s="38"/>
      <c r="J1031" s="60"/>
      <c r="K1031" s="56"/>
    </row>
    <row r="1032" spans="1:11" ht="20.05" customHeight="1" x14ac:dyDescent="0.2">
      <c r="A1032" s="38"/>
      <c r="B1032" s="36"/>
      <c r="C1032" s="38"/>
      <c r="D1032" s="38"/>
      <c r="E1032" s="38"/>
      <c r="F1032" s="38"/>
      <c r="G1032" s="38"/>
      <c r="H1032" s="41"/>
      <c r="I1032" s="38"/>
      <c r="J1032" s="60"/>
      <c r="K1032" s="56"/>
    </row>
    <row r="1033" spans="1:11" ht="20.05" customHeight="1" x14ac:dyDescent="0.2">
      <c r="A1033" s="38"/>
      <c r="B1033" s="36"/>
      <c r="C1033" s="38"/>
      <c r="D1033" s="38"/>
      <c r="E1033" s="38"/>
      <c r="F1033" s="38"/>
      <c r="G1033" s="38"/>
      <c r="H1033" s="41"/>
      <c r="I1033" s="38"/>
      <c r="J1033" s="60"/>
      <c r="K1033" s="56"/>
    </row>
    <row r="1034" spans="1:11" ht="20.05" customHeight="1" x14ac:dyDescent="0.2">
      <c r="A1034" s="38"/>
      <c r="B1034" s="36"/>
      <c r="C1034" s="38"/>
      <c r="D1034" s="38"/>
      <c r="E1034" s="38"/>
      <c r="F1034" s="38"/>
      <c r="G1034" s="38"/>
      <c r="H1034" s="41"/>
      <c r="I1034" s="38"/>
      <c r="J1034" s="60"/>
      <c r="K1034" s="56"/>
    </row>
    <row r="1035" spans="1:11" ht="20.05" customHeight="1" x14ac:dyDescent="0.2">
      <c r="A1035" s="38"/>
      <c r="B1035" s="36"/>
      <c r="C1035" s="38"/>
      <c r="D1035" s="38"/>
      <c r="E1035" s="38"/>
      <c r="F1035" s="38"/>
      <c r="G1035" s="38"/>
      <c r="H1035" s="41"/>
      <c r="I1035" s="38"/>
      <c r="J1035" s="60"/>
      <c r="K1035" s="56"/>
    </row>
    <row r="1036" spans="1:11" ht="20.05" customHeight="1" x14ac:dyDescent="0.2">
      <c r="A1036" s="38"/>
      <c r="B1036" s="36"/>
      <c r="C1036" s="38"/>
      <c r="D1036" s="38"/>
      <c r="E1036" s="38"/>
      <c r="F1036" s="38"/>
      <c r="G1036" s="38"/>
      <c r="H1036" s="41"/>
      <c r="I1036" s="38"/>
      <c r="J1036" s="60"/>
      <c r="K1036" s="56"/>
    </row>
    <row r="1037" spans="1:11" ht="20.05" customHeight="1" x14ac:dyDescent="0.2">
      <c r="A1037" s="38"/>
      <c r="B1037" s="36"/>
      <c r="C1037" s="38"/>
      <c r="D1037" s="38"/>
      <c r="E1037" s="38"/>
      <c r="F1037" s="38"/>
      <c r="G1037" s="38"/>
      <c r="H1037" s="41"/>
      <c r="I1037" s="38"/>
      <c r="J1037" s="60"/>
      <c r="K1037" s="56"/>
    </row>
    <row r="1038" spans="1:11" ht="20.05" customHeight="1" x14ac:dyDescent="0.2">
      <c r="A1038" s="38"/>
      <c r="B1038" s="36"/>
      <c r="C1038" s="38"/>
      <c r="D1038" s="38"/>
      <c r="E1038" s="38"/>
      <c r="F1038" s="38"/>
      <c r="G1038" s="38"/>
      <c r="H1038" s="41"/>
      <c r="I1038" s="38"/>
      <c r="J1038" s="60"/>
      <c r="K1038" s="56"/>
    </row>
    <row r="1039" spans="1:11" ht="20.05" customHeight="1" x14ac:dyDescent="0.2">
      <c r="A1039" s="38"/>
      <c r="B1039" s="36"/>
      <c r="C1039" s="38"/>
      <c r="D1039" s="38"/>
      <c r="E1039" s="38"/>
      <c r="F1039" s="38"/>
      <c r="G1039" s="38"/>
      <c r="H1039" s="41"/>
      <c r="I1039" s="38"/>
      <c r="J1039" s="60"/>
      <c r="K1039" s="56"/>
    </row>
    <row r="1040" spans="1:11" ht="20.05" customHeight="1" x14ac:dyDescent="0.2">
      <c r="A1040" s="38"/>
      <c r="B1040" s="36"/>
      <c r="C1040" s="38"/>
      <c r="D1040" s="38"/>
      <c r="E1040" s="38"/>
      <c r="F1040" s="38"/>
      <c r="G1040" s="38"/>
      <c r="H1040" s="41"/>
      <c r="I1040" s="38"/>
      <c r="J1040" s="60"/>
      <c r="K1040" s="56"/>
    </row>
    <row r="1041" spans="1:11" ht="20.05" customHeight="1" x14ac:dyDescent="0.2">
      <c r="A1041" s="38"/>
      <c r="B1041" s="36"/>
      <c r="C1041" s="38"/>
      <c r="D1041" s="38"/>
      <c r="E1041" s="38"/>
      <c r="F1041" s="38"/>
      <c r="G1041" s="38"/>
      <c r="H1041" s="41"/>
      <c r="I1041" s="38"/>
      <c r="J1041" s="60"/>
      <c r="K1041" s="56"/>
    </row>
    <row r="1042" spans="1:11" ht="20.05" customHeight="1" x14ac:dyDescent="0.2">
      <c r="A1042" s="38"/>
      <c r="B1042" s="36"/>
      <c r="C1042" s="38"/>
      <c r="D1042" s="38"/>
      <c r="E1042" s="38"/>
      <c r="F1042" s="38"/>
      <c r="G1042" s="38"/>
      <c r="H1042" s="41"/>
      <c r="I1042" s="38"/>
      <c r="J1042" s="60"/>
      <c r="K1042" s="56"/>
    </row>
    <row r="1043" spans="1:11" ht="20.05" customHeight="1" x14ac:dyDescent="0.2">
      <c r="A1043" s="38"/>
      <c r="B1043" s="36"/>
      <c r="C1043" s="38"/>
      <c r="D1043" s="38"/>
      <c r="E1043" s="38"/>
      <c r="F1043" s="38"/>
      <c r="G1043" s="38"/>
      <c r="H1043" s="41"/>
      <c r="I1043" s="38"/>
      <c r="J1043" s="60"/>
      <c r="K1043" s="56"/>
    </row>
    <row r="1044" spans="1:11" ht="20.05" customHeight="1" x14ac:dyDescent="0.2">
      <c r="A1044" s="38"/>
      <c r="B1044" s="36"/>
      <c r="C1044" s="38"/>
      <c r="D1044" s="38"/>
      <c r="E1044" s="38"/>
      <c r="F1044" s="38"/>
      <c r="G1044" s="38"/>
      <c r="H1044" s="41"/>
      <c r="I1044" s="38"/>
      <c r="J1044" s="60"/>
      <c r="K1044" s="56"/>
    </row>
    <row r="1045" spans="1:11" ht="20.05" customHeight="1" x14ac:dyDescent="0.2">
      <c r="A1045" s="38"/>
      <c r="B1045" s="36"/>
      <c r="C1045" s="38"/>
      <c r="D1045" s="38"/>
      <c r="E1045" s="38"/>
      <c r="F1045" s="38"/>
      <c r="G1045" s="38"/>
      <c r="H1045" s="41"/>
      <c r="I1045" s="38"/>
      <c r="J1045" s="60"/>
      <c r="K1045" s="56"/>
    </row>
    <row r="1046" spans="1:11" ht="20.05" customHeight="1" x14ac:dyDescent="0.2">
      <c r="A1046" s="38"/>
      <c r="B1046" s="36"/>
      <c r="C1046" s="38"/>
      <c r="D1046" s="38"/>
      <c r="E1046" s="38"/>
      <c r="F1046" s="38"/>
      <c r="G1046" s="38"/>
      <c r="H1046" s="41"/>
      <c r="I1046" s="38"/>
      <c r="J1046" s="60"/>
      <c r="K1046" s="56"/>
    </row>
    <row r="1047" spans="1:11" ht="20.05" customHeight="1" x14ac:dyDescent="0.2">
      <c r="A1047" s="38"/>
      <c r="B1047" s="36"/>
      <c r="C1047" s="38"/>
      <c r="D1047" s="38"/>
      <c r="E1047" s="38"/>
      <c r="F1047" s="38"/>
      <c r="G1047" s="38"/>
      <c r="H1047" s="41"/>
      <c r="I1047" s="38"/>
      <c r="J1047" s="60"/>
      <c r="K1047" s="56"/>
    </row>
    <row r="1048" spans="1:11" ht="20.05" customHeight="1" x14ac:dyDescent="0.2">
      <c r="A1048" s="38"/>
      <c r="B1048" s="36"/>
      <c r="C1048" s="38"/>
      <c r="D1048" s="38"/>
      <c r="E1048" s="38"/>
      <c r="F1048" s="38"/>
      <c r="G1048" s="38"/>
      <c r="H1048" s="42"/>
      <c r="I1048" s="38"/>
      <c r="J1048" s="60"/>
      <c r="K1048" s="56"/>
    </row>
    <row r="1049" spans="1:11" ht="29.9" customHeight="1" x14ac:dyDescent="0.2">
      <c r="A1049" s="38"/>
      <c r="B1049" s="160"/>
      <c r="C1049" s="160"/>
      <c r="D1049" s="160"/>
      <c r="E1049" s="160"/>
      <c r="F1049" s="160"/>
      <c r="G1049" s="160"/>
      <c r="H1049" s="38"/>
      <c r="I1049" s="38"/>
      <c r="J1049" s="60"/>
      <c r="K1049" s="56"/>
    </row>
    <row r="1050" spans="1:11" ht="20.05" customHeight="1" x14ac:dyDescent="0.2">
      <c r="A1050" s="38"/>
      <c r="B1050" s="36"/>
      <c r="C1050" s="38"/>
      <c r="D1050" s="38"/>
      <c r="E1050" s="38"/>
      <c r="F1050" s="38"/>
      <c r="G1050" s="38"/>
      <c r="H1050" s="41"/>
      <c r="I1050" s="38"/>
      <c r="J1050" s="60"/>
      <c r="K1050" s="56"/>
    </row>
    <row r="1051" spans="1:11" ht="20.05" customHeight="1" x14ac:dyDescent="0.2">
      <c r="A1051" s="38"/>
      <c r="B1051" s="36"/>
      <c r="C1051" s="38"/>
      <c r="D1051" s="38"/>
      <c r="E1051" s="38"/>
      <c r="F1051" s="38"/>
      <c r="G1051" s="38"/>
      <c r="H1051" s="41"/>
      <c r="I1051" s="38"/>
      <c r="J1051" s="60"/>
      <c r="K1051" s="56"/>
    </row>
    <row r="1052" spans="1:11" ht="20.05" customHeight="1" x14ac:dyDescent="0.2">
      <c r="A1052" s="38"/>
      <c r="B1052" s="36"/>
      <c r="C1052" s="38"/>
      <c r="D1052" s="38"/>
      <c r="E1052" s="38"/>
      <c r="F1052" s="38"/>
      <c r="G1052" s="38"/>
      <c r="H1052" s="41"/>
      <c r="I1052" s="38"/>
      <c r="J1052" s="60"/>
      <c r="K1052" s="56"/>
    </row>
    <row r="1053" spans="1:11" ht="20.05" customHeight="1" x14ac:dyDescent="0.2">
      <c r="A1053" s="38"/>
      <c r="B1053" s="36"/>
      <c r="C1053" s="38"/>
      <c r="D1053" s="38"/>
      <c r="E1053" s="38"/>
      <c r="F1053" s="38"/>
      <c r="G1053" s="38"/>
      <c r="H1053" s="41"/>
      <c r="I1053" s="38"/>
      <c r="J1053" s="60"/>
      <c r="K1053" s="56"/>
    </row>
    <row r="1054" spans="1:11" ht="20.05" customHeight="1" x14ac:dyDescent="0.2">
      <c r="A1054" s="38"/>
      <c r="B1054" s="36"/>
      <c r="C1054" s="38"/>
      <c r="D1054" s="38"/>
      <c r="E1054" s="38"/>
      <c r="F1054" s="38"/>
      <c r="G1054" s="38"/>
      <c r="H1054" s="41"/>
      <c r="I1054" s="38"/>
      <c r="J1054" s="60"/>
      <c r="K1054" s="56"/>
    </row>
    <row r="1055" spans="1:11" ht="20.05" customHeight="1" x14ac:dyDescent="0.2">
      <c r="A1055" s="38"/>
      <c r="B1055" s="36"/>
      <c r="C1055" s="38"/>
      <c r="D1055" s="38"/>
      <c r="E1055" s="38"/>
      <c r="F1055" s="38"/>
      <c r="G1055" s="38"/>
      <c r="H1055" s="41"/>
      <c r="I1055" s="38"/>
      <c r="J1055" s="60"/>
      <c r="K1055" s="56"/>
    </row>
    <row r="1056" spans="1:11" ht="20.05" customHeight="1" x14ac:dyDescent="0.2">
      <c r="A1056" s="38"/>
      <c r="B1056" s="36"/>
      <c r="C1056" s="38"/>
      <c r="D1056" s="38"/>
      <c r="E1056" s="38"/>
      <c r="F1056" s="38"/>
      <c r="G1056" s="38"/>
      <c r="H1056" s="42"/>
      <c r="I1056" s="38"/>
      <c r="J1056" s="60"/>
      <c r="K1056" s="56"/>
    </row>
    <row r="1057" spans="1:11" ht="59.8" customHeight="1" x14ac:dyDescent="0.2">
      <c r="A1057" s="38"/>
      <c r="B1057" s="160"/>
      <c r="C1057" s="160"/>
      <c r="D1057" s="160"/>
      <c r="E1057" s="160"/>
      <c r="F1057" s="160"/>
      <c r="G1057" s="160"/>
      <c r="H1057" s="38"/>
      <c r="I1057" s="38"/>
      <c r="J1057" s="60"/>
      <c r="K1057" s="56"/>
    </row>
    <row r="1058" spans="1:11" ht="20.05" customHeight="1" x14ac:dyDescent="0.2">
      <c r="A1058" s="38"/>
      <c r="B1058" s="36"/>
      <c r="C1058" s="38"/>
      <c r="D1058" s="38"/>
      <c r="E1058" s="38"/>
      <c r="F1058" s="38"/>
      <c r="G1058" s="38"/>
      <c r="H1058" s="38"/>
      <c r="I1058" s="38"/>
      <c r="J1058" s="60"/>
      <c r="K1058" s="56"/>
    </row>
    <row r="1059" spans="1:11" ht="20.05" customHeight="1" x14ac:dyDescent="0.2">
      <c r="A1059" s="38"/>
      <c r="B1059" s="36"/>
      <c r="C1059" s="38"/>
      <c r="D1059" s="38"/>
      <c r="E1059" s="38"/>
      <c r="F1059" s="38"/>
      <c r="G1059" s="38"/>
      <c r="H1059" s="98"/>
      <c r="I1059" s="38"/>
      <c r="J1059" s="60"/>
      <c r="K1059" s="56"/>
    </row>
    <row r="1060" spans="1:11" ht="60.45" customHeight="1" x14ac:dyDescent="0.2">
      <c r="A1060" s="38"/>
      <c r="B1060" s="160"/>
      <c r="C1060" s="160"/>
      <c r="D1060" s="160"/>
      <c r="E1060" s="160"/>
      <c r="F1060" s="160"/>
      <c r="G1060" s="160"/>
      <c r="H1060" s="38"/>
      <c r="I1060" s="38"/>
      <c r="J1060" s="60"/>
      <c r="K1060" s="56"/>
    </row>
    <row r="1061" spans="1:11" ht="20.05" customHeight="1" x14ac:dyDescent="0.2">
      <c r="A1061" s="38"/>
      <c r="B1061" s="36"/>
      <c r="C1061" s="38"/>
      <c r="D1061" s="38"/>
      <c r="E1061" s="38"/>
      <c r="F1061" s="38"/>
      <c r="G1061" s="38"/>
      <c r="H1061" s="38"/>
      <c r="I1061" s="38"/>
      <c r="J1061" s="60"/>
      <c r="K1061" s="56"/>
    </row>
    <row r="1062" spans="1:11" ht="20.05" customHeight="1" x14ac:dyDescent="0.2">
      <c r="A1062" s="38"/>
      <c r="B1062" s="36"/>
      <c r="C1062" s="38"/>
      <c r="D1062" s="38"/>
      <c r="E1062" s="38"/>
      <c r="F1062" s="38"/>
      <c r="G1062" s="38"/>
      <c r="H1062" s="98"/>
      <c r="I1062" s="38"/>
      <c r="J1062" s="60"/>
      <c r="K1062" s="56"/>
    </row>
    <row r="1063" spans="1:11" ht="20.05" customHeight="1" x14ac:dyDescent="0.2">
      <c r="A1063" s="38"/>
      <c r="B1063" s="36"/>
      <c r="C1063" s="38"/>
      <c r="D1063" s="38"/>
      <c r="E1063" s="38"/>
      <c r="F1063" s="38"/>
      <c r="G1063" s="38"/>
      <c r="H1063" s="38"/>
      <c r="I1063" s="38"/>
      <c r="J1063" s="60"/>
      <c r="K1063" s="56"/>
    </row>
    <row r="1064" spans="1:11" ht="20.05" customHeight="1" x14ac:dyDescent="0.25">
      <c r="A1064" s="38"/>
      <c r="B1064" s="36"/>
      <c r="C1064" s="38"/>
      <c r="D1064" s="38"/>
      <c r="E1064" s="38"/>
      <c r="F1064" s="38"/>
      <c r="G1064" s="38"/>
      <c r="H1064" s="38"/>
      <c r="I1064" s="38"/>
      <c r="J1064" s="77"/>
      <c r="K1064" s="78"/>
    </row>
    <row r="1065" spans="1:11" ht="20.05" customHeight="1" x14ac:dyDescent="0.2">
      <c r="A1065" s="38"/>
      <c r="B1065" s="36"/>
      <c r="C1065" s="38"/>
      <c r="D1065" s="38"/>
      <c r="E1065" s="38"/>
      <c r="F1065" s="38"/>
      <c r="G1065" s="38"/>
      <c r="H1065" s="38"/>
      <c r="I1065" s="38"/>
      <c r="J1065" s="60"/>
      <c r="K1065" s="56"/>
    </row>
    <row r="1066" spans="1:11" ht="20.05" customHeight="1" x14ac:dyDescent="0.2">
      <c r="A1066" s="38"/>
      <c r="B1066" s="36"/>
      <c r="C1066" s="38"/>
      <c r="D1066" s="38"/>
      <c r="E1066" s="38"/>
      <c r="F1066" s="38"/>
      <c r="G1066" s="38"/>
      <c r="H1066" s="38"/>
      <c r="I1066" s="38"/>
      <c r="J1066" s="60"/>
      <c r="K1066" s="56"/>
    </row>
    <row r="1067" spans="1:11" ht="20.05" customHeight="1" x14ac:dyDescent="0.2">
      <c r="A1067" s="38"/>
      <c r="B1067" s="36"/>
      <c r="C1067" s="38"/>
      <c r="D1067" s="38"/>
      <c r="E1067" s="38"/>
      <c r="F1067" s="38"/>
      <c r="G1067" s="38"/>
      <c r="H1067" s="38"/>
      <c r="I1067" s="38"/>
      <c r="J1067" s="60"/>
      <c r="K1067" s="56"/>
    </row>
    <row r="1068" spans="1:11" ht="20.05" customHeight="1" x14ac:dyDescent="0.2">
      <c r="A1068" s="38"/>
      <c r="B1068" s="36"/>
      <c r="C1068" s="38"/>
      <c r="D1068" s="38"/>
      <c r="E1068" s="38"/>
      <c r="F1068" s="38"/>
      <c r="G1068" s="38"/>
      <c r="H1068" s="38"/>
      <c r="I1068" s="38"/>
      <c r="J1068" s="60"/>
      <c r="K1068" s="56"/>
    </row>
    <row r="1069" spans="1:11" ht="20.05" customHeight="1" x14ac:dyDescent="0.2">
      <c r="A1069" s="38"/>
      <c r="B1069" s="36"/>
      <c r="C1069" s="38"/>
      <c r="D1069" s="38"/>
      <c r="E1069" s="38"/>
      <c r="F1069" s="38"/>
      <c r="G1069" s="38"/>
      <c r="H1069" s="38"/>
      <c r="I1069" s="38"/>
      <c r="J1069" s="60"/>
      <c r="K1069" s="56"/>
    </row>
    <row r="1070" spans="1:11" ht="20.05" customHeight="1" x14ac:dyDescent="0.2">
      <c r="A1070" s="38"/>
      <c r="B1070" s="36"/>
      <c r="C1070" s="38"/>
      <c r="D1070" s="38"/>
      <c r="E1070" s="38"/>
      <c r="F1070" s="38"/>
      <c r="G1070" s="38"/>
      <c r="H1070" s="38"/>
      <c r="I1070" s="38"/>
      <c r="J1070" s="60"/>
      <c r="K1070" s="56"/>
    </row>
    <row r="1071" spans="1:11" ht="20.05" customHeight="1" x14ac:dyDescent="0.2">
      <c r="A1071" s="38"/>
      <c r="B1071" s="36"/>
      <c r="C1071" s="38"/>
      <c r="D1071" s="38"/>
      <c r="E1071" s="38"/>
      <c r="F1071" s="38"/>
      <c r="G1071" s="38"/>
      <c r="H1071" s="38"/>
      <c r="I1071" s="38"/>
      <c r="J1071" s="60"/>
      <c r="K1071" s="56"/>
    </row>
    <row r="1072" spans="1:11" ht="20.05" customHeight="1" x14ac:dyDescent="0.2">
      <c r="A1072" s="38"/>
      <c r="B1072" s="36"/>
      <c r="C1072" s="38"/>
      <c r="D1072" s="38"/>
      <c r="E1072" s="38"/>
      <c r="F1072" s="38"/>
      <c r="G1072" s="38"/>
      <c r="H1072" s="38"/>
      <c r="I1072" s="38"/>
      <c r="J1072" s="60"/>
      <c r="K1072" s="56"/>
    </row>
    <row r="1073" spans="1:11" ht="20.05" customHeight="1" x14ac:dyDescent="0.2">
      <c r="A1073" s="38"/>
      <c r="B1073" s="36"/>
      <c r="C1073" s="38"/>
      <c r="D1073" s="38"/>
      <c r="E1073" s="38"/>
      <c r="F1073" s="38"/>
      <c r="G1073" s="38"/>
      <c r="H1073" s="38"/>
      <c r="I1073" s="38"/>
      <c r="J1073" s="60"/>
      <c r="K1073" s="56"/>
    </row>
    <row r="1074" spans="1:11" ht="20.05" customHeight="1" x14ac:dyDescent="0.2">
      <c r="A1074" s="38"/>
      <c r="B1074" s="36"/>
      <c r="C1074" s="38"/>
      <c r="D1074" s="38"/>
      <c r="E1074" s="38"/>
      <c r="F1074" s="38"/>
      <c r="G1074" s="38"/>
      <c r="H1074" s="38"/>
      <c r="I1074" s="38"/>
      <c r="J1074" s="60"/>
      <c r="K1074" s="56"/>
    </row>
    <row r="1075" spans="1:11" ht="20.05" customHeight="1" x14ac:dyDescent="0.2">
      <c r="A1075" s="38"/>
      <c r="B1075" s="36"/>
      <c r="C1075" s="38"/>
      <c r="D1075" s="38"/>
      <c r="E1075" s="38"/>
      <c r="F1075" s="38"/>
      <c r="G1075" s="38"/>
      <c r="H1075" s="38"/>
      <c r="I1075" s="38"/>
      <c r="J1075" s="60"/>
      <c r="K1075" s="56"/>
    </row>
    <row r="1076" spans="1:11" ht="20.05" customHeight="1" x14ac:dyDescent="0.2">
      <c r="A1076" s="38"/>
      <c r="B1076" s="36"/>
      <c r="C1076" s="38"/>
      <c r="D1076" s="38"/>
      <c r="E1076" s="38"/>
      <c r="F1076" s="38"/>
      <c r="G1076" s="38"/>
      <c r="H1076" s="38"/>
      <c r="I1076" s="38"/>
      <c r="J1076" s="60"/>
      <c r="K1076" s="56"/>
    </row>
    <row r="1077" spans="1:11" ht="20.05" customHeight="1" x14ac:dyDescent="0.2">
      <c r="A1077" s="38"/>
      <c r="B1077" s="36"/>
      <c r="C1077" s="38"/>
      <c r="D1077" s="38"/>
      <c r="E1077" s="38"/>
      <c r="F1077" s="38"/>
      <c r="G1077" s="38"/>
      <c r="H1077" s="38"/>
      <c r="I1077" s="38"/>
      <c r="J1077" s="60"/>
      <c r="K1077" s="56"/>
    </row>
    <row r="1078" spans="1:11" ht="20.05" customHeight="1" x14ac:dyDescent="0.2">
      <c r="A1078" s="38"/>
      <c r="B1078" s="36"/>
      <c r="C1078" s="38"/>
      <c r="D1078" s="38"/>
      <c r="E1078" s="38"/>
      <c r="F1078" s="38"/>
      <c r="G1078" s="38"/>
      <c r="H1078" s="38"/>
      <c r="I1078" s="38"/>
      <c r="J1078" s="60"/>
      <c r="K1078" s="56"/>
    </row>
    <row r="1079" spans="1:11" ht="20.05" customHeight="1" x14ac:dyDescent="0.2">
      <c r="A1079" s="38"/>
      <c r="B1079" s="36"/>
      <c r="C1079" s="38"/>
      <c r="D1079" s="38"/>
      <c r="E1079" s="38"/>
      <c r="F1079" s="38"/>
      <c r="G1079" s="38"/>
      <c r="H1079" s="38"/>
      <c r="I1079" s="38"/>
      <c r="J1079" s="60"/>
      <c r="K1079" s="56"/>
    </row>
    <row r="1080" spans="1:11" ht="20.05" customHeight="1" x14ac:dyDescent="0.2">
      <c r="A1080" s="38"/>
      <c r="B1080" s="36"/>
      <c r="C1080" s="38"/>
      <c r="D1080" s="38"/>
      <c r="E1080" s="38"/>
      <c r="F1080" s="38"/>
      <c r="G1080" s="38"/>
      <c r="H1080" s="38"/>
      <c r="I1080" s="38"/>
      <c r="J1080" s="60"/>
      <c r="K1080" s="56"/>
    </row>
    <row r="1081" spans="1:11" ht="20.05" customHeight="1" x14ac:dyDescent="0.2">
      <c r="A1081" s="38"/>
      <c r="B1081" s="36"/>
      <c r="C1081" s="38"/>
      <c r="D1081" s="38"/>
      <c r="E1081" s="38"/>
      <c r="F1081" s="38"/>
      <c r="G1081" s="38"/>
      <c r="H1081" s="38"/>
      <c r="I1081" s="38"/>
      <c r="J1081" s="60"/>
      <c r="K1081" s="56"/>
    </row>
    <row r="1082" spans="1:11" ht="20.05" customHeight="1" x14ac:dyDescent="0.2">
      <c r="A1082" s="38"/>
      <c r="B1082" s="36"/>
      <c r="C1082" s="38"/>
      <c r="D1082" s="38"/>
      <c r="E1082" s="38"/>
      <c r="F1082" s="38"/>
      <c r="G1082" s="38"/>
      <c r="H1082" s="38"/>
      <c r="I1082" s="38"/>
      <c r="J1082" s="60"/>
      <c r="K1082" s="56"/>
    </row>
    <row r="1083" spans="1:11" ht="20.05" customHeight="1" x14ac:dyDescent="0.2">
      <c r="A1083" s="38"/>
      <c r="B1083" s="36"/>
      <c r="C1083" s="38"/>
      <c r="D1083" s="38"/>
      <c r="E1083" s="38"/>
      <c r="F1083" s="38"/>
      <c r="G1083" s="38"/>
      <c r="H1083" s="38"/>
      <c r="I1083" s="38"/>
      <c r="J1083" s="60"/>
      <c r="K1083" s="56"/>
    </row>
    <row r="1084" spans="1:11" ht="20.05" customHeight="1" x14ac:dyDescent="0.2">
      <c r="A1084" s="38"/>
      <c r="B1084" s="36"/>
      <c r="C1084" s="38"/>
      <c r="D1084" s="38"/>
      <c r="E1084" s="38"/>
      <c r="F1084" s="38"/>
      <c r="G1084" s="38"/>
      <c r="H1084" s="38"/>
      <c r="I1084" s="38"/>
      <c r="J1084" s="60"/>
      <c r="K1084" s="56"/>
    </row>
    <row r="1085" spans="1:11" ht="20.05" customHeight="1" x14ac:dyDescent="0.2">
      <c r="A1085" s="38"/>
      <c r="B1085" s="36"/>
      <c r="C1085" s="38"/>
      <c r="D1085" s="38"/>
      <c r="E1085" s="38"/>
      <c r="F1085" s="38"/>
      <c r="G1085" s="38"/>
      <c r="H1085" s="38"/>
      <c r="I1085" s="38"/>
      <c r="J1085" s="60"/>
      <c r="K1085" s="56"/>
    </row>
    <row r="1086" spans="1:11" ht="20.05" customHeight="1" x14ac:dyDescent="0.2">
      <c r="A1086" s="38"/>
      <c r="B1086" s="36"/>
      <c r="C1086" s="38"/>
      <c r="D1086" s="38"/>
      <c r="E1086" s="38"/>
      <c r="F1086" s="38"/>
      <c r="G1086" s="38"/>
      <c r="H1086" s="38"/>
      <c r="I1086" s="38"/>
      <c r="J1086" s="60"/>
      <c r="K1086" s="56"/>
    </row>
    <row r="1087" spans="1:11" ht="20.05" customHeight="1" x14ac:dyDescent="0.2">
      <c r="A1087" s="38"/>
      <c r="B1087" s="36"/>
      <c r="C1087" s="38"/>
      <c r="D1087" s="38"/>
      <c r="E1087" s="38"/>
      <c r="F1087" s="38"/>
      <c r="G1087" s="38"/>
      <c r="H1087" s="38"/>
      <c r="I1087" s="38"/>
      <c r="J1087" s="60"/>
      <c r="K1087" s="56"/>
    </row>
    <row r="1088" spans="1:11" ht="20.05" customHeight="1" x14ac:dyDescent="0.2">
      <c r="A1088" s="38"/>
      <c r="B1088" s="36"/>
      <c r="C1088" s="38"/>
      <c r="D1088" s="38"/>
      <c r="E1088" s="38"/>
      <c r="F1088" s="38"/>
      <c r="G1088" s="38"/>
      <c r="H1088" s="38"/>
      <c r="I1088" s="38"/>
      <c r="J1088" s="60"/>
      <c r="K1088" s="56"/>
    </row>
    <row r="1089" spans="1:11" ht="20.05" customHeight="1" x14ac:dyDescent="0.2">
      <c r="A1089" s="38"/>
      <c r="B1089" s="36"/>
      <c r="C1089" s="38"/>
      <c r="D1089" s="38"/>
      <c r="E1089" s="38"/>
      <c r="F1089" s="38"/>
      <c r="G1089" s="38"/>
      <c r="H1089" s="38"/>
      <c r="I1089" s="38"/>
      <c r="J1089" s="60"/>
      <c r="K1089" s="56"/>
    </row>
    <row r="1090" spans="1:11" ht="20.05" customHeight="1" x14ac:dyDescent="0.2">
      <c r="A1090" s="38"/>
      <c r="B1090" s="36"/>
      <c r="C1090" s="38"/>
      <c r="D1090" s="38"/>
      <c r="E1090" s="38"/>
      <c r="F1090" s="38"/>
      <c r="G1090" s="38"/>
      <c r="H1090" s="38"/>
      <c r="I1090" s="38"/>
      <c r="J1090" s="60"/>
      <c r="K1090" s="56"/>
    </row>
    <row r="1091" spans="1:11" ht="20.05" customHeight="1" x14ac:dyDescent="0.2">
      <c r="A1091" s="38"/>
      <c r="B1091" s="36"/>
      <c r="C1091" s="38"/>
      <c r="D1091" s="38"/>
      <c r="E1091" s="38"/>
      <c r="F1091" s="38"/>
      <c r="G1091" s="38"/>
      <c r="H1091" s="38"/>
      <c r="I1091" s="38"/>
      <c r="J1091" s="60"/>
      <c r="K1091" s="56"/>
    </row>
    <row r="1092" spans="1:11" ht="20.05" customHeight="1" x14ac:dyDescent="0.2">
      <c r="A1092" s="38"/>
      <c r="B1092" s="36"/>
      <c r="C1092" s="38"/>
      <c r="D1092" s="38"/>
      <c r="E1092" s="38"/>
      <c r="F1092" s="38"/>
      <c r="G1092" s="38"/>
      <c r="H1092" s="38"/>
      <c r="I1092" s="38"/>
      <c r="J1092" s="60"/>
      <c r="K1092" s="56"/>
    </row>
    <row r="1093" spans="1:11" ht="20.05" customHeight="1" x14ac:dyDescent="0.2">
      <c r="A1093" s="38"/>
      <c r="B1093" s="36"/>
      <c r="C1093" s="38"/>
      <c r="D1093" s="38"/>
      <c r="E1093" s="38"/>
      <c r="F1093" s="38"/>
      <c r="G1093" s="38"/>
      <c r="H1093" s="38"/>
      <c r="I1093" s="38"/>
      <c r="J1093" s="60"/>
      <c r="K1093" s="56"/>
    </row>
    <row r="1094" spans="1:11" ht="20.05" customHeight="1" x14ac:dyDescent="0.2">
      <c r="A1094" s="38"/>
      <c r="B1094" s="36"/>
      <c r="C1094" s="38"/>
      <c r="D1094" s="38"/>
      <c r="E1094" s="38"/>
      <c r="F1094" s="38"/>
      <c r="G1094" s="38"/>
      <c r="H1094" s="38"/>
      <c r="I1094" s="38"/>
      <c r="J1094" s="60"/>
      <c r="K1094" s="56"/>
    </row>
    <row r="1095" spans="1:11" ht="20.05" customHeight="1" x14ac:dyDescent="0.2">
      <c r="A1095" s="38"/>
      <c r="B1095" s="36"/>
      <c r="C1095" s="38"/>
      <c r="D1095" s="38"/>
      <c r="E1095" s="38"/>
      <c r="F1095" s="38"/>
      <c r="G1095" s="38"/>
      <c r="H1095" s="38"/>
      <c r="I1095" s="38"/>
      <c r="J1095" s="60"/>
      <c r="K1095" s="56"/>
    </row>
    <row r="1096" spans="1:11" ht="20.05" customHeight="1" x14ac:dyDescent="0.2">
      <c r="A1096" s="38"/>
      <c r="B1096" s="36"/>
      <c r="C1096" s="38"/>
      <c r="D1096" s="38"/>
      <c r="E1096" s="38"/>
      <c r="F1096" s="38"/>
      <c r="G1096" s="38"/>
      <c r="H1096" s="38"/>
      <c r="I1096" s="38"/>
      <c r="J1096" s="60"/>
      <c r="K1096" s="56"/>
    </row>
    <row r="1097" spans="1:11" ht="20.05" customHeight="1" x14ac:dyDescent="0.2">
      <c r="A1097" s="38"/>
      <c r="B1097" s="36"/>
      <c r="C1097" s="38"/>
      <c r="D1097" s="38"/>
      <c r="E1097" s="38"/>
      <c r="F1097" s="38"/>
      <c r="G1097" s="38"/>
      <c r="H1097" s="38"/>
      <c r="I1097" s="38"/>
      <c r="J1097" s="60"/>
      <c r="K1097" s="56"/>
    </row>
    <row r="1098" spans="1:11" ht="20.05" customHeight="1" x14ac:dyDescent="0.2">
      <c r="A1098" s="38"/>
      <c r="B1098" s="36"/>
      <c r="C1098" s="38"/>
      <c r="D1098" s="38"/>
      <c r="E1098" s="38"/>
      <c r="F1098" s="38"/>
      <c r="G1098" s="38"/>
      <c r="H1098" s="38"/>
      <c r="I1098" s="38"/>
      <c r="J1098" s="60"/>
      <c r="K1098" s="56"/>
    </row>
    <row r="1099" spans="1:11" ht="20.05" customHeight="1" x14ac:dyDescent="0.2">
      <c r="A1099" s="38"/>
      <c r="B1099" s="36"/>
      <c r="C1099" s="38"/>
      <c r="D1099" s="38"/>
      <c r="E1099" s="38"/>
      <c r="F1099" s="38"/>
      <c r="G1099" s="38"/>
      <c r="H1099" s="38"/>
      <c r="I1099" s="38"/>
      <c r="J1099" s="60"/>
      <c r="K1099" s="56"/>
    </row>
    <row r="1100" spans="1:11" ht="20.05" customHeight="1" x14ac:dyDescent="0.2">
      <c r="A1100" s="38"/>
      <c r="B1100" s="36"/>
      <c r="C1100" s="38"/>
      <c r="D1100" s="38"/>
      <c r="E1100" s="38"/>
      <c r="F1100" s="38"/>
      <c r="G1100" s="38"/>
      <c r="H1100" s="38"/>
      <c r="I1100" s="38"/>
      <c r="J1100" s="60"/>
      <c r="K1100" s="56"/>
    </row>
    <row r="1101" spans="1:11" ht="20.05" customHeight="1" x14ac:dyDescent="0.2">
      <c r="A1101" s="38"/>
      <c r="B1101" s="36"/>
      <c r="C1101" s="38"/>
      <c r="D1101" s="38"/>
      <c r="E1101" s="38"/>
      <c r="F1101" s="38"/>
      <c r="G1101" s="38"/>
      <c r="H1101" s="38"/>
      <c r="I1101" s="38"/>
      <c r="J1101" s="60"/>
      <c r="K1101" s="56"/>
    </row>
    <row r="1102" spans="1:11" ht="20.05" customHeight="1" x14ac:dyDescent="0.2">
      <c r="A1102" s="38"/>
      <c r="B1102" s="36"/>
      <c r="C1102" s="38"/>
      <c r="D1102" s="38"/>
      <c r="E1102" s="38"/>
      <c r="F1102" s="38"/>
      <c r="G1102" s="38"/>
      <c r="H1102" s="38"/>
      <c r="I1102" s="38"/>
      <c r="J1102" s="60"/>
      <c r="K1102" s="56"/>
    </row>
    <row r="1103" spans="1:11" ht="20.05" customHeight="1" x14ac:dyDescent="0.2">
      <c r="A1103" s="38"/>
      <c r="B1103" s="36"/>
      <c r="C1103" s="38"/>
      <c r="D1103" s="38"/>
      <c r="E1103" s="38"/>
      <c r="F1103" s="38"/>
      <c r="G1103" s="38"/>
      <c r="H1103" s="38"/>
      <c r="I1103" s="38"/>
      <c r="J1103" s="60"/>
      <c r="K1103" s="56"/>
    </row>
    <row r="1104" spans="1:11" ht="20.05" customHeight="1" x14ac:dyDescent="0.2">
      <c r="A1104" s="38"/>
      <c r="B1104" s="36"/>
      <c r="C1104" s="38"/>
      <c r="D1104" s="38"/>
      <c r="E1104" s="38"/>
      <c r="F1104" s="38"/>
      <c r="G1104" s="38"/>
      <c r="H1104" s="38"/>
      <c r="I1104" s="38"/>
      <c r="J1104" s="60"/>
      <c r="K1104" s="56"/>
    </row>
    <row r="1105" spans="1:11" ht="20.05" customHeight="1" x14ac:dyDescent="0.2">
      <c r="A1105" s="38"/>
      <c r="B1105" s="36"/>
      <c r="C1105" s="38"/>
      <c r="D1105" s="38"/>
      <c r="E1105" s="38"/>
      <c r="F1105" s="38"/>
      <c r="G1105" s="38"/>
      <c r="H1105" s="38"/>
      <c r="I1105" s="38"/>
      <c r="J1105" s="60"/>
      <c r="K1105" s="56"/>
    </row>
    <row r="1106" spans="1:11" ht="20.05" customHeight="1" x14ac:dyDescent="0.2">
      <c r="A1106" s="38"/>
      <c r="B1106" s="36"/>
      <c r="C1106" s="38"/>
      <c r="D1106" s="38"/>
      <c r="E1106" s="38"/>
      <c r="F1106" s="38"/>
      <c r="G1106" s="38"/>
      <c r="H1106" s="38"/>
      <c r="I1106" s="38"/>
      <c r="J1106" s="60"/>
      <c r="K1106" s="56"/>
    </row>
    <row r="1107" spans="1:11" ht="20.05" customHeight="1" x14ac:dyDescent="0.2">
      <c r="A1107" s="38"/>
      <c r="B1107" s="36"/>
      <c r="C1107" s="38"/>
      <c r="D1107" s="38"/>
      <c r="E1107" s="38"/>
      <c r="F1107" s="38"/>
      <c r="G1107" s="38"/>
      <c r="H1107" s="38"/>
      <c r="I1107" s="38"/>
      <c r="J1107" s="60"/>
      <c r="K1107" s="56"/>
    </row>
    <row r="1108" spans="1:11" ht="20.05" customHeight="1" x14ac:dyDescent="0.2">
      <c r="A1108" s="38"/>
      <c r="B1108" s="36"/>
      <c r="C1108" s="38"/>
      <c r="D1108" s="38"/>
      <c r="E1108" s="38"/>
      <c r="F1108" s="38"/>
      <c r="G1108" s="38"/>
      <c r="H1108" s="38"/>
      <c r="I1108" s="38"/>
      <c r="J1108" s="60"/>
      <c r="K1108" s="56"/>
    </row>
    <row r="1109" spans="1:11" ht="20.05" customHeight="1" x14ac:dyDescent="0.2">
      <c r="A1109" s="38"/>
      <c r="B1109" s="36"/>
      <c r="C1109" s="38"/>
      <c r="D1109" s="38"/>
      <c r="E1109" s="38"/>
      <c r="F1109" s="38"/>
      <c r="G1109" s="38"/>
      <c r="H1109" s="38"/>
      <c r="I1109" s="38"/>
      <c r="J1109" s="60"/>
      <c r="K1109" s="56"/>
    </row>
    <row r="1110" spans="1:11" ht="20.05" customHeight="1" x14ac:dyDescent="0.2">
      <c r="A1110" s="38"/>
      <c r="B1110" s="36"/>
      <c r="C1110" s="38"/>
      <c r="D1110" s="38"/>
      <c r="E1110" s="38"/>
      <c r="F1110" s="38"/>
      <c r="G1110" s="38"/>
      <c r="H1110" s="38"/>
      <c r="I1110" s="38"/>
      <c r="J1110" s="60"/>
      <c r="K1110" s="56"/>
    </row>
    <row r="1111" spans="1:11" ht="20.05" customHeight="1" x14ac:dyDescent="0.2">
      <c r="A1111" s="38"/>
      <c r="B1111" s="36"/>
      <c r="C1111" s="38"/>
      <c r="D1111" s="38"/>
      <c r="E1111" s="38"/>
      <c r="F1111" s="38"/>
      <c r="G1111" s="38"/>
      <c r="H1111" s="38"/>
      <c r="I1111" s="38"/>
      <c r="J1111" s="60"/>
      <c r="K1111" s="56"/>
    </row>
    <row r="1112" spans="1:11" ht="20.05" customHeight="1" x14ac:dyDescent="0.2">
      <c r="A1112" s="38"/>
      <c r="B1112" s="36"/>
      <c r="C1112" s="38"/>
      <c r="D1112" s="38"/>
      <c r="E1112" s="38"/>
      <c r="F1112" s="38"/>
      <c r="G1112" s="38"/>
      <c r="H1112" s="38"/>
      <c r="I1112" s="38"/>
      <c r="J1112" s="60"/>
      <c r="K1112" s="56"/>
    </row>
    <row r="1113" spans="1:11" ht="20.05" customHeight="1" x14ac:dyDescent="0.2">
      <c r="A1113" s="38"/>
      <c r="B1113" s="36"/>
      <c r="C1113" s="38"/>
      <c r="D1113" s="38"/>
      <c r="E1113" s="38"/>
      <c r="F1113" s="38"/>
      <c r="G1113" s="38"/>
      <c r="H1113" s="38"/>
      <c r="I1113" s="38"/>
      <c r="J1113" s="60"/>
      <c r="K1113" s="56"/>
    </row>
    <row r="1114" spans="1:11" ht="20.05" customHeight="1" x14ac:dyDescent="0.2">
      <c r="A1114" s="38"/>
      <c r="B1114" s="36"/>
      <c r="C1114" s="38"/>
      <c r="D1114" s="38"/>
      <c r="E1114" s="38"/>
      <c r="F1114" s="38"/>
      <c r="G1114" s="38"/>
      <c r="H1114" s="38"/>
      <c r="I1114" s="38"/>
      <c r="J1114" s="60"/>
      <c r="K1114" s="56"/>
    </row>
    <row r="1115" spans="1:11" ht="20.05" customHeight="1" x14ac:dyDescent="0.2">
      <c r="A1115" s="38"/>
      <c r="B1115" s="36"/>
      <c r="C1115" s="38"/>
      <c r="D1115" s="38"/>
      <c r="E1115" s="38"/>
      <c r="F1115" s="38"/>
      <c r="G1115" s="38"/>
      <c r="H1115" s="38"/>
      <c r="I1115" s="38"/>
      <c r="J1115" s="60"/>
      <c r="K1115" s="56"/>
    </row>
    <row r="1116" spans="1:11" ht="20.05" customHeight="1" x14ac:dyDescent="0.2">
      <c r="A1116" s="38"/>
      <c r="B1116" s="36"/>
      <c r="C1116" s="38"/>
      <c r="D1116" s="38"/>
      <c r="E1116" s="38"/>
      <c r="F1116" s="38"/>
      <c r="G1116" s="38"/>
      <c r="H1116" s="38"/>
      <c r="I1116" s="38"/>
      <c r="J1116" s="60"/>
      <c r="K1116" s="56"/>
    </row>
    <row r="1117" spans="1:11" ht="20.05" customHeight="1" x14ac:dyDescent="0.2">
      <c r="A1117" s="38"/>
      <c r="B1117" s="36"/>
      <c r="C1117" s="38"/>
      <c r="D1117" s="38"/>
      <c r="E1117" s="38"/>
      <c r="F1117" s="38"/>
      <c r="G1117" s="38"/>
      <c r="H1117" s="38"/>
      <c r="I1117" s="38"/>
      <c r="J1117" s="60"/>
      <c r="K1117" s="56"/>
    </row>
    <row r="1118" spans="1:11" ht="20.05" customHeight="1" x14ac:dyDescent="0.2">
      <c r="A1118" s="38"/>
      <c r="B1118" s="36"/>
      <c r="C1118" s="38"/>
      <c r="D1118" s="38"/>
      <c r="E1118" s="38"/>
      <c r="F1118" s="38"/>
      <c r="G1118" s="38"/>
      <c r="H1118" s="38"/>
      <c r="I1118" s="38"/>
      <c r="J1118" s="60"/>
      <c r="K1118" s="56"/>
    </row>
    <row r="1119" spans="1:11" ht="20.05" customHeight="1" x14ac:dyDescent="0.2">
      <c r="A1119" s="38"/>
      <c r="B1119" s="36"/>
      <c r="C1119" s="38"/>
      <c r="D1119" s="38"/>
      <c r="E1119" s="38"/>
      <c r="F1119" s="38"/>
      <c r="G1119" s="38"/>
      <c r="H1119" s="38"/>
      <c r="I1119" s="38"/>
      <c r="J1119" s="60"/>
      <c r="K1119" s="56"/>
    </row>
    <row r="1120" spans="1:11" ht="20.05" customHeight="1" x14ac:dyDescent="0.2">
      <c r="A1120" s="38"/>
      <c r="B1120" s="36"/>
      <c r="C1120" s="38"/>
      <c r="D1120" s="38"/>
      <c r="E1120" s="38"/>
      <c r="F1120" s="38"/>
      <c r="G1120" s="38"/>
      <c r="H1120" s="38"/>
      <c r="I1120" s="38"/>
      <c r="J1120" s="60"/>
      <c r="K1120" s="56"/>
    </row>
    <row r="1121" spans="1:11" ht="20.05" customHeight="1" x14ac:dyDescent="0.2">
      <c r="A1121" s="38"/>
      <c r="B1121" s="36"/>
      <c r="C1121" s="38"/>
      <c r="D1121" s="38"/>
      <c r="E1121" s="38"/>
      <c r="F1121" s="38"/>
      <c r="G1121" s="38"/>
      <c r="H1121" s="38"/>
      <c r="I1121" s="38"/>
      <c r="J1121" s="60"/>
      <c r="K1121" s="56"/>
    </row>
    <row r="1122" spans="1:11" ht="20.05" customHeight="1" x14ac:dyDescent="0.2">
      <c r="A1122" s="38"/>
      <c r="B1122" s="36"/>
      <c r="C1122" s="38"/>
      <c r="D1122" s="38"/>
      <c r="E1122" s="38"/>
      <c r="F1122" s="38"/>
      <c r="G1122" s="38"/>
      <c r="H1122" s="38"/>
      <c r="I1122" s="38"/>
      <c r="J1122" s="60"/>
      <c r="K1122" s="56"/>
    </row>
    <row r="1123" spans="1:11" ht="20.05" customHeight="1" x14ac:dyDescent="0.2">
      <c r="A1123" s="38"/>
      <c r="B1123" s="36"/>
      <c r="C1123" s="38"/>
      <c r="D1123" s="38"/>
      <c r="E1123" s="38"/>
      <c r="F1123" s="38"/>
      <c r="G1123" s="38"/>
      <c r="H1123" s="38"/>
      <c r="I1123" s="38"/>
      <c r="J1123" s="60"/>
      <c r="K1123" s="56"/>
    </row>
    <row r="1124" spans="1:11" ht="20.05" customHeight="1" x14ac:dyDescent="0.2">
      <c r="A1124" s="38"/>
      <c r="B1124" s="36"/>
      <c r="C1124" s="38"/>
      <c r="D1124" s="38"/>
      <c r="E1124" s="38"/>
      <c r="F1124" s="38"/>
      <c r="G1124" s="38"/>
      <c r="H1124" s="38"/>
      <c r="I1124" s="38"/>
      <c r="J1124" s="60"/>
      <c r="K1124" s="56"/>
    </row>
    <row r="1125" spans="1:11" ht="20.05" customHeight="1" x14ac:dyDescent="0.2">
      <c r="A1125" s="38"/>
      <c r="B1125" s="36"/>
      <c r="C1125" s="38"/>
      <c r="D1125" s="38"/>
      <c r="E1125" s="38"/>
      <c r="F1125" s="38"/>
      <c r="G1125" s="38"/>
      <c r="H1125" s="38"/>
      <c r="I1125" s="38"/>
      <c r="J1125" s="60"/>
      <c r="K1125" s="56"/>
    </row>
    <row r="1126" spans="1:11" ht="20.05" customHeight="1" x14ac:dyDescent="0.2">
      <c r="A1126" s="38"/>
      <c r="B1126" s="36"/>
      <c r="C1126" s="38"/>
      <c r="D1126" s="38"/>
      <c r="E1126" s="38"/>
      <c r="F1126" s="38"/>
      <c r="G1126" s="38"/>
      <c r="H1126" s="38"/>
      <c r="I1126" s="38"/>
      <c r="J1126" s="60"/>
      <c r="K1126" s="56"/>
    </row>
    <row r="1127" spans="1:11" ht="20.05" customHeight="1" x14ac:dyDescent="0.2">
      <c r="A1127" s="38"/>
      <c r="B1127" s="36"/>
      <c r="C1127" s="38"/>
      <c r="D1127" s="38"/>
      <c r="E1127" s="38"/>
      <c r="F1127" s="38"/>
      <c r="G1127" s="38"/>
      <c r="H1127" s="38"/>
      <c r="I1127" s="38"/>
      <c r="J1127" s="60"/>
      <c r="K1127" s="56"/>
    </row>
    <row r="1128" spans="1:11" ht="20.05" customHeight="1" x14ac:dyDescent="0.2">
      <c r="A1128" s="38"/>
      <c r="B1128" s="36"/>
      <c r="C1128" s="38"/>
      <c r="D1128" s="38"/>
      <c r="E1128" s="38"/>
      <c r="F1128" s="38"/>
      <c r="G1128" s="38"/>
      <c r="H1128" s="38"/>
      <c r="I1128" s="38"/>
      <c r="J1128" s="60"/>
      <c r="K1128" s="56"/>
    </row>
    <row r="1129" spans="1:11" ht="20.05" customHeight="1" x14ac:dyDescent="0.2">
      <c r="A1129" s="38"/>
      <c r="B1129" s="36"/>
      <c r="C1129" s="38"/>
      <c r="D1129" s="38"/>
      <c r="E1129" s="38"/>
      <c r="F1129" s="38"/>
      <c r="G1129" s="38"/>
      <c r="H1129" s="38"/>
      <c r="I1129" s="38"/>
      <c r="J1129" s="60"/>
      <c r="K1129" s="56"/>
    </row>
    <row r="1130" spans="1:11" ht="20.05" customHeight="1" x14ac:dyDescent="0.2">
      <c r="A1130" s="38"/>
      <c r="B1130" s="36"/>
      <c r="C1130" s="38"/>
      <c r="D1130" s="38"/>
      <c r="E1130" s="38"/>
      <c r="F1130" s="38"/>
      <c r="G1130" s="38"/>
      <c r="H1130" s="38"/>
      <c r="I1130" s="38"/>
      <c r="J1130" s="60"/>
      <c r="K1130" s="56"/>
    </row>
    <row r="1131" spans="1:11" ht="20.05" customHeight="1" x14ac:dyDescent="0.2">
      <c r="A1131" s="38"/>
      <c r="B1131" s="36"/>
      <c r="C1131" s="38"/>
      <c r="D1131" s="38"/>
      <c r="E1131" s="38"/>
      <c r="F1131" s="38"/>
      <c r="G1131" s="38"/>
      <c r="H1131" s="38"/>
      <c r="I1131" s="38"/>
      <c r="J1131" s="60"/>
      <c r="K1131" s="56"/>
    </row>
    <row r="1132" spans="1:11" ht="20.05" customHeight="1" x14ac:dyDescent="0.2">
      <c r="A1132" s="38"/>
      <c r="B1132" s="36"/>
      <c r="C1132" s="38"/>
      <c r="D1132" s="38"/>
      <c r="E1132" s="38"/>
      <c r="F1132" s="38"/>
      <c r="G1132" s="38"/>
      <c r="H1132" s="38"/>
      <c r="I1132" s="38"/>
      <c r="J1132" s="60"/>
      <c r="K1132" s="56"/>
    </row>
    <row r="1133" spans="1:11" ht="20.05" customHeight="1" x14ac:dyDescent="0.2">
      <c r="A1133" s="38"/>
      <c r="B1133" s="36"/>
      <c r="C1133" s="38"/>
      <c r="D1133" s="38"/>
      <c r="E1133" s="38"/>
      <c r="F1133" s="38"/>
      <c r="G1133" s="38"/>
      <c r="H1133" s="38"/>
      <c r="I1133" s="38"/>
      <c r="J1133" s="60"/>
      <c r="K1133" s="56"/>
    </row>
    <row r="1134" spans="1:11" ht="20.05" customHeight="1" x14ac:dyDescent="0.2">
      <c r="A1134" s="38"/>
      <c r="B1134" s="36"/>
      <c r="C1134" s="38"/>
      <c r="D1134" s="38"/>
      <c r="E1134" s="38"/>
      <c r="F1134" s="38"/>
      <c r="G1134" s="38"/>
      <c r="H1134" s="38"/>
      <c r="I1134" s="38"/>
      <c r="J1134" s="60"/>
      <c r="K1134" s="56"/>
    </row>
    <row r="1135" spans="1:11" ht="20.05" customHeight="1" x14ac:dyDescent="0.2">
      <c r="A1135" s="38"/>
      <c r="B1135" s="36"/>
      <c r="C1135" s="38"/>
      <c r="D1135" s="38"/>
      <c r="E1135" s="38"/>
      <c r="F1135" s="38"/>
      <c r="G1135" s="38"/>
      <c r="H1135" s="38"/>
      <c r="I1135" s="38"/>
      <c r="J1135" s="60"/>
      <c r="K1135" s="56"/>
    </row>
    <row r="1136" spans="1:11" ht="20.05" customHeight="1" x14ac:dyDescent="0.2">
      <c r="A1136" s="38"/>
      <c r="B1136" s="36"/>
      <c r="C1136" s="38"/>
      <c r="D1136" s="38"/>
      <c r="E1136" s="38"/>
      <c r="F1136" s="38"/>
      <c r="G1136" s="38"/>
      <c r="H1136" s="38"/>
      <c r="I1136" s="38"/>
      <c r="J1136" s="60"/>
      <c r="K1136" s="56"/>
    </row>
    <row r="1137" spans="1:11" ht="20.05" customHeight="1" x14ac:dyDescent="0.2">
      <c r="A1137" s="38"/>
      <c r="B1137" s="36"/>
      <c r="C1137" s="38"/>
      <c r="D1137" s="38"/>
      <c r="E1137" s="38"/>
      <c r="F1137" s="38"/>
      <c r="G1137" s="38"/>
      <c r="H1137" s="38"/>
      <c r="I1137" s="38"/>
      <c r="J1137" s="60"/>
      <c r="K1137" s="56"/>
    </row>
    <row r="1138" spans="1:11" ht="20.05" customHeight="1" x14ac:dyDescent="0.2">
      <c r="A1138" s="38"/>
      <c r="B1138" s="36"/>
      <c r="C1138" s="38"/>
      <c r="D1138" s="38"/>
      <c r="E1138" s="38"/>
      <c r="F1138" s="38"/>
      <c r="G1138" s="38"/>
      <c r="H1138" s="38"/>
      <c r="I1138" s="38"/>
      <c r="J1138" s="60"/>
      <c r="K1138" s="56"/>
    </row>
    <row r="1139" spans="1:11" ht="20.05" customHeight="1" x14ac:dyDescent="0.2">
      <c r="A1139" s="38"/>
      <c r="B1139" s="36"/>
      <c r="C1139" s="38"/>
      <c r="D1139" s="38"/>
      <c r="E1139" s="38"/>
      <c r="F1139" s="38"/>
      <c r="G1139" s="38"/>
      <c r="H1139" s="38"/>
      <c r="I1139" s="38"/>
      <c r="J1139" s="60"/>
      <c r="K1139" s="56"/>
    </row>
    <row r="1140" spans="1:11" ht="20.05" customHeight="1" x14ac:dyDescent="0.2">
      <c r="A1140" s="38"/>
      <c r="B1140" s="36"/>
      <c r="C1140" s="38"/>
      <c r="D1140" s="38"/>
      <c r="E1140" s="38"/>
      <c r="F1140" s="38"/>
      <c r="G1140" s="38"/>
      <c r="H1140" s="38"/>
      <c r="I1140" s="38"/>
      <c r="J1140" s="60"/>
      <c r="K1140" s="56"/>
    </row>
    <row r="1141" spans="1:11" ht="20.05" customHeight="1" x14ac:dyDescent="0.2">
      <c r="A1141" s="38"/>
      <c r="B1141" s="36"/>
      <c r="C1141" s="38"/>
      <c r="D1141" s="38"/>
      <c r="E1141" s="38"/>
      <c r="F1141" s="38"/>
      <c r="G1141" s="38"/>
      <c r="H1141" s="38"/>
      <c r="I1141" s="38"/>
      <c r="J1141" s="60"/>
      <c r="K1141" s="56"/>
    </row>
    <row r="1142" spans="1:11" ht="20.05" customHeight="1" x14ac:dyDescent="0.2">
      <c r="A1142" s="38"/>
      <c r="B1142" s="36"/>
      <c r="C1142" s="38"/>
      <c r="D1142" s="38"/>
      <c r="E1142" s="38"/>
      <c r="F1142" s="38"/>
      <c r="G1142" s="38"/>
      <c r="H1142" s="38"/>
      <c r="I1142" s="38"/>
      <c r="J1142" s="60"/>
      <c r="K1142" s="56"/>
    </row>
    <row r="1143" spans="1:11" ht="20.05" customHeight="1" x14ac:dyDescent="0.2">
      <c r="A1143" s="38"/>
      <c r="B1143" s="36"/>
      <c r="C1143" s="38"/>
      <c r="D1143" s="38"/>
      <c r="E1143" s="38"/>
      <c r="F1143" s="38"/>
      <c r="G1143" s="38"/>
      <c r="H1143" s="38"/>
      <c r="I1143" s="38"/>
      <c r="J1143" s="60"/>
      <c r="K1143" s="56"/>
    </row>
    <row r="1144" spans="1:11" ht="20.05" customHeight="1" x14ac:dyDescent="0.2">
      <c r="A1144" s="38"/>
      <c r="B1144" s="36"/>
      <c r="C1144" s="38"/>
      <c r="D1144" s="38"/>
      <c r="E1144" s="38"/>
      <c r="F1144" s="38"/>
      <c r="G1144" s="38"/>
      <c r="H1144" s="38"/>
      <c r="I1144" s="38"/>
      <c r="J1144" s="60"/>
      <c r="K1144" s="56"/>
    </row>
    <row r="1145" spans="1:11" ht="20.05" customHeight="1" x14ac:dyDescent="0.2">
      <c r="A1145" s="38"/>
      <c r="B1145" s="36"/>
      <c r="C1145" s="38"/>
      <c r="D1145" s="38"/>
      <c r="E1145" s="38"/>
      <c r="F1145" s="38"/>
      <c r="G1145" s="38"/>
      <c r="H1145" s="38"/>
      <c r="I1145" s="38"/>
      <c r="J1145" s="60"/>
      <c r="K1145" s="56"/>
    </row>
    <row r="1146" spans="1:11" ht="20.05" customHeight="1" x14ac:dyDescent="0.2">
      <c r="A1146" s="38"/>
      <c r="B1146" s="36"/>
      <c r="C1146" s="38"/>
      <c r="D1146" s="38"/>
      <c r="E1146" s="38"/>
      <c r="F1146" s="38"/>
      <c r="G1146" s="38"/>
      <c r="H1146" s="38"/>
      <c r="I1146" s="38"/>
      <c r="J1146" s="60"/>
      <c r="K1146" s="56"/>
    </row>
    <row r="1147" spans="1:11" ht="20.05" customHeight="1" x14ac:dyDescent="0.2">
      <c r="A1147" s="38"/>
      <c r="B1147" s="36"/>
      <c r="C1147" s="38"/>
      <c r="D1147" s="38"/>
      <c r="E1147" s="38"/>
      <c r="F1147" s="38"/>
      <c r="G1147" s="38"/>
      <c r="H1147" s="38"/>
      <c r="I1147" s="38"/>
      <c r="J1147" s="60"/>
      <c r="K1147" s="56"/>
    </row>
    <row r="1148" spans="1:11" ht="20.05" customHeight="1" x14ac:dyDescent="0.2">
      <c r="A1148" s="38"/>
      <c r="B1148" s="36"/>
      <c r="C1148" s="38"/>
      <c r="D1148" s="38"/>
      <c r="E1148" s="38"/>
      <c r="F1148" s="38"/>
      <c r="G1148" s="38"/>
      <c r="H1148" s="38"/>
      <c r="I1148" s="38"/>
      <c r="J1148" s="60"/>
      <c r="K1148" s="56"/>
    </row>
    <row r="1149" spans="1:11" ht="20.05" customHeight="1" x14ac:dyDescent="0.2">
      <c r="A1149" s="38"/>
      <c r="B1149" s="36"/>
      <c r="C1149" s="38"/>
      <c r="D1149" s="38"/>
      <c r="E1149" s="38"/>
      <c r="F1149" s="38"/>
      <c r="G1149" s="38"/>
      <c r="H1149" s="38"/>
      <c r="I1149" s="38"/>
      <c r="J1149" s="60"/>
      <c r="K1149" s="56"/>
    </row>
    <row r="1150" spans="1:11" ht="20.05" customHeight="1" x14ac:dyDescent="0.2">
      <c r="A1150" s="38"/>
      <c r="B1150" s="36"/>
      <c r="C1150" s="38"/>
      <c r="D1150" s="38"/>
      <c r="E1150" s="38"/>
      <c r="F1150" s="38"/>
      <c r="G1150" s="38"/>
      <c r="H1150" s="38"/>
      <c r="I1150" s="38"/>
      <c r="J1150" s="60"/>
      <c r="K1150" s="56"/>
    </row>
    <row r="1151" spans="1:11" ht="20.05" customHeight="1" x14ac:dyDescent="0.2">
      <c r="A1151" s="38"/>
      <c r="B1151" s="36"/>
      <c r="C1151" s="38"/>
      <c r="D1151" s="38"/>
      <c r="E1151" s="38"/>
      <c r="F1151" s="38"/>
      <c r="G1151" s="38"/>
      <c r="H1151" s="38"/>
      <c r="I1151" s="38"/>
      <c r="J1151" s="60"/>
      <c r="K1151" s="56"/>
    </row>
    <row r="1152" spans="1:11" ht="20.05" customHeight="1" x14ac:dyDescent="0.2">
      <c r="A1152" s="38"/>
      <c r="B1152" s="36"/>
      <c r="C1152" s="38"/>
      <c r="D1152" s="38"/>
      <c r="E1152" s="38"/>
      <c r="F1152" s="38"/>
      <c r="G1152" s="38"/>
      <c r="H1152" s="38"/>
      <c r="I1152" s="38"/>
      <c r="J1152" s="60"/>
      <c r="K1152" s="56"/>
    </row>
    <row r="1153" spans="1:11" ht="20.05" customHeight="1" x14ac:dyDescent="0.2">
      <c r="A1153" s="38"/>
      <c r="B1153" s="36"/>
      <c r="C1153" s="38"/>
      <c r="D1153" s="38"/>
      <c r="E1153" s="38"/>
      <c r="F1153" s="38"/>
      <c r="G1153" s="38"/>
      <c r="H1153" s="38"/>
      <c r="I1153" s="38"/>
      <c r="J1153" s="60"/>
      <c r="K1153" s="56"/>
    </row>
    <row r="1154" spans="1:11" ht="20.05" customHeight="1" x14ac:dyDescent="0.2">
      <c r="A1154" s="38"/>
      <c r="B1154" s="36"/>
      <c r="C1154" s="38"/>
      <c r="D1154" s="38"/>
      <c r="E1154" s="38"/>
      <c r="F1154" s="38"/>
      <c r="G1154" s="38"/>
      <c r="H1154" s="38"/>
      <c r="I1154" s="38"/>
      <c r="J1154" s="60"/>
      <c r="K1154" s="56"/>
    </row>
    <row r="1155" spans="1:11" ht="20.05" customHeight="1" x14ac:dyDescent="0.2">
      <c r="A1155" s="38"/>
      <c r="B1155" s="36"/>
      <c r="C1155" s="38"/>
      <c r="D1155" s="38"/>
      <c r="E1155" s="38"/>
      <c r="F1155" s="38"/>
      <c r="G1155" s="38"/>
      <c r="H1155" s="38"/>
      <c r="I1155" s="38"/>
      <c r="J1155" s="60"/>
      <c r="K1155" s="56"/>
    </row>
    <row r="1156" spans="1:11" ht="20.05" customHeight="1" x14ac:dyDescent="0.2">
      <c r="A1156" s="38"/>
      <c r="B1156" s="36"/>
      <c r="C1156" s="38"/>
      <c r="D1156" s="38"/>
      <c r="E1156" s="38"/>
      <c r="F1156" s="38"/>
      <c r="G1156" s="38"/>
      <c r="H1156" s="38"/>
      <c r="I1156" s="38"/>
      <c r="J1156" s="60"/>
      <c r="K1156" s="56"/>
    </row>
    <row r="1157" spans="1:11" ht="20.05" customHeight="1" x14ac:dyDescent="0.2">
      <c r="A1157" s="38"/>
      <c r="B1157" s="36"/>
      <c r="C1157" s="38"/>
      <c r="D1157" s="38"/>
      <c r="E1157" s="38"/>
      <c r="F1157" s="38"/>
      <c r="G1157" s="38"/>
      <c r="H1157" s="38"/>
      <c r="I1157" s="38"/>
      <c r="J1157" s="60"/>
      <c r="K1157" s="56"/>
    </row>
    <row r="1158" spans="1:11" ht="20.05" customHeight="1" x14ac:dyDescent="0.2">
      <c r="A1158" s="38"/>
      <c r="B1158" s="36"/>
      <c r="C1158" s="38"/>
      <c r="D1158" s="38"/>
      <c r="E1158" s="38"/>
      <c r="F1158" s="38"/>
      <c r="G1158" s="38"/>
      <c r="H1158" s="38"/>
      <c r="I1158" s="38"/>
      <c r="J1158" s="60"/>
      <c r="K1158" s="56"/>
    </row>
    <row r="1159" spans="1:11" ht="20.05" customHeight="1" x14ac:dyDescent="0.2">
      <c r="A1159" s="38"/>
      <c r="B1159" s="36"/>
      <c r="C1159" s="38"/>
      <c r="D1159" s="38"/>
      <c r="E1159" s="38"/>
      <c r="F1159" s="38"/>
      <c r="G1159" s="38"/>
      <c r="H1159" s="38"/>
      <c r="I1159" s="38"/>
      <c r="J1159" s="60"/>
      <c r="K1159" s="56"/>
    </row>
    <row r="1160" spans="1:11" ht="20.05" customHeight="1" x14ac:dyDescent="0.2">
      <c r="A1160" s="38"/>
      <c r="B1160" s="36"/>
      <c r="C1160" s="38"/>
      <c r="D1160" s="38"/>
      <c r="E1160" s="38"/>
      <c r="F1160" s="38"/>
      <c r="G1160" s="38"/>
      <c r="H1160" s="38"/>
      <c r="I1160" s="38"/>
      <c r="J1160" s="60"/>
      <c r="K1160" s="56"/>
    </row>
    <row r="1161" spans="1:11" ht="20.05" customHeight="1" x14ac:dyDescent="0.2">
      <c r="A1161" s="38"/>
      <c r="B1161" s="36"/>
      <c r="C1161" s="38"/>
      <c r="D1161" s="38"/>
      <c r="E1161" s="38"/>
      <c r="F1161" s="38"/>
      <c r="G1161" s="38"/>
      <c r="H1161" s="38"/>
      <c r="I1161" s="38"/>
      <c r="J1161" s="60"/>
      <c r="K1161" s="56"/>
    </row>
    <row r="1162" spans="1:11" ht="20.05" customHeight="1" x14ac:dyDescent="0.2">
      <c r="A1162" s="38"/>
      <c r="B1162" s="36"/>
      <c r="C1162" s="38"/>
      <c r="D1162" s="38"/>
      <c r="E1162" s="38"/>
      <c r="F1162" s="38"/>
      <c r="G1162" s="38"/>
      <c r="H1162" s="38"/>
      <c r="I1162" s="38"/>
      <c r="J1162" s="60"/>
      <c r="K1162" s="56"/>
    </row>
    <row r="1163" spans="1:11" ht="20.05" customHeight="1" x14ac:dyDescent="0.2">
      <c r="A1163" s="38"/>
      <c r="B1163" s="36"/>
      <c r="C1163" s="38"/>
      <c r="D1163" s="38"/>
      <c r="E1163" s="38"/>
      <c r="F1163" s="38"/>
      <c r="G1163" s="38"/>
      <c r="H1163" s="38"/>
      <c r="I1163" s="38"/>
      <c r="J1163" s="60"/>
      <c r="K1163" s="56"/>
    </row>
    <row r="1164" spans="1:11" ht="20.05" customHeight="1" x14ac:dyDescent="0.2">
      <c r="A1164" s="38"/>
      <c r="B1164" s="36"/>
      <c r="C1164" s="38"/>
      <c r="D1164" s="38"/>
      <c r="E1164" s="38"/>
      <c r="F1164" s="38"/>
      <c r="G1164" s="38"/>
      <c r="H1164" s="38"/>
      <c r="I1164" s="38"/>
      <c r="J1164" s="60"/>
      <c r="K1164" s="56"/>
    </row>
    <row r="1165" spans="1:11" ht="20.05" customHeight="1" x14ac:dyDescent="0.2">
      <c r="A1165" s="38"/>
      <c r="B1165" s="36"/>
      <c r="C1165" s="38"/>
      <c r="D1165" s="38"/>
      <c r="E1165" s="38"/>
      <c r="F1165" s="38"/>
      <c r="G1165" s="38"/>
      <c r="H1165" s="38"/>
      <c r="I1165" s="38"/>
      <c r="J1165" s="60"/>
      <c r="K1165" s="56"/>
    </row>
    <row r="1166" spans="1:11" ht="20.05" customHeight="1" x14ac:dyDescent="0.2">
      <c r="A1166" s="38"/>
      <c r="B1166" s="36"/>
      <c r="C1166" s="38"/>
      <c r="D1166" s="38"/>
      <c r="E1166" s="38"/>
      <c r="F1166" s="38"/>
      <c r="G1166" s="38"/>
      <c r="H1166" s="38"/>
      <c r="I1166" s="38"/>
      <c r="J1166" s="60"/>
      <c r="K1166" s="56"/>
    </row>
    <row r="1167" spans="1:11" ht="20.05" customHeight="1" x14ac:dyDescent="0.2">
      <c r="A1167" s="38"/>
      <c r="B1167" s="36"/>
      <c r="C1167" s="38"/>
      <c r="D1167" s="38"/>
      <c r="E1167" s="38"/>
      <c r="F1167" s="38"/>
      <c r="G1167" s="38"/>
      <c r="H1167" s="38"/>
      <c r="I1167" s="38"/>
      <c r="J1167" s="60"/>
      <c r="K1167" s="56"/>
    </row>
    <row r="1168" spans="1:11" ht="20.05" customHeight="1" x14ac:dyDescent="0.2">
      <c r="A1168" s="38"/>
      <c r="B1168" s="36"/>
      <c r="C1168" s="38"/>
      <c r="D1168" s="38"/>
      <c r="E1168" s="38"/>
      <c r="F1168" s="38"/>
      <c r="G1168" s="38"/>
      <c r="H1168" s="38"/>
      <c r="I1168" s="38"/>
      <c r="J1168" s="60"/>
      <c r="K1168" s="56"/>
    </row>
    <row r="1169" spans="1:11" ht="20.05" customHeight="1" x14ac:dyDescent="0.2">
      <c r="A1169" s="38"/>
      <c r="B1169" s="36"/>
      <c r="C1169" s="38"/>
      <c r="D1169" s="38"/>
      <c r="E1169" s="38"/>
      <c r="F1169" s="38"/>
      <c r="G1169" s="38"/>
      <c r="H1169" s="38"/>
      <c r="I1169" s="38"/>
      <c r="J1169" s="60"/>
      <c r="K1169" s="56"/>
    </row>
    <row r="1170" spans="1:11" ht="20.05" customHeight="1" x14ac:dyDescent="0.2">
      <c r="A1170" s="38"/>
      <c r="B1170" s="36"/>
      <c r="C1170" s="38"/>
      <c r="D1170" s="38"/>
      <c r="E1170" s="38"/>
      <c r="F1170" s="38"/>
      <c r="G1170" s="38"/>
      <c r="H1170" s="38"/>
      <c r="I1170" s="38"/>
      <c r="J1170" s="60"/>
      <c r="K1170" s="56"/>
    </row>
    <row r="1171" spans="1:11" ht="20.05" customHeight="1" x14ac:dyDescent="0.2">
      <c r="A1171" s="38"/>
      <c r="B1171" s="36"/>
      <c r="C1171" s="38"/>
      <c r="D1171" s="38"/>
      <c r="E1171" s="38"/>
      <c r="F1171" s="38"/>
      <c r="G1171" s="38"/>
      <c r="H1171" s="38"/>
      <c r="I1171" s="38"/>
      <c r="J1171" s="60"/>
      <c r="K1171" s="56"/>
    </row>
    <row r="1172" spans="1:11" ht="20.05" customHeight="1" x14ac:dyDescent="0.2">
      <c r="A1172" s="38"/>
      <c r="B1172" s="36"/>
      <c r="C1172" s="38"/>
      <c r="D1172" s="38"/>
      <c r="E1172" s="38"/>
      <c r="F1172" s="38"/>
      <c r="G1172" s="38"/>
      <c r="H1172" s="38"/>
      <c r="I1172" s="38"/>
      <c r="J1172" s="60"/>
      <c r="K1172" s="56"/>
    </row>
    <row r="1173" spans="1:11" ht="20.05" customHeight="1" x14ac:dyDescent="0.2">
      <c r="A1173" s="38"/>
      <c r="B1173" s="36"/>
      <c r="C1173" s="38"/>
      <c r="D1173" s="38"/>
      <c r="E1173" s="38"/>
      <c r="F1173" s="38"/>
      <c r="G1173" s="38"/>
      <c r="H1173" s="38"/>
      <c r="I1173" s="38"/>
      <c r="J1173" s="60"/>
      <c r="K1173" s="56"/>
    </row>
    <row r="1174" spans="1:11" ht="20.05" customHeight="1" x14ac:dyDescent="0.2">
      <c r="A1174" s="38"/>
      <c r="B1174" s="36"/>
      <c r="C1174" s="38"/>
      <c r="D1174" s="38"/>
      <c r="E1174" s="38"/>
      <c r="F1174" s="38"/>
      <c r="G1174" s="38"/>
      <c r="H1174" s="38"/>
      <c r="I1174" s="38"/>
      <c r="J1174" s="60"/>
      <c r="K1174" s="56"/>
    </row>
    <row r="1175" spans="1:11" ht="20.05" customHeight="1" x14ac:dyDescent="0.2">
      <c r="A1175" s="38"/>
      <c r="B1175" s="36"/>
      <c r="C1175" s="38"/>
      <c r="D1175" s="38"/>
      <c r="E1175" s="38"/>
      <c r="F1175" s="38"/>
      <c r="G1175" s="38"/>
      <c r="H1175" s="38"/>
      <c r="I1175" s="38"/>
      <c r="J1175" s="60"/>
      <c r="K1175" s="56"/>
    </row>
    <row r="1176" spans="1:11" ht="20.05" customHeight="1" x14ac:dyDescent="0.2">
      <c r="A1176" s="38"/>
      <c r="B1176" s="36"/>
      <c r="C1176" s="38"/>
      <c r="D1176" s="38"/>
      <c r="E1176" s="38"/>
      <c r="F1176" s="38"/>
      <c r="G1176" s="38"/>
      <c r="H1176" s="38"/>
      <c r="I1176" s="38"/>
      <c r="J1176" s="60"/>
      <c r="K1176" s="56"/>
    </row>
    <row r="1177" spans="1:11" ht="20.05" customHeight="1" x14ac:dyDescent="0.2">
      <c r="A1177" s="38"/>
      <c r="B1177" s="36"/>
      <c r="C1177" s="38"/>
      <c r="D1177" s="38"/>
      <c r="E1177" s="38"/>
      <c r="F1177" s="38"/>
      <c r="G1177" s="38"/>
      <c r="H1177" s="38"/>
      <c r="I1177" s="38"/>
      <c r="J1177" s="60"/>
      <c r="K1177" s="56"/>
    </row>
    <row r="1178" spans="1:11" ht="20.05" customHeight="1" x14ac:dyDescent="0.2">
      <c r="A1178" s="38"/>
      <c r="B1178" s="36"/>
      <c r="C1178" s="38"/>
      <c r="D1178" s="38"/>
      <c r="E1178" s="38"/>
      <c r="F1178" s="38"/>
      <c r="G1178" s="38"/>
      <c r="H1178" s="38"/>
      <c r="I1178" s="38"/>
      <c r="J1178" s="60"/>
      <c r="K1178" s="56"/>
    </row>
    <row r="1179" spans="1:11" ht="20.05" customHeight="1" x14ac:dyDescent="0.2">
      <c r="A1179" s="38"/>
      <c r="B1179" s="36"/>
      <c r="C1179" s="38"/>
      <c r="D1179" s="38"/>
      <c r="E1179" s="38"/>
      <c r="F1179" s="38"/>
      <c r="G1179" s="38"/>
      <c r="H1179" s="38"/>
      <c r="I1179" s="38"/>
      <c r="J1179" s="60"/>
      <c r="K1179" s="56"/>
    </row>
    <row r="1180" spans="1:11" ht="20.05" customHeight="1" x14ac:dyDescent="0.2">
      <c r="A1180" s="38"/>
      <c r="B1180" s="36"/>
      <c r="C1180" s="38"/>
      <c r="D1180" s="38"/>
      <c r="E1180" s="38"/>
      <c r="F1180" s="38"/>
      <c r="G1180" s="38"/>
      <c r="H1180" s="38"/>
      <c r="I1180" s="38"/>
      <c r="J1180" s="60"/>
      <c r="K1180" s="56"/>
    </row>
    <row r="1181" spans="1:11" ht="20.05" customHeight="1" x14ac:dyDescent="0.2">
      <c r="A1181" s="38"/>
      <c r="B1181" s="36"/>
      <c r="C1181" s="38"/>
      <c r="D1181" s="38"/>
      <c r="E1181" s="38"/>
      <c r="F1181" s="38"/>
      <c r="G1181" s="38"/>
      <c r="H1181" s="38"/>
      <c r="I1181" s="38"/>
      <c r="J1181" s="60"/>
      <c r="K1181" s="56"/>
    </row>
    <row r="1182" spans="1:11" ht="20.05" customHeight="1" x14ac:dyDescent="0.2">
      <c r="A1182" s="38"/>
      <c r="B1182" s="36"/>
      <c r="C1182" s="38"/>
      <c r="D1182" s="38"/>
      <c r="E1182" s="38"/>
      <c r="F1182" s="38"/>
      <c r="G1182" s="38"/>
      <c r="H1182" s="38"/>
      <c r="I1182" s="38"/>
      <c r="J1182" s="60"/>
      <c r="K1182" s="56"/>
    </row>
    <row r="1183" spans="1:11" ht="20.05" customHeight="1" x14ac:dyDescent="0.2">
      <c r="A1183" s="38"/>
      <c r="B1183" s="36"/>
      <c r="C1183" s="38"/>
      <c r="D1183" s="38"/>
      <c r="E1183" s="38"/>
      <c r="F1183" s="38"/>
      <c r="G1183" s="38"/>
      <c r="H1183" s="38"/>
      <c r="I1183" s="38"/>
      <c r="J1183" s="60"/>
      <c r="K1183" s="56"/>
    </row>
    <row r="1184" spans="1:11" ht="20.05" customHeight="1" x14ac:dyDescent="0.2">
      <c r="A1184" s="38"/>
      <c r="B1184" s="36"/>
      <c r="C1184" s="38"/>
      <c r="D1184" s="38"/>
      <c r="E1184" s="38"/>
      <c r="F1184" s="38"/>
      <c r="G1184" s="38"/>
      <c r="H1184" s="38"/>
      <c r="I1184" s="38"/>
      <c r="J1184" s="60"/>
      <c r="K1184" s="56"/>
    </row>
    <row r="1185" spans="1:11" ht="20.05" customHeight="1" x14ac:dyDescent="0.2">
      <c r="A1185" s="38"/>
      <c r="B1185" s="36"/>
      <c r="C1185" s="38"/>
      <c r="D1185" s="38"/>
      <c r="E1185" s="38"/>
      <c r="F1185" s="38"/>
      <c r="G1185" s="38"/>
      <c r="H1185" s="38"/>
      <c r="I1185" s="38"/>
      <c r="J1185" s="60"/>
      <c r="K1185" s="56"/>
    </row>
    <row r="1186" spans="1:11" ht="20.05" customHeight="1" x14ac:dyDescent="0.2">
      <c r="A1186" s="38"/>
      <c r="B1186" s="36"/>
      <c r="C1186" s="38"/>
      <c r="D1186" s="38"/>
      <c r="E1186" s="38"/>
      <c r="F1186" s="38"/>
      <c r="G1186" s="38"/>
      <c r="H1186" s="38"/>
      <c r="I1186" s="38"/>
      <c r="J1186" s="60"/>
      <c r="K1186" s="56"/>
    </row>
    <row r="1187" spans="1:11" ht="20.05" customHeight="1" x14ac:dyDescent="0.2">
      <c r="A1187" s="38"/>
      <c r="B1187" s="36"/>
      <c r="C1187" s="38"/>
      <c r="D1187" s="38"/>
      <c r="E1187" s="38"/>
      <c r="F1187" s="38"/>
      <c r="G1187" s="38"/>
      <c r="H1187" s="38"/>
      <c r="I1187" s="38"/>
      <c r="J1187" s="60"/>
      <c r="K1187" s="56"/>
    </row>
    <row r="1188" spans="1:11" ht="20.05" customHeight="1" x14ac:dyDescent="0.2">
      <c r="A1188" s="38"/>
      <c r="B1188" s="36"/>
      <c r="C1188" s="38"/>
      <c r="D1188" s="38"/>
      <c r="E1188" s="38"/>
      <c r="F1188" s="38"/>
      <c r="G1188" s="38"/>
      <c r="H1188" s="38"/>
      <c r="I1188" s="38"/>
      <c r="J1188" s="60"/>
      <c r="K1188" s="56"/>
    </row>
    <row r="1189" spans="1:11" ht="20.05" customHeight="1" x14ac:dyDescent="0.2">
      <c r="A1189" s="38"/>
      <c r="B1189" s="36"/>
      <c r="C1189" s="38"/>
      <c r="D1189" s="38"/>
      <c r="E1189" s="38"/>
      <c r="F1189" s="38"/>
      <c r="G1189" s="38"/>
      <c r="H1189" s="38"/>
      <c r="I1189" s="38"/>
      <c r="J1189" s="60"/>
      <c r="K1189" s="56"/>
    </row>
    <row r="1190" spans="1:11" ht="20.05" customHeight="1" x14ac:dyDescent="0.2">
      <c r="A1190" s="38"/>
      <c r="B1190" s="36"/>
      <c r="C1190" s="38"/>
      <c r="D1190" s="38"/>
      <c r="E1190" s="38"/>
      <c r="F1190" s="38"/>
      <c r="G1190" s="38"/>
      <c r="H1190" s="38"/>
      <c r="I1190" s="38"/>
      <c r="J1190" s="60"/>
      <c r="K1190" s="56"/>
    </row>
    <row r="1191" spans="1:11" ht="20.05" customHeight="1" x14ac:dyDescent="0.2">
      <c r="A1191" s="38"/>
      <c r="B1191" s="36"/>
      <c r="C1191" s="38"/>
      <c r="D1191" s="38"/>
      <c r="E1191" s="38"/>
      <c r="F1191" s="38"/>
      <c r="G1191" s="38"/>
      <c r="H1191" s="38"/>
      <c r="I1191" s="38"/>
      <c r="J1191" s="60"/>
      <c r="K1191" s="56"/>
    </row>
    <row r="1192" spans="1:11" ht="20.05" customHeight="1" x14ac:dyDescent="0.2">
      <c r="A1192" s="38"/>
      <c r="B1192" s="36"/>
      <c r="C1192" s="38"/>
      <c r="D1192" s="38"/>
      <c r="E1192" s="38"/>
      <c r="F1192" s="38"/>
      <c r="G1192" s="38"/>
      <c r="H1192" s="38"/>
      <c r="I1192" s="38"/>
      <c r="J1192" s="60"/>
      <c r="K1192" s="56"/>
    </row>
    <row r="1193" spans="1:11" ht="20.05" customHeight="1" x14ac:dyDescent="0.2">
      <c r="A1193" s="38"/>
      <c r="B1193" s="36"/>
      <c r="C1193" s="38"/>
      <c r="D1193" s="38"/>
      <c r="E1193" s="38"/>
      <c r="F1193" s="38"/>
      <c r="G1193" s="38"/>
      <c r="H1193" s="38"/>
      <c r="I1193" s="38"/>
      <c r="J1193" s="60"/>
      <c r="K1193" s="56"/>
    </row>
    <row r="1194" spans="1:11" ht="20.05" customHeight="1" x14ac:dyDescent="0.2">
      <c r="A1194" s="38"/>
      <c r="B1194" s="36"/>
      <c r="C1194" s="38"/>
      <c r="D1194" s="38"/>
      <c r="E1194" s="38"/>
      <c r="F1194" s="38"/>
      <c r="G1194" s="38"/>
      <c r="H1194" s="38"/>
      <c r="I1194" s="38"/>
      <c r="J1194" s="60"/>
      <c r="K1194" s="56"/>
    </row>
    <row r="1195" spans="1:11" ht="20.05" customHeight="1" x14ac:dyDescent="0.2">
      <c r="A1195" s="38"/>
      <c r="B1195" s="36"/>
      <c r="C1195" s="38"/>
      <c r="D1195" s="38"/>
      <c r="E1195" s="38"/>
      <c r="F1195" s="38"/>
      <c r="G1195" s="38"/>
      <c r="H1195" s="38"/>
      <c r="I1195" s="38"/>
      <c r="J1195" s="60"/>
      <c r="K1195" s="56"/>
    </row>
    <row r="1196" spans="1:11" ht="20.05" customHeight="1" x14ac:dyDescent="0.2">
      <c r="A1196" s="38"/>
      <c r="B1196" s="36"/>
      <c r="C1196" s="38"/>
      <c r="D1196" s="38"/>
      <c r="E1196" s="38"/>
      <c r="F1196" s="38"/>
      <c r="G1196" s="38"/>
      <c r="H1196" s="38"/>
      <c r="I1196" s="38"/>
      <c r="J1196" s="60"/>
      <c r="K1196" s="56"/>
    </row>
    <row r="1197" spans="1:11" ht="20.05" customHeight="1" x14ac:dyDescent="0.2">
      <c r="A1197" s="38"/>
      <c r="B1197" s="36"/>
      <c r="C1197" s="38"/>
      <c r="D1197" s="38"/>
      <c r="E1197" s="38"/>
      <c r="F1197" s="38"/>
      <c r="G1197" s="38"/>
      <c r="H1197" s="38"/>
      <c r="I1197" s="38"/>
      <c r="J1197" s="60"/>
      <c r="K1197" s="56"/>
    </row>
    <row r="1198" spans="1:11" ht="20.05" customHeight="1" x14ac:dyDescent="0.2">
      <c r="A1198" s="38"/>
      <c r="B1198" s="36"/>
      <c r="C1198" s="38"/>
      <c r="D1198" s="38"/>
      <c r="E1198" s="38"/>
      <c r="F1198" s="38"/>
      <c r="G1198" s="38"/>
      <c r="H1198" s="38"/>
      <c r="I1198" s="38"/>
      <c r="J1198" s="60"/>
      <c r="K1198" s="56"/>
    </row>
    <row r="1199" spans="1:11" ht="20.05" customHeight="1" x14ac:dyDescent="0.2">
      <c r="A1199" s="38"/>
      <c r="B1199" s="36"/>
      <c r="C1199" s="38"/>
      <c r="D1199" s="38"/>
      <c r="E1199" s="38"/>
      <c r="F1199" s="38"/>
      <c r="G1199" s="38"/>
      <c r="H1199" s="38"/>
      <c r="I1199" s="38"/>
      <c r="J1199" s="60"/>
      <c r="K1199" s="56"/>
    </row>
    <row r="1200" spans="1:11" ht="20.05" customHeight="1" x14ac:dyDescent="0.2">
      <c r="A1200" s="38"/>
      <c r="B1200" s="36"/>
      <c r="C1200" s="38"/>
      <c r="D1200" s="38"/>
      <c r="E1200" s="38"/>
      <c r="F1200" s="38"/>
      <c r="G1200" s="38"/>
      <c r="H1200" s="38"/>
      <c r="I1200" s="38"/>
      <c r="J1200" s="60"/>
      <c r="K1200" s="56"/>
    </row>
    <row r="1201" spans="1:11" ht="20.05" customHeight="1" x14ac:dyDescent="0.2">
      <c r="A1201" s="38"/>
      <c r="B1201" s="36"/>
      <c r="C1201" s="38"/>
      <c r="D1201" s="38"/>
      <c r="E1201" s="38"/>
      <c r="F1201" s="38"/>
      <c r="G1201" s="38"/>
      <c r="H1201" s="38"/>
      <c r="I1201" s="38"/>
      <c r="J1201" s="60"/>
      <c r="K1201" s="56"/>
    </row>
    <row r="1202" spans="1:11" ht="20.05" customHeight="1" x14ac:dyDescent="0.2">
      <c r="A1202" s="38"/>
      <c r="B1202" s="36"/>
      <c r="C1202" s="38"/>
      <c r="D1202" s="38"/>
      <c r="E1202" s="38"/>
      <c r="F1202" s="38"/>
      <c r="G1202" s="38"/>
      <c r="H1202" s="38"/>
      <c r="I1202" s="38"/>
      <c r="J1202" s="60"/>
      <c r="K1202" s="56"/>
    </row>
    <row r="1203" spans="1:11" ht="20.05" customHeight="1" x14ac:dyDescent="0.2">
      <c r="A1203" s="38"/>
      <c r="B1203" s="36"/>
      <c r="C1203" s="38"/>
      <c r="D1203" s="38"/>
      <c r="E1203" s="38"/>
      <c r="F1203" s="38"/>
      <c r="G1203" s="38"/>
      <c r="H1203" s="38"/>
      <c r="I1203" s="38"/>
      <c r="J1203" s="60"/>
      <c r="K1203" s="56"/>
    </row>
    <row r="1204" spans="1:11" ht="20.05" customHeight="1" x14ac:dyDescent="0.2">
      <c r="A1204" s="38"/>
      <c r="B1204" s="36"/>
      <c r="C1204" s="38"/>
      <c r="D1204" s="38"/>
      <c r="E1204" s="38"/>
      <c r="F1204" s="38"/>
      <c r="G1204" s="38"/>
      <c r="H1204" s="38"/>
      <c r="I1204" s="38"/>
      <c r="J1204" s="60"/>
      <c r="K1204" s="56"/>
    </row>
    <row r="1205" spans="1:11" ht="20.05" customHeight="1" x14ac:dyDescent="0.2">
      <c r="A1205" s="38"/>
      <c r="B1205" s="36"/>
      <c r="C1205" s="38"/>
      <c r="D1205" s="38"/>
      <c r="E1205" s="38"/>
      <c r="F1205" s="38"/>
      <c r="G1205" s="38"/>
      <c r="H1205" s="38"/>
      <c r="I1205" s="38"/>
      <c r="J1205" s="60"/>
      <c r="K1205" s="56"/>
    </row>
    <row r="1206" spans="1:11" ht="20.05" customHeight="1" x14ac:dyDescent="0.2">
      <c r="A1206" s="38"/>
      <c r="B1206" s="36"/>
      <c r="C1206" s="38"/>
      <c r="D1206" s="38"/>
      <c r="E1206" s="38"/>
      <c r="F1206" s="38"/>
      <c r="G1206" s="38"/>
      <c r="H1206" s="38"/>
      <c r="I1206" s="38"/>
      <c r="J1206" s="60"/>
      <c r="K1206" s="56"/>
    </row>
    <row r="1207" spans="1:11" ht="20.05" customHeight="1" x14ac:dyDescent="0.2">
      <c r="A1207" s="38"/>
      <c r="B1207" s="36"/>
      <c r="C1207" s="38"/>
      <c r="D1207" s="38"/>
      <c r="E1207" s="38"/>
      <c r="F1207" s="38"/>
      <c r="G1207" s="38"/>
      <c r="H1207" s="38"/>
      <c r="I1207" s="38"/>
      <c r="J1207" s="60"/>
      <c r="K1207" s="56"/>
    </row>
    <row r="1208" spans="1:11" ht="20.05" customHeight="1" x14ac:dyDescent="0.2">
      <c r="A1208" s="38"/>
      <c r="B1208" s="36"/>
      <c r="C1208" s="38"/>
      <c r="D1208" s="38"/>
      <c r="E1208" s="38"/>
      <c r="F1208" s="38"/>
      <c r="G1208" s="38"/>
      <c r="H1208" s="38"/>
      <c r="I1208" s="38"/>
      <c r="J1208" s="60"/>
      <c r="K1208" s="56"/>
    </row>
    <row r="1209" spans="1:11" ht="20.05" customHeight="1" x14ac:dyDescent="0.2">
      <c r="A1209" s="38"/>
      <c r="B1209" s="36"/>
      <c r="C1209" s="38"/>
      <c r="D1209" s="38"/>
      <c r="E1209" s="38"/>
      <c r="F1209" s="38"/>
      <c r="G1209" s="38"/>
      <c r="H1209" s="38"/>
      <c r="I1209" s="38"/>
      <c r="J1209" s="60"/>
      <c r="K1209" s="56"/>
    </row>
    <row r="1210" spans="1:11" ht="20.05" customHeight="1" x14ac:dyDescent="0.2">
      <c r="A1210" s="38"/>
      <c r="B1210" s="36"/>
      <c r="C1210" s="38"/>
      <c r="D1210" s="38"/>
      <c r="E1210" s="38"/>
      <c r="F1210" s="38"/>
      <c r="G1210" s="38"/>
      <c r="H1210" s="38"/>
      <c r="I1210" s="38"/>
      <c r="J1210" s="60"/>
      <c r="K1210" s="56"/>
    </row>
    <row r="1211" spans="1:11" ht="20.05" customHeight="1" x14ac:dyDescent="0.2">
      <c r="A1211" s="38"/>
      <c r="B1211" s="36"/>
      <c r="C1211" s="38"/>
      <c r="D1211" s="38"/>
      <c r="E1211" s="38"/>
      <c r="F1211" s="38"/>
      <c r="G1211" s="38"/>
      <c r="H1211" s="38"/>
      <c r="I1211" s="38"/>
      <c r="J1211" s="60"/>
      <c r="K1211" s="56"/>
    </row>
    <row r="1212" spans="1:11" ht="20.05" customHeight="1" x14ac:dyDescent="0.2">
      <c r="A1212" s="38"/>
      <c r="B1212" s="36"/>
      <c r="C1212" s="38"/>
      <c r="D1212" s="38"/>
      <c r="E1212" s="38"/>
      <c r="F1212" s="38"/>
      <c r="G1212" s="38"/>
      <c r="H1212" s="38"/>
      <c r="I1212" s="38"/>
      <c r="J1212" s="60"/>
      <c r="K1212" s="56"/>
    </row>
    <row r="1213" spans="1:11" ht="20.05" customHeight="1" x14ac:dyDescent="0.2">
      <c r="A1213" s="38"/>
      <c r="B1213" s="36"/>
      <c r="C1213" s="38"/>
      <c r="D1213" s="38"/>
      <c r="E1213" s="38"/>
      <c r="F1213" s="38"/>
      <c r="G1213" s="38"/>
      <c r="H1213" s="38"/>
      <c r="I1213" s="38"/>
      <c r="J1213" s="60"/>
      <c r="K1213" s="56"/>
    </row>
    <row r="1214" spans="1:11" ht="20.05" customHeight="1" x14ac:dyDescent="0.2">
      <c r="A1214" s="38"/>
      <c r="B1214" s="36"/>
      <c r="C1214" s="38"/>
      <c r="D1214" s="38"/>
      <c r="E1214" s="38"/>
      <c r="F1214" s="38"/>
      <c r="G1214" s="38"/>
      <c r="H1214" s="38"/>
      <c r="I1214" s="38"/>
      <c r="J1214" s="60"/>
      <c r="K1214" s="56"/>
    </row>
    <row r="1215" spans="1:11" ht="20.05" customHeight="1" x14ac:dyDescent="0.2">
      <c r="A1215" s="38"/>
      <c r="B1215" s="36"/>
      <c r="C1215" s="38"/>
      <c r="D1215" s="38"/>
      <c r="E1215" s="38"/>
      <c r="F1215" s="38"/>
      <c r="G1215" s="38"/>
      <c r="H1215" s="38"/>
      <c r="I1215" s="38"/>
      <c r="J1215" s="60"/>
      <c r="K1215" s="56"/>
    </row>
    <row r="1216" spans="1:11" ht="20.05" customHeight="1" x14ac:dyDescent="0.2">
      <c r="A1216" s="38"/>
      <c r="B1216" s="36"/>
      <c r="C1216" s="38"/>
      <c r="D1216" s="38"/>
      <c r="E1216" s="38"/>
      <c r="F1216" s="38"/>
      <c r="G1216" s="38"/>
      <c r="H1216" s="38"/>
      <c r="I1216" s="38"/>
      <c r="J1216" s="60"/>
      <c r="K1216" s="56"/>
    </row>
    <row r="1217" spans="1:11" ht="20.05" customHeight="1" x14ac:dyDescent="0.2">
      <c r="A1217" s="38"/>
      <c r="B1217" s="36"/>
      <c r="C1217" s="38"/>
      <c r="D1217" s="38"/>
      <c r="E1217" s="38"/>
      <c r="F1217" s="38"/>
      <c r="G1217" s="38"/>
      <c r="H1217" s="38"/>
      <c r="I1217" s="38"/>
      <c r="J1217" s="60"/>
      <c r="K1217" s="56"/>
    </row>
    <row r="1218" spans="1:11" ht="20.05" customHeight="1" x14ac:dyDescent="0.2">
      <c r="A1218" s="38"/>
      <c r="B1218" s="36"/>
      <c r="C1218" s="38"/>
      <c r="D1218" s="38"/>
      <c r="E1218" s="38"/>
      <c r="F1218" s="38"/>
      <c r="G1218" s="38"/>
      <c r="H1218" s="38"/>
      <c r="I1218" s="38"/>
      <c r="J1218" s="60"/>
      <c r="K1218" s="56"/>
    </row>
    <row r="1219" spans="1:11" ht="20.05" customHeight="1" x14ac:dyDescent="0.2">
      <c r="A1219" s="38"/>
      <c r="B1219" s="36"/>
      <c r="C1219" s="38"/>
      <c r="D1219" s="38"/>
      <c r="E1219" s="38"/>
      <c r="F1219" s="38"/>
      <c r="G1219" s="38"/>
      <c r="H1219" s="38"/>
      <c r="I1219" s="38"/>
      <c r="J1219" s="60"/>
      <c r="K1219" s="56"/>
    </row>
    <row r="1220" spans="1:11" ht="20.05" customHeight="1" x14ac:dyDescent="0.2">
      <c r="A1220" s="38"/>
      <c r="B1220" s="36"/>
      <c r="C1220" s="38"/>
      <c r="D1220" s="38"/>
      <c r="E1220" s="38"/>
      <c r="F1220" s="38"/>
      <c r="G1220" s="38"/>
      <c r="H1220" s="38"/>
      <c r="I1220" s="38"/>
      <c r="J1220" s="60"/>
      <c r="K1220" s="56"/>
    </row>
    <row r="1221" spans="1:11" ht="20.05" customHeight="1" x14ac:dyDescent="0.2">
      <c r="A1221" s="38"/>
      <c r="B1221" s="36"/>
      <c r="C1221" s="38"/>
      <c r="D1221" s="38"/>
      <c r="E1221" s="38"/>
      <c r="F1221" s="38"/>
      <c r="G1221" s="38"/>
      <c r="H1221" s="38"/>
      <c r="I1221" s="38"/>
      <c r="J1221" s="60"/>
      <c r="K1221" s="56"/>
    </row>
    <row r="1222" spans="1:11" ht="20.05" customHeight="1" x14ac:dyDescent="0.2">
      <c r="A1222" s="38"/>
      <c r="B1222" s="36"/>
      <c r="C1222" s="38"/>
      <c r="D1222" s="38"/>
      <c r="E1222" s="38"/>
      <c r="F1222" s="38"/>
      <c r="G1222" s="38"/>
      <c r="H1222" s="38"/>
      <c r="I1222" s="38"/>
      <c r="J1222" s="60"/>
      <c r="K1222" s="56"/>
    </row>
    <row r="1223" spans="1:11" ht="20.05" customHeight="1" x14ac:dyDescent="0.2">
      <c r="A1223" s="38"/>
      <c r="B1223" s="36"/>
      <c r="C1223" s="38"/>
      <c r="D1223" s="38"/>
      <c r="E1223" s="38"/>
      <c r="F1223" s="38"/>
      <c r="G1223" s="38"/>
      <c r="H1223" s="38"/>
      <c r="I1223" s="38"/>
      <c r="J1223" s="60"/>
      <c r="K1223" s="56"/>
    </row>
    <row r="1224" spans="1:11" ht="20.05" customHeight="1" x14ac:dyDescent="0.2">
      <c r="A1224" s="38"/>
      <c r="B1224" s="36"/>
      <c r="C1224" s="38"/>
      <c r="D1224" s="38"/>
      <c r="E1224" s="38"/>
      <c r="F1224" s="38"/>
      <c r="G1224" s="38"/>
      <c r="H1224" s="38"/>
      <c r="I1224" s="38"/>
      <c r="J1224" s="60"/>
      <c r="K1224" s="56"/>
    </row>
    <row r="1225" spans="1:11" ht="20.05" customHeight="1" x14ac:dyDescent="0.2">
      <c r="A1225" s="38"/>
      <c r="B1225" s="36"/>
      <c r="C1225" s="38"/>
      <c r="D1225" s="38"/>
      <c r="E1225" s="38"/>
      <c r="F1225" s="38"/>
      <c r="G1225" s="38"/>
      <c r="H1225" s="38"/>
      <c r="I1225" s="38"/>
      <c r="J1225" s="60"/>
      <c r="K1225" s="56"/>
    </row>
    <row r="1226" spans="1:11" ht="20.05" customHeight="1" x14ac:dyDescent="0.2">
      <c r="A1226" s="38"/>
      <c r="B1226" s="36"/>
      <c r="C1226" s="38"/>
      <c r="D1226" s="38"/>
      <c r="E1226" s="38"/>
      <c r="F1226" s="38"/>
      <c r="G1226" s="38"/>
      <c r="H1226" s="38"/>
      <c r="I1226" s="38"/>
      <c r="J1226" s="60"/>
      <c r="K1226" s="56"/>
    </row>
    <row r="1227" spans="1:11" ht="20.05" customHeight="1" x14ac:dyDescent="0.2">
      <c r="A1227" s="38"/>
      <c r="B1227" s="36"/>
      <c r="C1227" s="38"/>
      <c r="D1227" s="38"/>
      <c r="E1227" s="38"/>
      <c r="F1227" s="38"/>
      <c r="G1227" s="38"/>
      <c r="H1227" s="38"/>
      <c r="I1227" s="38"/>
      <c r="J1227" s="60"/>
      <c r="K1227" s="56"/>
    </row>
    <row r="1228" spans="1:11" ht="20.05" customHeight="1" x14ac:dyDescent="0.2">
      <c r="A1228" s="38"/>
      <c r="B1228" s="36"/>
      <c r="C1228" s="38"/>
      <c r="D1228" s="38"/>
      <c r="E1228" s="38"/>
      <c r="F1228" s="38"/>
      <c r="G1228" s="38"/>
      <c r="H1228" s="38"/>
      <c r="I1228" s="38"/>
      <c r="J1228" s="60"/>
      <c r="K1228" s="56"/>
    </row>
    <row r="1229" spans="1:11" ht="20.05" customHeight="1" x14ac:dyDescent="0.2">
      <c r="A1229" s="38"/>
      <c r="B1229" s="36"/>
      <c r="C1229" s="38"/>
      <c r="D1229" s="38"/>
      <c r="E1229" s="38"/>
      <c r="F1229" s="38"/>
      <c r="G1229" s="38"/>
      <c r="H1229" s="38"/>
      <c r="I1229" s="38"/>
      <c r="J1229" s="60"/>
      <c r="K1229" s="56"/>
    </row>
    <row r="1230" spans="1:11" ht="20.05" customHeight="1" x14ac:dyDescent="0.2">
      <c r="A1230" s="38"/>
      <c r="B1230" s="36"/>
      <c r="C1230" s="38"/>
      <c r="D1230" s="38"/>
      <c r="E1230" s="38"/>
      <c r="F1230" s="38"/>
      <c r="G1230" s="38"/>
      <c r="H1230" s="38"/>
      <c r="I1230" s="38"/>
      <c r="J1230" s="60"/>
      <c r="K1230" s="56"/>
    </row>
    <row r="1231" spans="1:11" ht="20.05" customHeight="1" x14ac:dyDescent="0.2">
      <c r="A1231" s="38"/>
      <c r="B1231" s="36"/>
      <c r="C1231" s="38"/>
      <c r="D1231" s="38"/>
      <c r="E1231" s="38"/>
      <c r="F1231" s="38"/>
      <c r="G1231" s="38"/>
      <c r="H1231" s="38"/>
      <c r="I1231" s="38"/>
      <c r="J1231" s="60"/>
      <c r="K1231" s="56"/>
    </row>
    <row r="1232" spans="1:11" ht="20.05" customHeight="1" x14ac:dyDescent="0.2">
      <c r="A1232" s="38"/>
      <c r="B1232" s="36"/>
      <c r="C1232" s="38"/>
      <c r="D1232" s="38"/>
      <c r="E1232" s="38"/>
      <c r="F1232" s="38"/>
      <c r="G1232" s="38"/>
      <c r="H1232" s="38"/>
      <c r="I1232" s="38"/>
      <c r="J1232" s="60"/>
      <c r="K1232" s="56"/>
    </row>
    <row r="1233" spans="1:11" ht="20.05" customHeight="1" x14ac:dyDescent="0.2">
      <c r="A1233" s="38"/>
      <c r="B1233" s="36"/>
      <c r="C1233" s="38"/>
      <c r="D1233" s="38"/>
      <c r="E1233" s="38"/>
      <c r="F1233" s="38"/>
      <c r="G1233" s="38"/>
      <c r="H1233" s="38"/>
      <c r="I1233" s="38"/>
      <c r="J1233" s="60"/>
      <c r="K1233" s="56"/>
    </row>
    <row r="1234" spans="1:11" ht="20.05" customHeight="1" x14ac:dyDescent="0.2">
      <c r="A1234" s="38"/>
      <c r="B1234" s="36"/>
      <c r="C1234" s="38"/>
      <c r="D1234" s="38"/>
      <c r="E1234" s="38"/>
      <c r="F1234" s="38"/>
      <c r="G1234" s="38"/>
      <c r="H1234" s="38"/>
      <c r="I1234" s="38"/>
      <c r="J1234" s="60"/>
      <c r="K1234" s="56"/>
    </row>
    <row r="1235" spans="1:11" ht="20.05" customHeight="1" x14ac:dyDescent="0.2">
      <c r="A1235" s="38"/>
      <c r="B1235" s="36"/>
      <c r="C1235" s="38"/>
      <c r="D1235" s="38"/>
      <c r="E1235" s="38"/>
      <c r="F1235" s="38"/>
      <c r="G1235" s="38"/>
      <c r="H1235" s="38"/>
      <c r="I1235" s="38"/>
      <c r="J1235" s="60"/>
      <c r="K1235" s="56"/>
    </row>
    <row r="1236" spans="1:11" ht="20.05" customHeight="1" x14ac:dyDescent="0.2">
      <c r="A1236" s="38"/>
      <c r="B1236" s="36"/>
      <c r="C1236" s="38"/>
      <c r="D1236" s="38"/>
      <c r="E1236" s="38"/>
      <c r="F1236" s="38"/>
      <c r="G1236" s="38"/>
      <c r="H1236" s="38"/>
      <c r="I1236" s="38"/>
      <c r="J1236" s="60"/>
      <c r="K1236" s="56"/>
    </row>
    <row r="1237" spans="1:11" ht="20.05" customHeight="1" x14ac:dyDescent="0.2">
      <c r="A1237" s="38"/>
      <c r="B1237" s="36"/>
      <c r="C1237" s="38"/>
      <c r="D1237" s="38"/>
      <c r="E1237" s="38"/>
      <c r="F1237" s="38"/>
      <c r="G1237" s="38"/>
      <c r="H1237" s="38"/>
      <c r="I1237" s="38"/>
      <c r="J1237" s="60"/>
      <c r="K1237" s="56"/>
    </row>
    <row r="1238" spans="1:11" ht="20.05" customHeight="1" x14ac:dyDescent="0.2">
      <c r="A1238" s="38"/>
      <c r="B1238" s="36"/>
      <c r="C1238" s="38"/>
      <c r="D1238" s="38"/>
      <c r="E1238" s="38"/>
      <c r="F1238" s="38"/>
      <c r="G1238" s="38"/>
      <c r="H1238" s="38"/>
      <c r="I1238" s="38"/>
      <c r="J1238" s="60"/>
      <c r="K1238" s="56"/>
    </row>
    <row r="1239" spans="1:11" ht="20.05" customHeight="1" x14ac:dyDescent="0.2">
      <c r="A1239" s="38"/>
      <c r="B1239" s="36"/>
      <c r="C1239" s="38"/>
      <c r="D1239" s="38"/>
      <c r="E1239" s="38"/>
      <c r="F1239" s="38"/>
      <c r="G1239" s="38"/>
      <c r="H1239" s="38"/>
      <c r="I1239" s="38"/>
      <c r="J1239" s="60"/>
      <c r="K1239" s="56"/>
    </row>
    <row r="1240" spans="1:11" ht="20.05" customHeight="1" x14ac:dyDescent="0.2">
      <c r="A1240" s="38"/>
      <c r="B1240" s="36"/>
      <c r="C1240" s="38"/>
      <c r="D1240" s="38"/>
      <c r="E1240" s="38"/>
      <c r="F1240" s="38"/>
      <c r="G1240" s="38"/>
      <c r="H1240" s="38"/>
      <c r="I1240" s="38"/>
      <c r="J1240" s="60"/>
      <c r="K1240" s="56"/>
    </row>
    <row r="1241" spans="1:11" ht="20.05" customHeight="1" x14ac:dyDescent="0.2">
      <c r="A1241" s="38"/>
      <c r="B1241" s="36"/>
      <c r="C1241" s="38"/>
      <c r="D1241" s="38"/>
      <c r="E1241" s="38"/>
      <c r="F1241" s="38"/>
      <c r="G1241" s="38"/>
      <c r="H1241" s="38"/>
      <c r="I1241" s="38"/>
      <c r="J1241" s="60"/>
      <c r="K1241" s="56"/>
    </row>
    <row r="1242" spans="1:11" ht="20.05" customHeight="1" x14ac:dyDescent="0.2">
      <c r="A1242" s="38"/>
      <c r="B1242" s="36"/>
      <c r="C1242" s="38"/>
      <c r="D1242" s="38"/>
      <c r="E1242" s="38"/>
      <c r="F1242" s="38"/>
      <c r="G1242" s="38"/>
      <c r="H1242" s="38"/>
      <c r="I1242" s="38"/>
      <c r="J1242" s="60"/>
      <c r="K1242" s="56"/>
    </row>
    <row r="1243" spans="1:11" ht="20.05" customHeight="1" x14ac:dyDescent="0.2">
      <c r="A1243" s="38"/>
      <c r="B1243" s="36"/>
      <c r="C1243" s="38"/>
      <c r="D1243" s="38"/>
      <c r="E1243" s="38"/>
      <c r="F1243" s="38"/>
      <c r="G1243" s="38"/>
      <c r="H1243" s="38"/>
      <c r="I1243" s="38"/>
      <c r="J1243" s="60"/>
      <c r="K1243" s="56"/>
    </row>
    <row r="1244" spans="1:11" ht="20.05" customHeight="1" x14ac:dyDescent="0.2">
      <c r="A1244" s="38"/>
      <c r="B1244" s="36"/>
      <c r="C1244" s="38"/>
      <c r="D1244" s="38"/>
      <c r="E1244" s="38"/>
      <c r="F1244" s="38"/>
      <c r="G1244" s="38"/>
      <c r="H1244" s="38"/>
      <c r="I1244" s="38"/>
      <c r="J1244" s="60"/>
      <c r="K1244" s="56"/>
    </row>
    <row r="1245" spans="1:11" ht="20.05" customHeight="1" x14ac:dyDescent="0.2">
      <c r="A1245" s="38"/>
      <c r="B1245" s="36"/>
      <c r="C1245" s="38"/>
      <c r="D1245" s="38"/>
      <c r="E1245" s="38"/>
      <c r="F1245" s="38"/>
      <c r="G1245" s="38"/>
      <c r="H1245" s="38"/>
      <c r="I1245" s="38"/>
      <c r="J1245" s="60"/>
      <c r="K1245" s="56"/>
    </row>
    <row r="1246" spans="1:11" ht="20.05" customHeight="1" x14ac:dyDescent="0.2">
      <c r="A1246" s="38"/>
      <c r="B1246" s="36"/>
      <c r="C1246" s="38"/>
      <c r="D1246" s="38"/>
      <c r="E1246" s="38"/>
      <c r="F1246" s="38"/>
      <c r="G1246" s="38"/>
      <c r="H1246" s="38"/>
      <c r="I1246" s="38"/>
      <c r="J1246" s="60"/>
      <c r="K1246" s="56"/>
    </row>
    <row r="1247" spans="1:11" ht="20.05" customHeight="1" x14ac:dyDescent="0.2">
      <c r="A1247" s="38"/>
      <c r="B1247" s="36"/>
      <c r="C1247" s="38"/>
      <c r="D1247" s="38"/>
      <c r="E1247" s="38"/>
      <c r="F1247" s="38"/>
      <c r="G1247" s="38"/>
      <c r="H1247" s="38"/>
      <c r="I1247" s="38"/>
      <c r="J1247" s="60"/>
      <c r="K1247" s="56"/>
    </row>
    <row r="1248" spans="1:11" ht="20.05" customHeight="1" x14ac:dyDescent="0.2">
      <c r="A1248" s="38"/>
      <c r="B1248" s="36"/>
      <c r="C1248" s="38"/>
      <c r="D1248" s="38"/>
      <c r="E1248" s="38"/>
      <c r="F1248" s="38"/>
      <c r="G1248" s="38"/>
      <c r="H1248" s="38"/>
      <c r="I1248" s="38"/>
      <c r="J1248" s="60"/>
      <c r="K1248" s="56"/>
    </row>
    <row r="1249" spans="1:11" ht="20.05" customHeight="1" x14ac:dyDescent="0.2">
      <c r="A1249" s="38"/>
      <c r="B1249" s="36"/>
      <c r="C1249" s="38"/>
      <c r="D1249" s="38"/>
      <c r="E1249" s="38"/>
      <c r="F1249" s="38"/>
      <c r="G1249" s="38"/>
      <c r="H1249" s="38"/>
      <c r="I1249" s="38"/>
      <c r="J1249" s="60"/>
      <c r="K1249" s="56"/>
    </row>
    <row r="1250" spans="1:11" ht="20.05" customHeight="1" x14ac:dyDescent="0.2">
      <c r="A1250" s="38"/>
      <c r="B1250" s="36"/>
      <c r="C1250" s="38"/>
      <c r="D1250" s="38"/>
      <c r="E1250" s="38"/>
      <c r="F1250" s="38"/>
      <c r="G1250" s="38"/>
      <c r="H1250" s="38"/>
      <c r="I1250" s="38"/>
      <c r="J1250" s="60"/>
      <c r="K1250" s="56"/>
    </row>
    <row r="1251" spans="1:11" ht="20.05" customHeight="1" x14ac:dyDescent="0.2">
      <c r="A1251" s="38"/>
      <c r="B1251" s="36"/>
      <c r="C1251" s="38"/>
      <c r="D1251" s="38"/>
      <c r="E1251" s="38"/>
      <c r="F1251" s="38"/>
      <c r="G1251" s="38"/>
      <c r="H1251" s="38"/>
      <c r="I1251" s="38"/>
      <c r="J1251" s="60"/>
      <c r="K1251" s="56"/>
    </row>
    <row r="1252" spans="1:11" ht="20.05" customHeight="1" x14ac:dyDescent="0.2">
      <c r="A1252" s="38"/>
      <c r="B1252" s="36"/>
      <c r="C1252" s="38"/>
      <c r="D1252" s="38"/>
      <c r="E1252" s="38"/>
      <c r="F1252" s="38"/>
      <c r="G1252" s="38"/>
      <c r="H1252" s="38"/>
      <c r="I1252" s="38"/>
      <c r="J1252" s="60"/>
      <c r="K1252" s="56"/>
    </row>
    <row r="1253" spans="1:11" ht="20.05" customHeight="1" x14ac:dyDescent="0.2">
      <c r="A1253" s="38"/>
      <c r="B1253" s="36"/>
      <c r="C1253" s="38"/>
      <c r="D1253" s="38"/>
      <c r="E1253" s="38"/>
      <c r="F1253" s="38"/>
      <c r="G1253" s="38"/>
      <c r="H1253" s="38"/>
      <c r="I1253" s="38"/>
      <c r="J1253" s="60"/>
      <c r="K1253" s="56"/>
    </row>
    <row r="1254" spans="1:11" ht="20.05" customHeight="1" x14ac:dyDescent="0.2">
      <c r="A1254" s="38"/>
      <c r="B1254" s="36"/>
      <c r="C1254" s="38"/>
      <c r="D1254" s="38"/>
      <c r="E1254" s="38"/>
      <c r="F1254" s="38"/>
      <c r="G1254" s="38"/>
      <c r="H1254" s="38"/>
      <c r="I1254" s="38"/>
      <c r="J1254" s="60"/>
      <c r="K1254" s="56"/>
    </row>
    <row r="1255" spans="1:11" ht="20.05" customHeight="1" x14ac:dyDescent="0.2">
      <c r="A1255" s="38"/>
      <c r="B1255" s="36"/>
      <c r="C1255" s="38"/>
      <c r="D1255" s="38"/>
      <c r="E1255" s="38"/>
      <c r="F1255" s="38"/>
      <c r="G1255" s="38"/>
      <c r="H1255" s="38"/>
      <c r="I1255" s="38"/>
      <c r="J1255" s="60"/>
      <c r="K1255" s="56"/>
    </row>
    <row r="1256" spans="1:11" ht="20.05" customHeight="1" x14ac:dyDescent="0.2">
      <c r="A1256" s="38"/>
      <c r="B1256" s="36"/>
      <c r="C1256" s="38"/>
      <c r="D1256" s="38"/>
      <c r="E1256" s="38"/>
      <c r="F1256" s="38"/>
      <c r="G1256" s="38"/>
      <c r="H1256" s="38"/>
      <c r="I1256" s="38"/>
      <c r="J1256" s="60"/>
      <c r="K1256" s="56"/>
    </row>
    <row r="1257" spans="1:11" ht="20.05" customHeight="1" x14ac:dyDescent="0.2">
      <c r="A1257" s="38"/>
      <c r="B1257" s="36"/>
      <c r="C1257" s="38"/>
      <c r="D1257" s="38"/>
      <c r="E1257" s="38"/>
      <c r="F1257" s="38"/>
      <c r="G1257" s="38"/>
      <c r="H1257" s="38"/>
      <c r="I1257" s="38"/>
      <c r="J1257" s="60"/>
      <c r="K1257" s="56"/>
    </row>
    <row r="1258" spans="1:11" ht="20.05" customHeight="1" x14ac:dyDescent="0.2">
      <c r="A1258" s="38"/>
      <c r="B1258" s="36"/>
      <c r="C1258" s="38"/>
      <c r="D1258" s="38"/>
      <c r="E1258" s="38"/>
      <c r="F1258" s="38"/>
      <c r="G1258" s="38"/>
      <c r="H1258" s="38"/>
      <c r="I1258" s="38"/>
      <c r="J1258" s="60"/>
      <c r="K1258" s="56"/>
    </row>
    <row r="1259" spans="1:11" ht="20.05" customHeight="1" x14ac:dyDescent="0.2">
      <c r="A1259" s="38"/>
      <c r="B1259" s="36"/>
      <c r="C1259" s="38"/>
      <c r="D1259" s="38"/>
      <c r="E1259" s="38"/>
      <c r="F1259" s="38"/>
      <c r="G1259" s="38"/>
      <c r="H1259" s="38"/>
      <c r="I1259" s="38"/>
      <c r="J1259" s="60"/>
      <c r="K1259" s="56"/>
    </row>
    <row r="1260" spans="1:11" ht="20.05" customHeight="1" x14ac:dyDescent="0.2">
      <c r="A1260" s="38"/>
      <c r="B1260" s="36"/>
      <c r="C1260" s="38"/>
      <c r="D1260" s="38"/>
      <c r="E1260" s="38"/>
      <c r="F1260" s="38"/>
      <c r="G1260" s="38"/>
      <c r="H1260" s="38"/>
      <c r="I1260" s="38"/>
      <c r="J1260" s="60"/>
      <c r="K1260" s="56"/>
    </row>
    <row r="1261" spans="1:11" ht="20.05" customHeight="1" x14ac:dyDescent="0.2">
      <c r="A1261" s="38"/>
      <c r="B1261" s="36"/>
      <c r="C1261" s="38"/>
      <c r="D1261" s="38"/>
      <c r="E1261" s="38"/>
      <c r="F1261" s="38"/>
      <c r="G1261" s="38"/>
      <c r="H1261" s="38"/>
      <c r="I1261" s="38"/>
      <c r="J1261" s="60"/>
      <c r="K1261" s="56"/>
    </row>
    <row r="1262" spans="1:11" ht="20.05" customHeight="1" x14ac:dyDescent="0.2">
      <c r="A1262" s="38"/>
      <c r="B1262" s="36"/>
      <c r="C1262" s="38"/>
      <c r="D1262" s="38"/>
      <c r="E1262" s="38"/>
      <c r="F1262" s="38"/>
      <c r="G1262" s="38"/>
      <c r="H1262" s="38"/>
      <c r="I1262" s="38"/>
      <c r="J1262" s="60"/>
      <c r="K1262" s="56"/>
    </row>
    <row r="1263" spans="1:11" ht="20.05" customHeight="1" x14ac:dyDescent="0.2">
      <c r="A1263" s="38"/>
      <c r="B1263" s="36"/>
      <c r="C1263" s="38"/>
      <c r="D1263" s="38"/>
      <c r="E1263" s="38"/>
      <c r="F1263" s="38"/>
      <c r="G1263" s="38"/>
      <c r="H1263" s="38"/>
      <c r="I1263" s="38"/>
      <c r="J1263" s="60"/>
      <c r="K1263" s="56"/>
    </row>
    <row r="1264" spans="1:11" ht="20.05" customHeight="1" x14ac:dyDescent="0.2">
      <c r="A1264" s="38"/>
      <c r="B1264" s="36"/>
      <c r="C1264" s="38"/>
      <c r="D1264" s="38"/>
      <c r="E1264" s="38"/>
      <c r="F1264" s="38"/>
      <c r="G1264" s="38"/>
      <c r="H1264" s="38"/>
      <c r="I1264" s="38"/>
      <c r="J1264" s="60"/>
      <c r="K1264" s="56"/>
    </row>
    <row r="1265" spans="1:11" ht="20.05" customHeight="1" x14ac:dyDescent="0.2">
      <c r="A1265" s="38"/>
      <c r="B1265" s="36"/>
      <c r="C1265" s="38"/>
      <c r="D1265" s="38"/>
      <c r="E1265" s="38"/>
      <c r="F1265" s="38"/>
      <c r="G1265" s="38"/>
      <c r="H1265" s="38"/>
      <c r="I1265" s="38"/>
      <c r="J1265" s="60"/>
      <c r="K1265" s="56"/>
    </row>
    <row r="1266" spans="1:11" ht="20.05" customHeight="1" x14ac:dyDescent="0.2">
      <c r="A1266" s="38"/>
      <c r="B1266" s="36"/>
      <c r="C1266" s="38"/>
      <c r="D1266" s="38"/>
      <c r="E1266" s="38"/>
      <c r="F1266" s="38"/>
      <c r="G1266" s="38"/>
      <c r="H1266" s="38"/>
      <c r="I1266" s="38"/>
      <c r="J1266" s="60"/>
      <c r="K1266" s="56"/>
    </row>
    <row r="1267" spans="1:11" ht="20.05" customHeight="1" x14ac:dyDescent="0.2">
      <c r="A1267" s="38"/>
      <c r="B1267" s="36"/>
      <c r="C1267" s="38"/>
      <c r="D1267" s="38"/>
      <c r="E1267" s="38"/>
      <c r="F1267" s="38"/>
      <c r="G1267" s="38"/>
      <c r="H1267" s="38"/>
      <c r="I1267" s="38"/>
      <c r="J1267" s="60"/>
      <c r="K1267" s="56"/>
    </row>
    <row r="1268" spans="1:11" ht="20.05" customHeight="1" x14ac:dyDescent="0.2">
      <c r="A1268" s="38"/>
      <c r="B1268" s="36"/>
      <c r="C1268" s="38"/>
      <c r="D1268" s="38"/>
      <c r="E1268" s="38"/>
      <c r="F1268" s="38"/>
      <c r="G1268" s="38"/>
      <c r="H1268" s="38"/>
      <c r="I1268" s="38"/>
      <c r="J1268" s="60"/>
      <c r="K1268" s="56"/>
    </row>
    <row r="1269" spans="1:11" ht="20.05" customHeight="1" x14ac:dyDescent="0.2">
      <c r="A1269" s="38"/>
      <c r="B1269" s="36"/>
      <c r="C1269" s="38"/>
      <c r="D1269" s="38"/>
      <c r="E1269" s="38"/>
      <c r="F1269" s="38"/>
      <c r="G1269" s="38"/>
      <c r="H1269" s="38"/>
      <c r="I1269" s="38"/>
      <c r="J1269" s="60"/>
      <c r="K1269" s="56"/>
    </row>
    <row r="1270" spans="1:11" ht="20.05" customHeight="1" x14ac:dyDescent="0.2">
      <c r="A1270" s="38"/>
      <c r="B1270" s="36"/>
      <c r="C1270" s="38"/>
      <c r="D1270" s="38"/>
      <c r="E1270" s="38"/>
      <c r="F1270" s="38"/>
      <c r="G1270" s="38"/>
      <c r="H1270" s="38"/>
      <c r="I1270" s="38"/>
      <c r="J1270" s="60"/>
      <c r="K1270" s="56"/>
    </row>
    <row r="1271" spans="1:11" ht="20.05" customHeight="1" x14ac:dyDescent="0.2">
      <c r="A1271" s="38"/>
      <c r="B1271" s="36"/>
      <c r="C1271" s="38"/>
      <c r="D1271" s="38"/>
      <c r="E1271" s="38"/>
      <c r="F1271" s="38"/>
      <c r="G1271" s="38"/>
      <c r="H1271" s="38"/>
      <c r="I1271" s="38"/>
      <c r="J1271" s="60"/>
      <c r="K1271" s="56"/>
    </row>
    <row r="1272" spans="1:11" ht="20.05" customHeight="1" x14ac:dyDescent="0.2">
      <c r="A1272" s="38"/>
      <c r="B1272" s="36"/>
      <c r="C1272" s="38"/>
      <c r="D1272" s="38"/>
      <c r="E1272" s="38"/>
      <c r="F1272" s="38"/>
      <c r="G1272" s="38"/>
      <c r="H1272" s="38"/>
      <c r="I1272" s="38"/>
      <c r="J1272" s="60"/>
      <c r="K1272" s="56"/>
    </row>
    <row r="1273" spans="1:11" ht="20.05" customHeight="1" x14ac:dyDescent="0.2">
      <c r="A1273" s="38"/>
      <c r="B1273" s="36"/>
      <c r="C1273" s="38"/>
      <c r="D1273" s="38"/>
      <c r="E1273" s="38"/>
      <c r="F1273" s="38"/>
      <c r="G1273" s="38"/>
      <c r="H1273" s="38"/>
      <c r="I1273" s="38"/>
      <c r="J1273" s="60"/>
      <c r="K1273" s="56"/>
    </row>
    <row r="1274" spans="1:11" ht="20.05" customHeight="1" x14ac:dyDescent="0.2">
      <c r="A1274" s="38"/>
      <c r="B1274" s="36"/>
      <c r="C1274" s="38"/>
      <c r="D1274" s="38"/>
      <c r="E1274" s="38"/>
      <c r="F1274" s="38"/>
      <c r="G1274" s="38"/>
      <c r="H1274" s="38"/>
      <c r="I1274" s="38"/>
      <c r="J1274" s="60"/>
      <c r="K1274" s="56"/>
    </row>
    <row r="1275" spans="1:11" ht="20.05" customHeight="1" x14ac:dyDescent="0.2">
      <c r="A1275" s="38"/>
      <c r="B1275" s="36"/>
      <c r="C1275" s="38"/>
      <c r="D1275" s="38"/>
      <c r="E1275" s="38"/>
      <c r="F1275" s="38"/>
      <c r="G1275" s="38"/>
      <c r="H1275" s="38"/>
      <c r="I1275" s="38"/>
      <c r="J1275" s="60"/>
      <c r="K1275" s="56"/>
    </row>
    <row r="1276" spans="1:11" ht="20.05" customHeight="1" x14ac:dyDescent="0.2">
      <c r="A1276" s="38"/>
      <c r="B1276" s="36"/>
      <c r="C1276" s="38"/>
      <c r="D1276" s="38"/>
      <c r="E1276" s="38"/>
      <c r="F1276" s="38"/>
      <c r="G1276" s="38"/>
      <c r="H1276" s="38"/>
      <c r="I1276" s="38"/>
      <c r="J1276" s="60"/>
      <c r="K1276" s="56"/>
    </row>
    <row r="1277" spans="1:11" ht="20.05" customHeight="1" x14ac:dyDescent="0.2">
      <c r="A1277" s="38"/>
      <c r="B1277" s="36"/>
      <c r="C1277" s="38"/>
      <c r="D1277" s="38"/>
      <c r="E1277" s="38"/>
      <c r="F1277" s="38"/>
      <c r="G1277" s="38"/>
      <c r="H1277" s="38"/>
      <c r="I1277" s="38"/>
      <c r="J1277" s="60"/>
      <c r="K1277" s="56"/>
    </row>
    <row r="1278" spans="1:11" ht="20.05" customHeight="1" x14ac:dyDescent="0.2">
      <c r="A1278" s="38"/>
      <c r="B1278" s="36"/>
      <c r="C1278" s="38"/>
      <c r="D1278" s="38"/>
      <c r="E1278" s="38"/>
      <c r="F1278" s="38"/>
      <c r="G1278" s="38"/>
      <c r="H1278" s="38"/>
      <c r="I1278" s="38"/>
      <c r="J1278" s="60"/>
      <c r="K1278" s="56"/>
    </row>
    <row r="1279" spans="1:11" ht="20.05" customHeight="1" x14ac:dyDescent="0.2">
      <c r="A1279" s="38"/>
      <c r="B1279" s="36"/>
      <c r="C1279" s="38"/>
      <c r="D1279" s="38"/>
      <c r="E1279" s="38"/>
      <c r="F1279" s="38"/>
      <c r="G1279" s="38"/>
      <c r="H1279" s="38"/>
      <c r="I1279" s="38"/>
      <c r="J1279" s="60"/>
      <c r="K1279" s="56"/>
    </row>
    <row r="1280" spans="1:11" ht="20.05" customHeight="1" x14ac:dyDescent="0.2">
      <c r="A1280" s="38"/>
      <c r="B1280" s="36"/>
      <c r="C1280" s="38"/>
      <c r="D1280" s="38"/>
      <c r="E1280" s="38"/>
      <c r="F1280" s="38"/>
      <c r="G1280" s="38"/>
      <c r="H1280" s="38"/>
      <c r="I1280" s="38"/>
      <c r="J1280" s="60"/>
      <c r="K1280" s="56"/>
    </row>
    <row r="1281" spans="1:11" ht="20.05" customHeight="1" x14ac:dyDescent="0.2">
      <c r="A1281" s="38"/>
      <c r="B1281" s="36"/>
      <c r="C1281" s="38"/>
      <c r="D1281" s="38"/>
      <c r="E1281" s="38"/>
      <c r="F1281" s="38"/>
      <c r="G1281" s="38"/>
      <c r="H1281" s="38"/>
      <c r="I1281" s="38"/>
      <c r="J1281" s="60"/>
      <c r="K1281" s="56"/>
    </row>
    <row r="1282" spans="1:11" ht="20.05" customHeight="1" x14ac:dyDescent="0.2">
      <c r="A1282" s="38"/>
      <c r="B1282" s="36"/>
      <c r="C1282" s="38"/>
      <c r="D1282" s="38"/>
      <c r="E1282" s="38"/>
      <c r="F1282" s="38"/>
      <c r="G1282" s="38"/>
      <c r="H1282" s="38"/>
      <c r="I1282" s="38"/>
      <c r="J1282" s="60"/>
      <c r="K1282" s="56"/>
    </row>
    <row r="1283" spans="1:11" ht="20.05" customHeight="1" x14ac:dyDescent="0.2">
      <c r="A1283" s="38"/>
      <c r="B1283" s="36"/>
      <c r="C1283" s="38"/>
      <c r="D1283" s="38"/>
      <c r="E1283" s="38"/>
      <c r="F1283" s="38"/>
      <c r="G1283" s="38"/>
      <c r="H1283" s="38"/>
      <c r="I1283" s="38"/>
      <c r="J1283" s="60"/>
      <c r="K1283" s="56"/>
    </row>
    <row r="1284" spans="1:11" ht="20.05" customHeight="1" x14ac:dyDescent="0.2">
      <c r="A1284" s="38"/>
      <c r="B1284" s="36"/>
      <c r="C1284" s="38"/>
      <c r="D1284" s="38"/>
      <c r="E1284" s="38"/>
      <c r="F1284" s="38"/>
      <c r="G1284" s="38"/>
      <c r="H1284" s="38"/>
      <c r="I1284" s="38"/>
      <c r="J1284" s="60"/>
      <c r="K1284" s="56"/>
    </row>
    <row r="1285" spans="1:11" ht="20.05" customHeight="1" x14ac:dyDescent="0.2">
      <c r="A1285" s="38"/>
      <c r="B1285" s="36"/>
      <c r="C1285" s="38"/>
      <c r="D1285" s="38"/>
      <c r="E1285" s="38"/>
      <c r="F1285" s="38"/>
      <c r="G1285" s="38"/>
      <c r="H1285" s="38"/>
      <c r="I1285" s="38"/>
      <c r="J1285" s="60"/>
      <c r="K1285" s="56"/>
    </row>
    <row r="1286" spans="1:11" ht="20.05" customHeight="1" x14ac:dyDescent="0.2">
      <c r="A1286" s="38"/>
      <c r="B1286" s="36"/>
      <c r="C1286" s="38"/>
      <c r="D1286" s="38"/>
      <c r="E1286" s="38"/>
      <c r="F1286" s="38"/>
      <c r="G1286" s="38"/>
      <c r="H1286" s="38"/>
      <c r="I1286" s="38"/>
      <c r="J1286" s="60"/>
      <c r="K1286" s="56"/>
    </row>
    <row r="1287" spans="1:11" ht="20.05" customHeight="1" x14ac:dyDescent="0.2">
      <c r="A1287" s="38"/>
      <c r="B1287" s="36"/>
      <c r="C1287" s="38"/>
      <c r="D1287" s="38"/>
      <c r="E1287" s="38"/>
      <c r="F1287" s="38"/>
      <c r="G1287" s="38"/>
      <c r="H1287" s="38"/>
      <c r="I1287" s="38"/>
      <c r="J1287" s="60"/>
      <c r="K1287" s="56"/>
    </row>
    <row r="1288" spans="1:11" ht="20.05" customHeight="1" x14ac:dyDescent="0.2">
      <c r="A1288" s="38"/>
      <c r="B1288" s="36"/>
      <c r="C1288" s="38"/>
      <c r="D1288" s="38"/>
      <c r="E1288" s="38"/>
      <c r="F1288" s="38"/>
      <c r="G1288" s="38"/>
      <c r="H1288" s="38"/>
      <c r="I1288" s="38"/>
      <c r="J1288" s="60"/>
      <c r="K1288" s="56"/>
    </row>
    <row r="1289" spans="1:11" ht="20.05" customHeight="1" x14ac:dyDescent="0.2">
      <c r="A1289" s="38"/>
      <c r="B1289" s="36"/>
      <c r="C1289" s="38"/>
      <c r="D1289" s="38"/>
      <c r="E1289" s="38"/>
      <c r="F1289" s="38"/>
      <c r="G1289" s="38"/>
      <c r="H1289" s="38"/>
      <c r="I1289" s="38"/>
      <c r="J1289" s="60"/>
      <c r="K1289" s="56"/>
    </row>
    <row r="1290" spans="1:11" ht="20.05" customHeight="1" x14ac:dyDescent="0.2">
      <c r="A1290" s="38"/>
      <c r="B1290" s="36"/>
      <c r="C1290" s="38"/>
      <c r="D1290" s="38"/>
      <c r="E1290" s="38"/>
      <c r="F1290" s="38"/>
      <c r="G1290" s="38"/>
      <c r="H1290" s="38"/>
      <c r="I1290" s="38"/>
      <c r="J1290" s="60"/>
      <c r="K1290" s="56"/>
    </row>
    <row r="1291" spans="1:11" ht="20.05" customHeight="1" x14ac:dyDescent="0.2">
      <c r="A1291" s="38"/>
      <c r="B1291" s="36"/>
      <c r="C1291" s="38"/>
      <c r="D1291" s="38"/>
      <c r="E1291" s="38"/>
      <c r="F1291" s="38"/>
      <c r="G1291" s="38"/>
      <c r="H1291" s="38"/>
      <c r="I1291" s="38"/>
      <c r="J1291" s="60"/>
      <c r="K1291" s="56"/>
    </row>
    <row r="1292" spans="1:11" ht="20.05" customHeight="1" x14ac:dyDescent="0.2">
      <c r="A1292" s="38"/>
      <c r="B1292" s="36"/>
      <c r="C1292" s="38"/>
      <c r="D1292" s="38"/>
      <c r="E1292" s="38"/>
      <c r="F1292" s="38"/>
      <c r="G1292" s="38"/>
      <c r="H1292" s="38"/>
      <c r="I1292" s="38"/>
      <c r="J1292" s="60"/>
      <c r="K1292" s="56"/>
    </row>
    <row r="1293" spans="1:11" ht="20.05" customHeight="1" x14ac:dyDescent="0.2">
      <c r="A1293" s="38"/>
      <c r="B1293" s="36"/>
      <c r="C1293" s="38"/>
      <c r="D1293" s="38"/>
      <c r="E1293" s="38"/>
      <c r="F1293" s="38"/>
      <c r="G1293" s="38"/>
      <c r="H1293" s="38"/>
      <c r="I1293" s="38"/>
      <c r="J1293" s="60"/>
      <c r="K1293" s="56"/>
    </row>
    <row r="1294" spans="1:11" ht="20.05" customHeight="1" x14ac:dyDescent="0.2">
      <c r="A1294" s="38"/>
      <c r="B1294" s="36"/>
      <c r="C1294" s="38"/>
      <c r="D1294" s="38"/>
      <c r="E1294" s="38"/>
      <c r="F1294" s="38"/>
      <c r="G1294" s="38"/>
      <c r="H1294" s="38"/>
      <c r="I1294" s="38"/>
      <c r="J1294" s="60"/>
      <c r="K1294" s="56"/>
    </row>
    <row r="1295" spans="1:11" ht="20.05" customHeight="1" x14ac:dyDescent="0.2">
      <c r="A1295" s="38"/>
      <c r="B1295" s="36"/>
      <c r="C1295" s="38"/>
      <c r="D1295" s="38"/>
      <c r="E1295" s="38"/>
      <c r="F1295" s="38"/>
      <c r="G1295" s="38"/>
      <c r="H1295" s="38"/>
      <c r="I1295" s="38"/>
      <c r="J1295" s="60"/>
      <c r="K1295" s="56"/>
    </row>
    <row r="1296" spans="1:11" ht="20.05" customHeight="1" x14ac:dyDescent="0.2">
      <c r="A1296" s="38"/>
      <c r="B1296" s="36"/>
      <c r="C1296" s="38"/>
      <c r="D1296" s="38"/>
      <c r="E1296" s="38"/>
      <c r="F1296" s="38"/>
      <c r="G1296" s="38"/>
      <c r="H1296" s="38"/>
      <c r="I1296" s="38"/>
      <c r="J1296" s="60"/>
      <c r="K1296" s="56"/>
    </row>
    <row r="1297" spans="1:11" ht="20.05" customHeight="1" x14ac:dyDescent="0.2">
      <c r="A1297" s="38"/>
      <c r="B1297" s="36"/>
      <c r="C1297" s="38"/>
      <c r="D1297" s="38"/>
      <c r="E1297" s="38"/>
      <c r="F1297" s="38"/>
      <c r="G1297" s="38"/>
      <c r="H1297" s="38"/>
      <c r="I1297" s="38"/>
      <c r="J1297" s="60"/>
      <c r="K1297" s="56"/>
    </row>
    <row r="1298" spans="1:11" ht="20.05" customHeight="1" x14ac:dyDescent="0.2">
      <c r="A1298" s="38"/>
      <c r="B1298" s="36"/>
      <c r="C1298" s="38"/>
      <c r="D1298" s="38"/>
      <c r="E1298" s="38"/>
      <c r="F1298" s="38"/>
      <c r="G1298" s="38"/>
      <c r="H1298" s="38"/>
      <c r="I1298" s="38"/>
      <c r="J1298" s="60"/>
      <c r="K1298" s="56"/>
    </row>
    <row r="1299" spans="1:11" ht="20.05" customHeight="1" x14ac:dyDescent="0.2">
      <c r="A1299" s="38"/>
      <c r="B1299" s="36"/>
      <c r="C1299" s="38"/>
      <c r="D1299" s="38"/>
      <c r="E1299" s="38"/>
      <c r="F1299" s="38"/>
      <c r="G1299" s="38"/>
      <c r="H1299" s="38"/>
      <c r="I1299" s="38"/>
      <c r="J1299" s="60"/>
      <c r="K1299" s="56"/>
    </row>
    <row r="1300" spans="1:11" ht="20.05" customHeight="1" x14ac:dyDescent="0.2">
      <c r="A1300" s="38"/>
      <c r="B1300" s="36"/>
      <c r="C1300" s="38"/>
      <c r="D1300" s="38"/>
      <c r="E1300" s="38"/>
      <c r="F1300" s="38"/>
      <c r="G1300" s="38"/>
      <c r="H1300" s="38"/>
      <c r="I1300" s="38"/>
      <c r="J1300" s="60"/>
      <c r="K1300" s="56"/>
    </row>
    <row r="1301" spans="1:11" ht="20.05" customHeight="1" x14ac:dyDescent="0.2">
      <c r="A1301" s="38"/>
      <c r="B1301" s="36"/>
      <c r="C1301" s="38"/>
      <c r="D1301" s="38"/>
      <c r="E1301" s="38"/>
      <c r="F1301" s="38"/>
      <c r="G1301" s="38"/>
      <c r="H1301" s="38"/>
      <c r="I1301" s="38"/>
      <c r="J1301" s="60"/>
      <c r="K1301" s="56"/>
    </row>
    <row r="1302" spans="1:11" ht="20.05" customHeight="1" x14ac:dyDescent="0.2">
      <c r="A1302" s="38"/>
      <c r="B1302" s="36"/>
      <c r="C1302" s="38"/>
      <c r="D1302" s="38"/>
      <c r="E1302" s="38"/>
      <c r="F1302" s="38"/>
      <c r="G1302" s="38"/>
      <c r="H1302" s="38"/>
      <c r="I1302" s="38"/>
      <c r="J1302" s="60"/>
      <c r="K1302" s="56"/>
    </row>
    <row r="1303" spans="1:11" ht="20.05" customHeight="1" x14ac:dyDescent="0.2">
      <c r="A1303" s="38"/>
      <c r="B1303" s="36"/>
      <c r="C1303" s="38"/>
      <c r="D1303" s="38"/>
      <c r="E1303" s="38"/>
      <c r="F1303" s="38"/>
      <c r="G1303" s="38"/>
      <c r="H1303" s="38"/>
      <c r="I1303" s="38"/>
      <c r="J1303" s="60"/>
      <c r="K1303" s="56"/>
    </row>
    <row r="1304" spans="1:11" ht="20.05" customHeight="1" x14ac:dyDescent="0.2">
      <c r="A1304" s="38"/>
      <c r="B1304" s="36"/>
      <c r="C1304" s="38"/>
      <c r="D1304" s="38"/>
      <c r="E1304" s="38"/>
      <c r="F1304" s="38"/>
      <c r="G1304" s="38"/>
      <c r="H1304" s="38"/>
      <c r="I1304" s="38"/>
      <c r="J1304" s="60"/>
      <c r="K1304" s="56"/>
    </row>
    <row r="1305" spans="1:11" ht="20.05" customHeight="1" x14ac:dyDescent="0.2">
      <c r="A1305" s="38"/>
      <c r="B1305" s="36"/>
      <c r="C1305" s="38"/>
      <c r="D1305" s="38"/>
      <c r="E1305" s="38"/>
      <c r="F1305" s="38"/>
      <c r="G1305" s="38"/>
      <c r="H1305" s="38"/>
      <c r="I1305" s="38"/>
      <c r="J1305" s="60"/>
      <c r="K1305" s="56"/>
    </row>
    <row r="1306" spans="1:11" ht="20.05" customHeight="1" x14ac:dyDescent="0.2">
      <c r="A1306" s="38"/>
      <c r="B1306" s="36"/>
      <c r="C1306" s="38"/>
      <c r="D1306" s="38"/>
      <c r="E1306" s="38"/>
      <c r="F1306" s="38"/>
      <c r="G1306" s="38"/>
      <c r="H1306" s="38"/>
      <c r="I1306" s="38"/>
      <c r="J1306" s="60"/>
      <c r="K1306" s="56"/>
    </row>
    <row r="1307" spans="1:11" ht="20.05" customHeight="1" x14ac:dyDescent="0.2">
      <c r="A1307" s="38"/>
      <c r="B1307" s="36"/>
      <c r="C1307" s="38"/>
      <c r="D1307" s="38"/>
      <c r="E1307" s="38"/>
      <c r="F1307" s="38"/>
      <c r="G1307" s="38"/>
      <c r="H1307" s="38"/>
      <c r="I1307" s="38"/>
      <c r="J1307" s="60"/>
      <c r="K1307" s="56"/>
    </row>
    <row r="1308" spans="1:11" ht="20.05" customHeight="1" x14ac:dyDescent="0.2">
      <c r="A1308" s="38"/>
      <c r="B1308" s="36"/>
      <c r="C1308" s="38"/>
      <c r="D1308" s="38"/>
      <c r="E1308" s="38"/>
      <c r="F1308" s="38"/>
      <c r="G1308" s="38"/>
      <c r="H1308" s="38"/>
      <c r="I1308" s="38"/>
      <c r="J1308" s="60"/>
      <c r="K1308" s="56"/>
    </row>
    <row r="1309" spans="1:11" ht="20.05" customHeight="1" x14ac:dyDescent="0.2">
      <c r="A1309" s="38"/>
      <c r="B1309" s="36"/>
      <c r="C1309" s="38"/>
      <c r="D1309" s="38"/>
      <c r="E1309" s="38"/>
      <c r="F1309" s="38"/>
      <c r="G1309" s="38"/>
      <c r="H1309" s="38"/>
      <c r="I1309" s="38"/>
      <c r="J1309" s="60"/>
      <c r="K1309" s="56"/>
    </row>
    <row r="1310" spans="1:11" ht="20.05" customHeight="1" x14ac:dyDescent="0.2">
      <c r="A1310" s="38"/>
      <c r="B1310" s="36"/>
      <c r="C1310" s="38"/>
      <c r="D1310" s="38"/>
      <c r="E1310" s="38"/>
      <c r="F1310" s="38"/>
      <c r="G1310" s="38"/>
      <c r="H1310" s="38"/>
      <c r="I1310" s="38"/>
      <c r="J1310" s="60"/>
      <c r="K1310" s="56"/>
    </row>
    <row r="1311" spans="1:11" ht="20.05" customHeight="1" x14ac:dyDescent="0.2">
      <c r="A1311" s="38"/>
      <c r="B1311" s="36"/>
      <c r="C1311" s="38"/>
      <c r="D1311" s="38"/>
      <c r="E1311" s="38"/>
      <c r="F1311" s="38"/>
      <c r="G1311" s="38"/>
      <c r="H1311" s="38"/>
      <c r="I1311" s="38"/>
      <c r="J1311" s="60"/>
      <c r="K1311" s="56"/>
    </row>
    <row r="1312" spans="1:11" ht="20.05" customHeight="1" x14ac:dyDescent="0.2">
      <c r="A1312" s="38"/>
      <c r="B1312" s="36"/>
      <c r="C1312" s="38"/>
      <c r="D1312" s="38"/>
      <c r="E1312" s="38"/>
      <c r="F1312" s="38"/>
      <c r="G1312" s="38"/>
      <c r="H1312" s="38"/>
      <c r="I1312" s="38"/>
      <c r="J1312" s="60"/>
      <c r="K1312" s="56"/>
    </row>
    <row r="1313" spans="1:11" ht="20.05" customHeight="1" x14ac:dyDescent="0.2">
      <c r="A1313" s="38"/>
      <c r="B1313" s="36"/>
      <c r="C1313" s="38"/>
      <c r="D1313" s="38"/>
      <c r="E1313" s="38"/>
      <c r="F1313" s="38"/>
      <c r="G1313" s="38"/>
      <c r="H1313" s="38"/>
      <c r="I1313" s="38"/>
      <c r="J1313" s="60"/>
      <c r="K1313" s="56"/>
    </row>
    <row r="1314" spans="1:11" ht="20.05" customHeight="1" x14ac:dyDescent="0.2">
      <c r="A1314" s="38"/>
      <c r="B1314" s="36"/>
      <c r="C1314" s="38"/>
      <c r="D1314" s="38"/>
      <c r="E1314" s="38"/>
      <c r="F1314" s="38"/>
      <c r="G1314" s="38"/>
      <c r="H1314" s="38"/>
      <c r="I1314" s="38"/>
      <c r="J1314" s="60"/>
      <c r="K1314" s="56"/>
    </row>
    <row r="1315" spans="1:11" ht="20.05" customHeight="1" x14ac:dyDescent="0.2">
      <c r="A1315" s="38"/>
      <c r="B1315" s="36"/>
      <c r="C1315" s="38"/>
      <c r="D1315" s="38"/>
      <c r="E1315" s="38"/>
      <c r="F1315" s="38"/>
      <c r="G1315" s="38"/>
      <c r="H1315" s="38"/>
      <c r="I1315" s="38"/>
      <c r="J1315" s="60"/>
      <c r="K1315" s="56"/>
    </row>
    <row r="1316" spans="1:11" ht="20.05" customHeight="1" x14ac:dyDescent="0.2">
      <c r="A1316" s="38"/>
      <c r="B1316" s="36"/>
      <c r="C1316" s="38"/>
      <c r="D1316" s="38"/>
      <c r="E1316" s="38"/>
      <c r="F1316" s="38"/>
      <c r="G1316" s="38"/>
      <c r="H1316" s="38"/>
      <c r="I1316" s="38"/>
      <c r="J1316" s="60"/>
      <c r="K1316" s="56"/>
    </row>
    <row r="1317" spans="1:11" ht="20.05" customHeight="1" x14ac:dyDescent="0.2">
      <c r="A1317" s="38"/>
      <c r="B1317" s="36"/>
      <c r="C1317" s="38"/>
      <c r="D1317" s="38"/>
      <c r="E1317" s="38"/>
      <c r="F1317" s="38"/>
      <c r="G1317" s="38"/>
      <c r="H1317" s="38"/>
      <c r="I1317" s="38"/>
      <c r="J1317" s="60"/>
      <c r="K1317" s="56"/>
    </row>
    <row r="1318" spans="1:11" ht="20.05" customHeight="1" x14ac:dyDescent="0.2">
      <c r="A1318" s="38"/>
      <c r="B1318" s="36"/>
      <c r="C1318" s="38"/>
      <c r="D1318" s="38"/>
      <c r="E1318" s="38"/>
      <c r="F1318" s="38"/>
      <c r="G1318" s="38"/>
      <c r="H1318" s="38"/>
      <c r="I1318" s="38"/>
      <c r="J1318" s="60"/>
      <c r="K1318" s="56"/>
    </row>
    <row r="1319" spans="1:11" ht="20.05" customHeight="1" x14ac:dyDescent="0.2">
      <c r="A1319" s="38"/>
      <c r="B1319" s="36"/>
      <c r="C1319" s="38"/>
      <c r="D1319" s="38"/>
      <c r="E1319" s="38"/>
      <c r="F1319" s="38"/>
      <c r="G1319" s="38"/>
      <c r="H1319" s="38"/>
      <c r="I1319" s="38"/>
      <c r="J1319" s="60"/>
      <c r="K1319" s="56"/>
    </row>
    <row r="1320" spans="1:11" ht="20.05" customHeight="1" x14ac:dyDescent="0.2">
      <c r="A1320" s="38"/>
      <c r="B1320" s="36"/>
      <c r="C1320" s="38"/>
      <c r="D1320" s="38"/>
      <c r="E1320" s="38"/>
      <c r="F1320" s="38"/>
      <c r="G1320" s="38"/>
      <c r="H1320" s="38"/>
      <c r="I1320" s="38"/>
      <c r="J1320" s="60"/>
      <c r="K1320" s="56"/>
    </row>
    <row r="1321" spans="1:11" ht="20.05" customHeight="1" x14ac:dyDescent="0.2">
      <c r="A1321" s="38"/>
      <c r="B1321" s="36"/>
      <c r="C1321" s="38"/>
      <c r="D1321" s="38"/>
      <c r="E1321" s="38"/>
      <c r="F1321" s="38"/>
      <c r="G1321" s="38"/>
      <c r="H1321" s="38"/>
      <c r="I1321" s="38"/>
      <c r="J1321" s="60"/>
      <c r="K1321" s="56"/>
    </row>
    <row r="1322" spans="1:11" ht="20.05" customHeight="1" x14ac:dyDescent="0.2">
      <c r="A1322" s="38"/>
      <c r="B1322" s="36"/>
      <c r="C1322" s="38"/>
      <c r="D1322" s="38"/>
      <c r="E1322" s="38"/>
      <c r="F1322" s="38"/>
      <c r="G1322" s="38"/>
      <c r="H1322" s="38"/>
      <c r="I1322" s="38"/>
      <c r="J1322" s="60"/>
      <c r="K1322" s="56"/>
    </row>
    <row r="1323" spans="1:11" ht="20.05" customHeight="1" x14ac:dyDescent="0.2">
      <c r="A1323" s="38"/>
      <c r="B1323" s="36"/>
      <c r="C1323" s="38"/>
      <c r="D1323" s="38"/>
      <c r="E1323" s="38"/>
      <c r="F1323" s="38"/>
      <c r="G1323" s="38"/>
      <c r="H1323" s="38"/>
      <c r="I1323" s="38"/>
      <c r="J1323" s="60"/>
      <c r="K1323" s="56"/>
    </row>
    <row r="1324" spans="1:11" ht="20.05" customHeight="1" x14ac:dyDescent="0.2">
      <c r="A1324" s="38"/>
      <c r="B1324" s="36"/>
      <c r="C1324" s="38"/>
      <c r="D1324" s="38"/>
      <c r="E1324" s="38"/>
      <c r="F1324" s="38"/>
      <c r="G1324" s="38"/>
      <c r="H1324" s="38"/>
      <c r="I1324" s="38"/>
      <c r="J1324" s="60"/>
      <c r="K1324" s="56"/>
    </row>
    <row r="1325" spans="1:11" ht="20.05" customHeight="1" x14ac:dyDescent="0.2">
      <c r="A1325" s="38"/>
      <c r="B1325" s="36"/>
      <c r="C1325" s="38"/>
      <c r="D1325" s="38"/>
      <c r="E1325" s="38"/>
      <c r="F1325" s="38"/>
      <c r="G1325" s="38"/>
      <c r="H1325" s="38"/>
      <c r="I1325" s="38"/>
      <c r="J1325" s="60"/>
      <c r="K1325" s="56"/>
    </row>
    <row r="1326" spans="1:11" ht="20.05" customHeight="1" x14ac:dyDescent="0.2">
      <c r="A1326" s="38"/>
      <c r="B1326" s="36"/>
      <c r="C1326" s="38"/>
      <c r="D1326" s="38"/>
      <c r="E1326" s="38"/>
      <c r="F1326" s="38"/>
      <c r="G1326" s="38"/>
      <c r="H1326" s="38"/>
      <c r="I1326" s="38"/>
      <c r="J1326" s="60"/>
      <c r="K1326" s="56"/>
    </row>
    <row r="1327" spans="1:11" ht="20.05" customHeight="1" x14ac:dyDescent="0.2">
      <c r="A1327" s="38"/>
      <c r="B1327" s="36"/>
      <c r="C1327" s="38"/>
      <c r="D1327" s="38"/>
      <c r="E1327" s="38"/>
      <c r="F1327" s="38"/>
      <c r="G1327" s="38"/>
      <c r="H1327" s="38"/>
      <c r="I1327" s="38"/>
      <c r="J1327" s="60"/>
      <c r="K1327" s="56"/>
    </row>
    <row r="1328" spans="1:11" ht="20.05" customHeight="1" x14ac:dyDescent="0.2">
      <c r="A1328" s="38"/>
      <c r="B1328" s="36"/>
      <c r="C1328" s="38"/>
      <c r="D1328" s="38"/>
      <c r="E1328" s="38"/>
      <c r="F1328" s="38"/>
      <c r="G1328" s="38"/>
      <c r="H1328" s="38"/>
      <c r="I1328" s="38"/>
      <c r="J1328" s="60"/>
      <c r="K1328" s="56"/>
    </row>
    <row r="1329" spans="1:11" ht="20.05" customHeight="1" x14ac:dyDescent="0.2">
      <c r="A1329" s="38"/>
      <c r="B1329" s="36"/>
      <c r="C1329" s="38"/>
      <c r="D1329" s="38"/>
      <c r="E1329" s="38"/>
      <c r="F1329" s="38"/>
      <c r="G1329" s="38"/>
      <c r="H1329" s="38"/>
      <c r="I1329" s="38"/>
      <c r="J1329" s="60"/>
      <c r="K1329" s="56"/>
    </row>
    <row r="1330" spans="1:11" ht="20.05" customHeight="1" x14ac:dyDescent="0.2">
      <c r="A1330" s="38"/>
      <c r="B1330" s="36"/>
      <c r="C1330" s="38"/>
      <c r="D1330" s="38"/>
      <c r="E1330" s="38"/>
      <c r="F1330" s="38"/>
      <c r="G1330" s="38"/>
      <c r="H1330" s="38"/>
      <c r="I1330" s="38"/>
      <c r="J1330" s="60"/>
      <c r="K1330" s="56"/>
    </row>
    <row r="1331" spans="1:11" ht="20.05" customHeight="1" x14ac:dyDescent="0.2">
      <c r="A1331" s="38"/>
      <c r="B1331" s="36"/>
      <c r="C1331" s="38"/>
      <c r="D1331" s="38"/>
      <c r="E1331" s="38"/>
      <c r="F1331" s="38"/>
      <c r="G1331" s="38"/>
      <c r="H1331" s="38"/>
      <c r="I1331" s="38"/>
      <c r="J1331" s="60"/>
      <c r="K1331" s="56"/>
    </row>
    <row r="1332" spans="1:11" ht="20.05" customHeight="1" x14ac:dyDescent="0.2">
      <c r="A1332" s="38"/>
      <c r="B1332" s="36"/>
      <c r="C1332" s="38"/>
      <c r="D1332" s="38"/>
      <c r="E1332" s="38"/>
      <c r="F1332" s="38"/>
      <c r="G1332" s="38"/>
      <c r="H1332" s="38"/>
      <c r="I1332" s="38"/>
      <c r="J1332" s="60"/>
      <c r="K1332" s="56"/>
    </row>
    <row r="1333" spans="1:11" ht="20.05" customHeight="1" x14ac:dyDescent="0.2">
      <c r="A1333" s="38"/>
      <c r="B1333" s="36"/>
      <c r="C1333" s="38"/>
      <c r="D1333" s="38"/>
      <c r="E1333" s="38"/>
      <c r="F1333" s="38"/>
      <c r="G1333" s="38"/>
      <c r="H1333" s="38"/>
      <c r="I1333" s="38"/>
      <c r="J1333" s="60"/>
      <c r="K1333" s="56"/>
    </row>
    <row r="1334" spans="1:11" ht="20.05" customHeight="1" x14ac:dyDescent="0.2">
      <c r="A1334" s="38"/>
      <c r="B1334" s="36"/>
      <c r="C1334" s="38"/>
      <c r="D1334" s="38"/>
      <c r="E1334" s="38"/>
      <c r="F1334" s="38"/>
      <c r="G1334" s="38"/>
      <c r="H1334" s="38"/>
      <c r="I1334" s="38"/>
      <c r="J1334" s="60"/>
      <c r="K1334" s="56"/>
    </row>
    <row r="1335" spans="1:11" ht="20.05" customHeight="1" x14ac:dyDescent="0.2">
      <c r="A1335" s="38"/>
      <c r="B1335" s="36"/>
      <c r="C1335" s="38"/>
      <c r="D1335" s="38"/>
      <c r="E1335" s="38"/>
      <c r="F1335" s="38"/>
      <c r="G1335" s="38"/>
      <c r="H1335" s="38"/>
      <c r="I1335" s="38"/>
      <c r="J1335" s="60"/>
      <c r="K1335" s="56"/>
    </row>
    <row r="1336" spans="1:11" ht="20.05" customHeight="1" x14ac:dyDescent="0.2">
      <c r="A1336" s="38"/>
      <c r="B1336" s="36"/>
      <c r="C1336" s="38"/>
      <c r="D1336" s="38"/>
      <c r="E1336" s="38"/>
      <c r="F1336" s="38"/>
      <c r="G1336" s="38"/>
      <c r="H1336" s="38"/>
      <c r="I1336" s="38"/>
      <c r="J1336" s="60"/>
      <c r="K1336" s="56"/>
    </row>
    <row r="1337" spans="1:11" ht="20.05" customHeight="1" x14ac:dyDescent="0.2">
      <c r="A1337" s="38"/>
      <c r="B1337" s="36"/>
      <c r="C1337" s="38"/>
      <c r="D1337" s="38"/>
      <c r="E1337" s="38"/>
      <c r="F1337" s="38"/>
      <c r="G1337" s="38"/>
      <c r="H1337" s="38"/>
      <c r="I1337" s="38"/>
      <c r="J1337" s="60"/>
      <c r="K1337" s="56"/>
    </row>
    <row r="1338" spans="1:11" ht="20.05" customHeight="1" x14ac:dyDescent="0.2">
      <c r="A1338" s="38"/>
      <c r="B1338" s="36"/>
      <c r="C1338" s="38"/>
      <c r="D1338" s="38"/>
      <c r="E1338" s="38"/>
      <c r="F1338" s="38"/>
      <c r="G1338" s="38"/>
      <c r="H1338" s="38"/>
      <c r="I1338" s="38"/>
      <c r="J1338" s="60"/>
      <c r="K1338" s="56"/>
    </row>
    <row r="1339" spans="1:11" ht="20.05" customHeight="1" x14ac:dyDescent="0.2">
      <c r="A1339" s="38"/>
      <c r="B1339" s="36"/>
      <c r="C1339" s="38"/>
      <c r="D1339" s="38"/>
      <c r="E1339" s="38"/>
      <c r="F1339" s="38"/>
      <c r="G1339" s="38"/>
      <c r="H1339" s="38"/>
      <c r="I1339" s="38"/>
      <c r="J1339" s="60"/>
      <c r="K1339" s="56"/>
    </row>
    <row r="1340" spans="1:11" ht="20.05" customHeight="1" x14ac:dyDescent="0.2">
      <c r="A1340" s="38"/>
      <c r="B1340" s="36"/>
      <c r="C1340" s="38"/>
      <c r="D1340" s="38"/>
      <c r="E1340" s="38"/>
      <c r="F1340" s="38"/>
      <c r="G1340" s="38"/>
      <c r="H1340" s="38"/>
      <c r="I1340" s="38"/>
      <c r="J1340" s="60"/>
      <c r="K1340" s="56"/>
    </row>
    <row r="1341" spans="1:11" ht="20.05" customHeight="1" x14ac:dyDescent="0.2">
      <c r="A1341" s="38"/>
      <c r="B1341" s="36"/>
      <c r="C1341" s="38"/>
      <c r="D1341" s="38"/>
      <c r="E1341" s="38"/>
      <c r="F1341" s="38"/>
      <c r="G1341" s="38"/>
      <c r="H1341" s="38"/>
      <c r="I1341" s="38"/>
      <c r="J1341" s="60"/>
      <c r="K1341" s="56"/>
    </row>
    <row r="1342" spans="1:11" ht="20.05" customHeight="1" x14ac:dyDescent="0.2">
      <c r="A1342" s="38"/>
      <c r="B1342" s="36"/>
      <c r="C1342" s="38"/>
      <c r="D1342" s="38"/>
      <c r="E1342" s="38"/>
      <c r="F1342" s="38"/>
      <c r="G1342" s="38"/>
      <c r="H1342" s="38"/>
      <c r="I1342" s="38"/>
      <c r="J1342" s="60"/>
      <c r="K1342" s="56"/>
    </row>
    <row r="1343" spans="1:11" ht="20.05" customHeight="1" x14ac:dyDescent="0.2">
      <c r="A1343" s="38"/>
      <c r="B1343" s="36"/>
      <c r="C1343" s="38"/>
      <c r="D1343" s="38"/>
      <c r="E1343" s="38"/>
      <c r="F1343" s="38"/>
      <c r="G1343" s="38"/>
      <c r="H1343" s="38"/>
      <c r="I1343" s="38"/>
      <c r="J1343" s="60"/>
      <c r="K1343" s="56"/>
    </row>
    <row r="1344" spans="1:11" ht="20.05" customHeight="1" x14ac:dyDescent="0.2">
      <c r="A1344" s="38"/>
      <c r="B1344" s="36"/>
      <c r="C1344" s="38"/>
      <c r="D1344" s="38"/>
      <c r="E1344" s="38"/>
      <c r="F1344" s="38"/>
      <c r="G1344" s="38"/>
      <c r="H1344" s="38"/>
      <c r="I1344" s="38"/>
      <c r="J1344" s="60"/>
      <c r="K1344" s="56"/>
    </row>
    <row r="1345" spans="1:11" ht="20.05" customHeight="1" x14ac:dyDescent="0.2">
      <c r="A1345" s="38"/>
      <c r="B1345" s="36"/>
      <c r="C1345" s="38"/>
      <c r="D1345" s="38"/>
      <c r="E1345" s="38"/>
      <c r="F1345" s="38"/>
      <c r="G1345" s="38"/>
      <c r="H1345" s="38"/>
      <c r="I1345" s="38"/>
      <c r="J1345" s="60"/>
      <c r="K1345" s="56"/>
    </row>
    <row r="1346" spans="1:11" ht="20.05" customHeight="1" x14ac:dyDescent="0.2">
      <c r="A1346" s="38"/>
      <c r="B1346" s="36"/>
      <c r="C1346" s="38"/>
      <c r="D1346" s="38"/>
      <c r="E1346" s="38"/>
      <c r="F1346" s="38"/>
      <c r="G1346" s="38"/>
      <c r="H1346" s="38"/>
      <c r="I1346" s="38"/>
      <c r="J1346" s="60"/>
      <c r="K1346" s="56"/>
    </row>
    <row r="1347" spans="1:11" ht="20.05" customHeight="1" x14ac:dyDescent="0.2">
      <c r="A1347" s="38"/>
      <c r="B1347" s="36"/>
      <c r="C1347" s="38"/>
      <c r="D1347" s="38"/>
      <c r="E1347" s="38"/>
      <c r="F1347" s="38"/>
      <c r="G1347" s="38"/>
      <c r="H1347" s="38"/>
      <c r="I1347" s="38"/>
      <c r="J1347" s="60"/>
      <c r="K1347" s="56"/>
    </row>
    <row r="1348" spans="1:11" ht="20.05" customHeight="1" x14ac:dyDescent="0.2">
      <c r="A1348" s="38"/>
      <c r="B1348" s="36"/>
      <c r="C1348" s="38"/>
      <c r="D1348" s="38"/>
      <c r="E1348" s="38"/>
      <c r="F1348" s="38"/>
      <c r="G1348" s="38"/>
      <c r="H1348" s="38"/>
      <c r="I1348" s="38"/>
      <c r="J1348" s="60"/>
      <c r="K1348" s="56"/>
    </row>
    <row r="1349" spans="1:11" ht="20.05" customHeight="1" x14ac:dyDescent="0.2">
      <c r="A1349" s="38"/>
      <c r="B1349" s="36"/>
      <c r="C1349" s="38"/>
      <c r="D1349" s="38"/>
      <c r="E1349" s="38"/>
      <c r="F1349" s="38"/>
      <c r="G1349" s="38"/>
      <c r="H1349" s="38"/>
      <c r="I1349" s="38"/>
      <c r="J1349" s="60"/>
      <c r="K1349" s="56"/>
    </row>
    <row r="1350" spans="1:11" ht="20.05" customHeight="1" x14ac:dyDescent="0.2">
      <c r="A1350" s="38"/>
      <c r="B1350" s="36"/>
      <c r="C1350" s="38"/>
      <c r="D1350" s="38"/>
      <c r="E1350" s="38"/>
      <c r="F1350" s="38"/>
      <c r="G1350" s="38"/>
      <c r="H1350" s="38"/>
      <c r="I1350" s="38"/>
      <c r="J1350" s="60"/>
      <c r="K1350" s="56"/>
    </row>
    <row r="1351" spans="1:11" ht="20.05" customHeight="1" x14ac:dyDescent="0.2">
      <c r="A1351" s="38"/>
      <c r="B1351" s="36"/>
      <c r="C1351" s="38"/>
      <c r="D1351" s="38"/>
      <c r="E1351" s="38"/>
      <c r="F1351" s="38"/>
      <c r="G1351" s="38"/>
      <c r="H1351" s="38"/>
      <c r="I1351" s="38"/>
      <c r="J1351" s="60"/>
      <c r="K1351" s="56"/>
    </row>
    <row r="1352" spans="1:11" ht="20.05" customHeight="1" x14ac:dyDescent="0.2">
      <c r="A1352" s="38"/>
      <c r="B1352" s="36"/>
      <c r="C1352" s="38"/>
      <c r="D1352" s="38"/>
      <c r="E1352" s="38"/>
      <c r="F1352" s="38"/>
      <c r="G1352" s="38"/>
      <c r="H1352" s="38"/>
      <c r="I1352" s="38"/>
      <c r="J1352" s="60"/>
      <c r="K1352" s="56"/>
    </row>
    <row r="1353" spans="1:11" ht="20.05" customHeight="1" x14ac:dyDescent="0.2">
      <c r="A1353" s="38"/>
      <c r="B1353" s="36"/>
      <c r="C1353" s="38"/>
      <c r="D1353" s="38"/>
      <c r="E1353" s="38"/>
      <c r="F1353" s="38"/>
      <c r="G1353" s="38"/>
      <c r="H1353" s="38"/>
      <c r="I1353" s="38"/>
      <c r="J1353" s="60"/>
      <c r="K1353" s="56"/>
    </row>
    <row r="1354" spans="1:11" ht="20.05" customHeight="1" x14ac:dyDescent="0.2">
      <c r="A1354" s="38"/>
      <c r="B1354" s="36"/>
      <c r="C1354" s="38"/>
      <c r="D1354" s="38"/>
      <c r="E1354" s="38"/>
      <c r="F1354" s="38"/>
      <c r="G1354" s="38"/>
      <c r="H1354" s="38"/>
      <c r="I1354" s="38"/>
      <c r="J1354" s="60"/>
      <c r="K1354" s="56"/>
    </row>
    <row r="1355" spans="1:11" ht="20.05" customHeight="1" x14ac:dyDescent="0.2">
      <c r="A1355" s="38"/>
      <c r="B1355" s="36"/>
      <c r="C1355" s="38"/>
      <c r="D1355" s="38"/>
      <c r="E1355" s="38"/>
      <c r="F1355" s="38"/>
      <c r="G1355" s="38"/>
      <c r="H1355" s="38"/>
      <c r="I1355" s="38"/>
      <c r="J1355" s="60"/>
      <c r="K1355" s="56"/>
    </row>
    <row r="1356" spans="1:11" ht="20.05" customHeight="1" x14ac:dyDescent="0.2">
      <c r="A1356" s="38"/>
      <c r="B1356" s="36"/>
      <c r="C1356" s="38"/>
      <c r="D1356" s="38"/>
      <c r="E1356" s="38"/>
      <c r="F1356" s="38"/>
      <c r="G1356" s="38"/>
      <c r="H1356" s="38"/>
      <c r="I1356" s="38"/>
      <c r="J1356" s="60"/>
      <c r="K1356" s="56"/>
    </row>
    <row r="1357" spans="1:11" ht="20.05" customHeight="1" x14ac:dyDescent="0.2">
      <c r="A1357" s="38"/>
      <c r="B1357" s="36"/>
      <c r="C1357" s="38"/>
      <c r="D1357" s="38"/>
      <c r="E1357" s="38"/>
      <c r="F1357" s="38"/>
      <c r="G1357" s="38"/>
      <c r="H1357" s="38"/>
      <c r="I1357" s="38"/>
      <c r="J1357" s="60"/>
      <c r="K1357" s="56"/>
    </row>
    <row r="1358" spans="1:11" ht="20.05" customHeight="1" x14ac:dyDescent="0.2">
      <c r="A1358" s="38"/>
      <c r="B1358" s="36"/>
      <c r="C1358" s="38"/>
      <c r="D1358" s="38"/>
      <c r="E1358" s="38"/>
      <c r="F1358" s="38"/>
      <c r="G1358" s="38"/>
      <c r="H1358" s="38"/>
      <c r="I1358" s="38"/>
      <c r="J1358" s="60"/>
      <c r="K1358" s="56"/>
    </row>
    <row r="1359" spans="1:11" ht="20.05" customHeight="1" x14ac:dyDescent="0.2">
      <c r="A1359" s="38"/>
      <c r="B1359" s="36"/>
      <c r="C1359" s="38"/>
      <c r="D1359" s="38"/>
      <c r="E1359" s="38"/>
      <c r="F1359" s="38"/>
      <c r="G1359" s="38"/>
      <c r="H1359" s="38"/>
      <c r="I1359" s="38"/>
      <c r="J1359" s="60"/>
      <c r="K1359" s="56"/>
    </row>
    <row r="1360" spans="1:11" ht="20.05" customHeight="1" x14ac:dyDescent="0.2">
      <c r="A1360" s="38"/>
      <c r="B1360" s="36"/>
      <c r="C1360" s="38"/>
      <c r="D1360" s="38"/>
      <c r="E1360" s="38"/>
      <c r="F1360" s="38"/>
      <c r="G1360" s="38"/>
      <c r="H1360" s="38"/>
      <c r="I1360" s="38"/>
      <c r="J1360" s="60"/>
      <c r="K1360" s="56"/>
    </row>
    <row r="1361" spans="1:11" ht="20.05" customHeight="1" x14ac:dyDescent="0.2">
      <c r="A1361" s="38"/>
      <c r="B1361" s="36"/>
      <c r="C1361" s="38"/>
      <c r="D1361" s="38"/>
      <c r="E1361" s="38"/>
      <c r="F1361" s="38"/>
      <c r="G1361" s="38"/>
      <c r="H1361" s="38"/>
      <c r="I1361" s="38"/>
      <c r="J1361" s="60"/>
      <c r="K1361" s="56"/>
    </row>
    <row r="1362" spans="1:11" ht="20.05" customHeight="1" x14ac:dyDescent="0.2">
      <c r="A1362" s="38"/>
      <c r="B1362" s="36"/>
      <c r="C1362" s="38"/>
      <c r="D1362" s="38"/>
      <c r="E1362" s="38"/>
      <c r="F1362" s="38"/>
      <c r="G1362" s="38"/>
      <c r="H1362" s="38"/>
      <c r="I1362" s="38"/>
      <c r="J1362" s="60"/>
      <c r="K1362" s="56"/>
    </row>
    <row r="1363" spans="1:11" ht="20.05" customHeight="1" x14ac:dyDescent="0.2">
      <c r="A1363" s="38"/>
      <c r="B1363" s="36"/>
      <c r="C1363" s="38"/>
      <c r="D1363" s="38"/>
      <c r="E1363" s="38"/>
      <c r="F1363" s="38"/>
      <c r="G1363" s="38"/>
      <c r="H1363" s="38"/>
      <c r="I1363" s="38"/>
      <c r="J1363" s="60"/>
      <c r="K1363" s="56"/>
    </row>
    <row r="1364" spans="1:11" ht="20.05" customHeight="1" x14ac:dyDescent="0.2">
      <c r="A1364" s="38"/>
      <c r="B1364" s="36"/>
      <c r="C1364" s="38"/>
      <c r="D1364" s="38"/>
      <c r="E1364" s="38"/>
      <c r="F1364" s="38"/>
      <c r="G1364" s="38"/>
      <c r="H1364" s="38"/>
      <c r="I1364" s="38"/>
      <c r="J1364" s="60"/>
      <c r="K1364" s="56"/>
    </row>
    <row r="1365" spans="1:11" ht="20.05" customHeight="1" x14ac:dyDescent="0.2">
      <c r="A1365" s="38"/>
      <c r="B1365" s="36"/>
      <c r="C1365" s="38"/>
      <c r="D1365" s="38"/>
      <c r="E1365" s="38"/>
      <c r="F1365" s="38"/>
      <c r="G1365" s="38"/>
      <c r="H1365" s="38"/>
      <c r="I1365" s="38"/>
      <c r="J1365" s="60"/>
      <c r="K1365" s="56"/>
    </row>
    <row r="1366" spans="1:11" ht="20.05" customHeight="1" x14ac:dyDescent="0.2">
      <c r="A1366" s="38"/>
      <c r="B1366" s="36"/>
      <c r="C1366" s="38"/>
      <c r="D1366" s="38"/>
      <c r="E1366" s="38"/>
      <c r="F1366" s="38"/>
      <c r="G1366" s="38"/>
      <c r="H1366" s="38"/>
      <c r="I1366" s="38"/>
      <c r="J1366" s="60"/>
      <c r="K1366" s="56"/>
    </row>
    <row r="1367" spans="1:11" ht="20.05" customHeight="1" x14ac:dyDescent="0.2">
      <c r="A1367" s="38"/>
      <c r="B1367" s="36"/>
      <c r="C1367" s="38"/>
      <c r="D1367" s="38"/>
      <c r="E1367" s="38"/>
      <c r="F1367" s="38"/>
      <c r="G1367" s="38"/>
      <c r="H1367" s="38"/>
      <c r="I1367" s="38"/>
      <c r="J1367" s="60"/>
      <c r="K1367" s="56"/>
    </row>
    <row r="1368" spans="1:11" ht="20.05" customHeight="1" x14ac:dyDescent="0.2">
      <c r="A1368" s="38"/>
      <c r="B1368" s="36"/>
      <c r="C1368" s="38"/>
      <c r="D1368" s="38"/>
      <c r="E1368" s="38"/>
      <c r="F1368" s="38"/>
      <c r="G1368" s="38"/>
      <c r="H1368" s="38"/>
      <c r="I1368" s="38"/>
      <c r="J1368" s="60"/>
      <c r="K1368" s="56"/>
    </row>
    <row r="1369" spans="1:11" ht="20.05" customHeight="1" x14ac:dyDescent="0.2">
      <c r="A1369" s="38"/>
      <c r="B1369" s="36"/>
      <c r="C1369" s="38"/>
      <c r="D1369" s="38"/>
      <c r="E1369" s="38"/>
      <c r="F1369" s="38"/>
      <c r="G1369" s="38"/>
      <c r="H1369" s="38"/>
      <c r="I1369" s="38"/>
      <c r="J1369" s="60"/>
      <c r="K1369" s="56"/>
    </row>
    <row r="1370" spans="1:11" ht="20.05" customHeight="1" x14ac:dyDescent="0.2">
      <c r="A1370" s="38"/>
      <c r="B1370" s="36"/>
      <c r="C1370" s="38"/>
      <c r="D1370" s="38"/>
      <c r="E1370" s="38"/>
      <c r="F1370" s="38"/>
      <c r="G1370" s="38"/>
      <c r="H1370" s="38"/>
      <c r="I1370" s="38"/>
      <c r="J1370" s="60"/>
      <c r="K1370" s="56"/>
    </row>
    <row r="1371" spans="1:11" ht="20.05" customHeight="1" x14ac:dyDescent="0.2">
      <c r="A1371" s="38"/>
      <c r="B1371" s="36"/>
      <c r="C1371" s="38"/>
      <c r="D1371" s="38"/>
      <c r="E1371" s="38"/>
      <c r="F1371" s="38"/>
      <c r="G1371" s="38"/>
      <c r="H1371" s="38"/>
      <c r="I1371" s="38"/>
      <c r="J1371" s="60"/>
      <c r="K1371" s="56"/>
    </row>
    <row r="1372" spans="1:11" ht="20.05" customHeight="1" x14ac:dyDescent="0.2">
      <c r="A1372" s="38"/>
      <c r="B1372" s="36"/>
      <c r="C1372" s="38"/>
      <c r="D1372" s="38"/>
      <c r="E1372" s="38"/>
      <c r="F1372" s="38"/>
      <c r="G1372" s="38"/>
      <c r="H1372" s="38"/>
      <c r="I1372" s="38"/>
      <c r="J1372" s="60"/>
      <c r="K1372" s="56"/>
    </row>
    <row r="1373" spans="1:11" ht="20.05" customHeight="1" x14ac:dyDescent="0.2">
      <c r="A1373" s="38"/>
      <c r="B1373" s="36"/>
      <c r="C1373" s="38"/>
      <c r="D1373" s="38"/>
      <c r="E1373" s="38"/>
      <c r="F1373" s="38"/>
      <c r="G1373" s="38"/>
      <c r="H1373" s="38"/>
      <c r="I1373" s="38"/>
      <c r="J1373" s="60"/>
      <c r="K1373" s="56"/>
    </row>
    <row r="1374" spans="1:11" ht="20.05" customHeight="1" x14ac:dyDescent="0.2">
      <c r="A1374" s="38"/>
      <c r="B1374" s="36"/>
      <c r="C1374" s="38"/>
      <c r="D1374" s="38"/>
      <c r="E1374" s="38"/>
      <c r="F1374" s="38"/>
      <c r="G1374" s="38"/>
      <c r="H1374" s="38"/>
      <c r="I1374" s="38"/>
      <c r="J1374" s="60"/>
      <c r="K1374" s="56"/>
    </row>
    <row r="1375" spans="1:11" ht="20.05" customHeight="1" x14ac:dyDescent="0.2">
      <c r="A1375" s="38"/>
      <c r="B1375" s="36"/>
      <c r="C1375" s="38"/>
      <c r="D1375" s="38"/>
      <c r="E1375" s="38"/>
      <c r="F1375" s="38"/>
      <c r="G1375" s="38"/>
      <c r="H1375" s="38"/>
      <c r="I1375" s="38"/>
      <c r="J1375" s="60"/>
      <c r="K1375" s="56"/>
    </row>
    <row r="1376" spans="1:11" ht="20.05" customHeight="1" x14ac:dyDescent="0.2">
      <c r="A1376" s="38"/>
      <c r="B1376" s="36"/>
      <c r="C1376" s="38"/>
      <c r="D1376" s="38"/>
      <c r="E1376" s="38"/>
      <c r="F1376" s="38"/>
      <c r="G1376" s="38"/>
      <c r="H1376" s="38"/>
      <c r="I1376" s="38"/>
      <c r="J1376" s="60"/>
      <c r="K1376" s="56"/>
    </row>
    <row r="1377" spans="1:11" ht="20.05" customHeight="1" x14ac:dyDescent="0.2">
      <c r="A1377" s="38"/>
      <c r="B1377" s="36"/>
      <c r="C1377" s="38"/>
      <c r="D1377" s="38"/>
      <c r="E1377" s="38"/>
      <c r="F1377" s="38"/>
      <c r="G1377" s="38"/>
      <c r="H1377" s="38"/>
      <c r="I1377" s="38"/>
      <c r="J1377" s="60"/>
      <c r="K1377" s="56"/>
    </row>
    <row r="1378" spans="1:11" ht="20.05" customHeight="1" x14ac:dyDescent="0.2">
      <c r="A1378" s="38"/>
      <c r="B1378" s="36"/>
      <c r="C1378" s="38"/>
      <c r="D1378" s="38"/>
      <c r="E1378" s="38"/>
      <c r="F1378" s="38"/>
      <c r="G1378" s="38"/>
      <c r="H1378" s="38"/>
      <c r="I1378" s="38"/>
      <c r="J1378" s="60"/>
      <c r="K1378" s="56"/>
    </row>
    <row r="1379" spans="1:11" ht="20.05" customHeight="1" x14ac:dyDescent="0.2">
      <c r="A1379" s="38"/>
      <c r="B1379" s="36"/>
      <c r="C1379" s="38"/>
      <c r="D1379" s="38"/>
      <c r="E1379" s="38"/>
      <c r="F1379" s="38"/>
      <c r="G1379" s="38"/>
      <c r="H1379" s="38"/>
      <c r="I1379" s="38"/>
      <c r="J1379" s="60"/>
      <c r="K1379" s="56"/>
    </row>
    <row r="1380" spans="1:11" ht="20.05" customHeight="1" x14ac:dyDescent="0.2">
      <c r="A1380" s="38"/>
      <c r="B1380" s="36"/>
      <c r="C1380" s="38"/>
      <c r="D1380" s="38"/>
      <c r="E1380" s="38"/>
      <c r="F1380" s="38"/>
      <c r="G1380" s="38"/>
      <c r="H1380" s="38"/>
      <c r="I1380" s="38"/>
      <c r="J1380" s="60"/>
      <c r="K1380" s="56"/>
    </row>
    <row r="1381" spans="1:11" ht="20.05" customHeight="1" x14ac:dyDescent="0.2">
      <c r="A1381" s="38"/>
      <c r="B1381" s="36"/>
      <c r="C1381" s="38"/>
      <c r="D1381" s="38"/>
      <c r="E1381" s="38"/>
      <c r="F1381" s="38"/>
      <c r="G1381" s="38"/>
      <c r="H1381" s="38"/>
      <c r="I1381" s="38"/>
      <c r="J1381" s="60"/>
      <c r="K1381" s="56"/>
    </row>
    <row r="1382" spans="1:11" ht="20.05" customHeight="1" x14ac:dyDescent="0.2">
      <c r="A1382" s="38"/>
      <c r="B1382" s="36"/>
      <c r="C1382" s="38"/>
      <c r="D1382" s="38"/>
      <c r="E1382" s="38"/>
      <c r="F1382" s="38"/>
      <c r="G1382" s="38"/>
      <c r="H1382" s="38"/>
      <c r="I1382" s="38"/>
      <c r="J1382" s="60"/>
      <c r="K1382" s="56"/>
    </row>
    <row r="1383" spans="1:11" ht="20.05" customHeight="1" x14ac:dyDescent="0.2">
      <c r="A1383" s="38"/>
      <c r="B1383" s="36"/>
      <c r="C1383" s="38"/>
      <c r="D1383" s="38"/>
      <c r="E1383" s="38"/>
      <c r="F1383" s="38"/>
      <c r="G1383" s="38"/>
      <c r="H1383" s="38"/>
      <c r="I1383" s="38"/>
      <c r="J1383" s="60"/>
      <c r="K1383" s="56"/>
    </row>
    <row r="1384" spans="1:11" ht="20.05" customHeight="1" x14ac:dyDescent="0.2">
      <c r="A1384" s="38"/>
      <c r="B1384" s="36"/>
      <c r="C1384" s="38"/>
      <c r="D1384" s="38"/>
      <c r="E1384" s="38"/>
      <c r="F1384" s="38"/>
      <c r="G1384" s="38"/>
      <c r="H1384" s="38"/>
      <c r="I1384" s="38"/>
      <c r="J1384" s="60"/>
      <c r="K1384" s="56"/>
    </row>
    <row r="1385" spans="1:11" ht="20.05" customHeight="1" x14ac:dyDescent="0.2">
      <c r="A1385" s="38"/>
      <c r="B1385" s="36"/>
      <c r="C1385" s="38"/>
      <c r="D1385" s="38"/>
      <c r="E1385" s="38"/>
      <c r="F1385" s="38"/>
      <c r="G1385" s="38"/>
      <c r="H1385" s="38"/>
      <c r="I1385" s="38"/>
      <c r="J1385" s="60"/>
      <c r="K1385" s="56"/>
    </row>
    <row r="1386" spans="1:11" ht="20.05" customHeight="1" x14ac:dyDescent="0.2">
      <c r="A1386" s="38"/>
      <c r="B1386" s="36"/>
      <c r="C1386" s="38"/>
      <c r="D1386" s="38"/>
      <c r="E1386" s="38"/>
      <c r="F1386" s="38"/>
      <c r="G1386" s="38"/>
      <c r="H1386" s="38"/>
      <c r="I1386" s="38"/>
      <c r="J1386" s="60"/>
      <c r="K1386" s="56"/>
    </row>
    <row r="1387" spans="1:11" ht="20.05" customHeight="1" x14ac:dyDescent="0.2">
      <c r="A1387" s="38"/>
      <c r="B1387" s="36"/>
      <c r="C1387" s="38"/>
      <c r="D1387" s="38"/>
      <c r="E1387" s="38"/>
      <c r="F1387" s="38"/>
      <c r="G1387" s="38"/>
      <c r="H1387" s="38"/>
      <c r="I1387" s="38"/>
      <c r="J1387" s="60"/>
      <c r="K1387" s="56"/>
    </row>
    <row r="1388" spans="1:11" ht="20.05" customHeight="1" x14ac:dyDescent="0.2">
      <c r="A1388" s="38"/>
      <c r="B1388" s="36"/>
      <c r="C1388" s="38"/>
      <c r="D1388" s="38"/>
      <c r="E1388" s="38"/>
      <c r="F1388" s="38"/>
      <c r="G1388" s="38"/>
      <c r="H1388" s="38"/>
      <c r="I1388" s="38"/>
      <c r="J1388" s="60"/>
      <c r="K1388" s="56"/>
    </row>
    <row r="1389" spans="1:11" ht="20.05" customHeight="1" x14ac:dyDescent="0.2">
      <c r="A1389" s="38"/>
      <c r="B1389" s="36"/>
      <c r="C1389" s="38"/>
      <c r="D1389" s="38"/>
      <c r="E1389" s="38"/>
      <c r="F1389" s="38"/>
      <c r="G1389" s="38"/>
      <c r="H1389" s="38"/>
      <c r="I1389" s="38"/>
      <c r="J1389" s="60"/>
      <c r="K1389" s="56"/>
    </row>
    <row r="1390" spans="1:11" ht="20.05" customHeight="1" x14ac:dyDescent="0.2">
      <c r="A1390" s="38"/>
      <c r="B1390" s="36"/>
      <c r="C1390" s="38"/>
      <c r="D1390" s="38"/>
      <c r="E1390" s="38"/>
      <c r="F1390" s="38"/>
      <c r="G1390" s="38"/>
      <c r="H1390" s="38"/>
      <c r="I1390" s="38"/>
      <c r="J1390" s="60"/>
      <c r="K1390" s="56"/>
    </row>
    <row r="1391" spans="1:11" ht="20.05" customHeight="1" x14ac:dyDescent="0.2">
      <c r="A1391" s="38"/>
      <c r="B1391" s="36"/>
      <c r="C1391" s="38"/>
      <c r="D1391" s="38"/>
      <c r="E1391" s="38"/>
      <c r="F1391" s="38"/>
      <c r="G1391" s="38"/>
      <c r="H1391" s="38"/>
      <c r="I1391" s="38"/>
      <c r="J1391" s="60"/>
      <c r="K1391" s="56"/>
    </row>
    <row r="1392" spans="1:11" ht="20.05" customHeight="1" x14ac:dyDescent="0.2">
      <c r="A1392" s="38"/>
      <c r="B1392" s="36"/>
      <c r="C1392" s="38"/>
      <c r="D1392" s="38"/>
      <c r="E1392" s="38"/>
      <c r="F1392" s="38"/>
      <c r="G1392" s="38"/>
      <c r="H1392" s="38"/>
      <c r="I1392" s="38"/>
      <c r="J1392" s="60"/>
      <c r="K1392" s="56"/>
    </row>
    <row r="1393" spans="1:11" ht="20.05" customHeight="1" x14ac:dyDescent="0.2">
      <c r="A1393" s="38"/>
      <c r="B1393" s="36"/>
      <c r="C1393" s="38"/>
      <c r="D1393" s="38"/>
      <c r="E1393" s="38"/>
      <c r="F1393" s="38"/>
      <c r="G1393" s="38"/>
      <c r="H1393" s="38"/>
      <c r="I1393" s="38"/>
      <c r="J1393" s="60"/>
      <c r="K1393" s="56"/>
    </row>
    <row r="1394" spans="1:11" ht="20.05" customHeight="1" x14ac:dyDescent="0.2">
      <c r="A1394" s="38"/>
      <c r="B1394" s="36"/>
      <c r="C1394" s="38"/>
      <c r="D1394" s="38"/>
      <c r="E1394" s="38"/>
      <c r="F1394" s="38"/>
      <c r="G1394" s="38"/>
      <c r="H1394" s="38"/>
      <c r="I1394" s="38"/>
      <c r="J1394" s="60"/>
      <c r="K1394" s="56"/>
    </row>
    <row r="1395" spans="1:11" ht="20.05" customHeight="1" x14ac:dyDescent="0.2">
      <c r="A1395" s="38"/>
      <c r="B1395" s="36"/>
      <c r="C1395" s="38"/>
      <c r="D1395" s="38"/>
      <c r="E1395" s="38"/>
      <c r="F1395" s="38"/>
      <c r="G1395" s="38"/>
      <c r="H1395" s="38"/>
      <c r="I1395" s="38"/>
      <c r="J1395" s="60"/>
      <c r="K1395" s="56"/>
    </row>
    <row r="1396" spans="1:11" ht="20.05" customHeight="1" x14ac:dyDescent="0.2">
      <c r="A1396" s="38"/>
      <c r="B1396" s="36"/>
      <c r="C1396" s="38"/>
      <c r="D1396" s="38"/>
      <c r="E1396" s="38"/>
      <c r="F1396" s="38"/>
      <c r="G1396" s="38"/>
      <c r="H1396" s="38"/>
      <c r="I1396" s="38"/>
      <c r="J1396" s="60"/>
      <c r="K1396" s="56"/>
    </row>
    <row r="1397" spans="1:11" ht="20.05" customHeight="1" x14ac:dyDescent="0.2">
      <c r="A1397" s="38"/>
      <c r="B1397" s="36"/>
      <c r="C1397" s="38"/>
      <c r="D1397" s="38"/>
      <c r="E1397" s="38"/>
      <c r="F1397" s="38"/>
      <c r="G1397" s="38"/>
      <c r="H1397" s="38"/>
      <c r="I1397" s="38"/>
      <c r="J1397" s="60"/>
      <c r="K1397" s="56"/>
    </row>
    <row r="1398" spans="1:11" ht="20.05" customHeight="1" x14ac:dyDescent="0.2">
      <c r="A1398" s="38"/>
      <c r="B1398" s="36"/>
      <c r="C1398" s="38"/>
      <c r="D1398" s="38"/>
      <c r="E1398" s="38"/>
      <c r="F1398" s="38"/>
      <c r="G1398" s="38"/>
      <c r="H1398" s="38"/>
      <c r="I1398" s="38"/>
      <c r="J1398" s="60"/>
      <c r="K1398" s="56"/>
    </row>
    <row r="1399" spans="1:11" ht="20.05" customHeight="1" x14ac:dyDescent="0.2">
      <c r="A1399" s="38"/>
      <c r="B1399" s="36"/>
      <c r="C1399" s="38"/>
      <c r="D1399" s="38"/>
      <c r="E1399" s="38"/>
      <c r="F1399" s="38"/>
      <c r="G1399" s="38"/>
      <c r="H1399" s="38"/>
      <c r="I1399" s="38"/>
      <c r="J1399" s="60"/>
      <c r="K1399" s="56"/>
    </row>
    <row r="1400" spans="1:11" ht="20.05" customHeight="1" x14ac:dyDescent="0.2">
      <c r="A1400" s="38"/>
      <c r="B1400" s="36"/>
      <c r="C1400" s="38"/>
      <c r="D1400" s="38"/>
      <c r="E1400" s="38"/>
      <c r="F1400" s="38"/>
      <c r="G1400" s="38"/>
      <c r="H1400" s="38"/>
      <c r="I1400" s="38"/>
      <c r="J1400" s="60"/>
      <c r="K1400" s="56"/>
    </row>
    <row r="1401" spans="1:11" ht="20.05" customHeight="1" x14ac:dyDescent="0.2">
      <c r="A1401" s="38"/>
      <c r="B1401" s="36"/>
      <c r="C1401" s="38"/>
      <c r="D1401" s="38"/>
      <c r="E1401" s="38"/>
      <c r="F1401" s="38"/>
      <c r="G1401" s="38"/>
      <c r="H1401" s="38"/>
      <c r="I1401" s="38"/>
      <c r="J1401" s="60"/>
      <c r="K1401" s="56"/>
    </row>
    <row r="1402" spans="1:11" ht="20.05" customHeight="1" x14ac:dyDescent="0.2">
      <c r="A1402" s="38"/>
      <c r="B1402" s="36"/>
      <c r="C1402" s="38"/>
      <c r="D1402" s="38"/>
      <c r="E1402" s="38"/>
      <c r="F1402" s="38"/>
      <c r="G1402" s="38"/>
      <c r="H1402" s="38"/>
      <c r="I1402" s="38"/>
      <c r="J1402" s="60"/>
      <c r="K1402" s="56"/>
    </row>
    <row r="1403" spans="1:11" ht="20.05" customHeight="1" x14ac:dyDescent="0.2">
      <c r="A1403" s="38"/>
      <c r="B1403" s="36"/>
      <c r="C1403" s="38"/>
      <c r="D1403" s="38"/>
      <c r="E1403" s="38"/>
      <c r="F1403" s="38"/>
      <c r="G1403" s="38"/>
      <c r="H1403" s="38"/>
      <c r="I1403" s="38"/>
      <c r="J1403" s="60"/>
      <c r="K1403" s="56"/>
    </row>
    <row r="1404" spans="1:11" ht="20.05" customHeight="1" x14ac:dyDescent="0.2">
      <c r="A1404" s="38"/>
      <c r="B1404" s="36"/>
      <c r="C1404" s="38"/>
      <c r="D1404" s="38"/>
      <c r="E1404" s="38"/>
      <c r="F1404" s="38"/>
      <c r="G1404" s="38"/>
      <c r="H1404" s="38"/>
      <c r="I1404" s="38"/>
      <c r="J1404" s="60"/>
      <c r="K1404" s="56"/>
    </row>
    <row r="1405" spans="1:11" ht="20.05" customHeight="1" x14ac:dyDescent="0.2">
      <c r="A1405" s="38"/>
      <c r="B1405" s="36"/>
      <c r="C1405" s="38"/>
      <c r="D1405" s="38"/>
      <c r="E1405" s="38"/>
      <c r="F1405" s="38"/>
      <c r="G1405" s="38"/>
      <c r="H1405" s="38"/>
      <c r="I1405" s="38"/>
      <c r="J1405" s="60"/>
      <c r="K1405" s="56"/>
    </row>
    <row r="1406" spans="1:11" ht="20.05" customHeight="1" x14ac:dyDescent="0.2">
      <c r="A1406" s="38"/>
      <c r="B1406" s="36"/>
      <c r="C1406" s="38"/>
      <c r="D1406" s="38"/>
      <c r="E1406" s="38"/>
      <c r="F1406" s="38"/>
      <c r="G1406" s="38"/>
      <c r="H1406" s="38"/>
      <c r="I1406" s="38"/>
      <c r="J1406" s="60"/>
      <c r="K1406" s="56"/>
    </row>
    <row r="1407" spans="1:11" ht="20.05" customHeight="1" x14ac:dyDescent="0.2">
      <c r="A1407" s="38"/>
      <c r="B1407" s="36"/>
      <c r="C1407" s="38"/>
      <c r="D1407" s="38"/>
      <c r="E1407" s="38"/>
      <c r="F1407" s="38"/>
      <c r="G1407" s="38"/>
      <c r="H1407" s="38"/>
      <c r="I1407" s="38"/>
      <c r="J1407" s="60"/>
      <c r="K1407" s="56"/>
    </row>
    <row r="1408" spans="1:11" ht="20.05" customHeight="1" x14ac:dyDescent="0.2">
      <c r="A1408" s="38"/>
      <c r="B1408" s="36"/>
      <c r="C1408" s="38"/>
      <c r="D1408" s="38"/>
      <c r="E1408" s="38"/>
      <c r="F1408" s="38"/>
      <c r="G1408" s="38"/>
      <c r="H1408" s="38"/>
      <c r="I1408" s="38"/>
      <c r="J1408" s="60"/>
      <c r="K1408" s="56"/>
    </row>
    <row r="1409" spans="1:11" ht="20.05" customHeight="1" x14ac:dyDescent="0.2">
      <c r="A1409" s="38"/>
      <c r="B1409" s="36"/>
      <c r="C1409" s="38"/>
      <c r="D1409" s="38"/>
      <c r="E1409" s="38"/>
      <c r="F1409" s="38"/>
      <c r="G1409" s="38"/>
      <c r="H1409" s="38"/>
      <c r="I1409" s="38"/>
      <c r="J1409" s="60"/>
      <c r="K1409" s="56"/>
    </row>
    <row r="1410" spans="1:11" ht="20.05" customHeight="1" x14ac:dyDescent="0.2">
      <c r="A1410" s="38"/>
      <c r="B1410" s="36"/>
      <c r="C1410" s="38"/>
      <c r="D1410" s="38"/>
      <c r="E1410" s="38"/>
      <c r="F1410" s="38"/>
      <c r="G1410" s="38"/>
      <c r="H1410" s="38"/>
      <c r="I1410" s="38"/>
      <c r="J1410" s="60"/>
      <c r="K1410" s="56"/>
    </row>
    <row r="1411" spans="1:11" ht="20.05" customHeight="1" x14ac:dyDescent="0.2">
      <c r="A1411" s="38"/>
      <c r="B1411" s="36"/>
      <c r="C1411" s="38"/>
      <c r="D1411" s="38"/>
      <c r="E1411" s="38"/>
      <c r="F1411" s="38"/>
      <c r="G1411" s="38"/>
      <c r="H1411" s="38"/>
      <c r="I1411" s="38"/>
      <c r="J1411" s="60"/>
      <c r="K1411" s="56"/>
    </row>
    <row r="1412" spans="1:11" ht="20.05" customHeight="1" x14ac:dyDescent="0.2">
      <c r="A1412" s="38"/>
      <c r="B1412" s="36"/>
      <c r="C1412" s="38"/>
      <c r="D1412" s="38"/>
      <c r="E1412" s="38"/>
      <c r="F1412" s="38"/>
      <c r="G1412" s="38"/>
      <c r="H1412" s="38"/>
      <c r="I1412" s="38"/>
      <c r="J1412" s="60"/>
      <c r="K1412" s="56"/>
    </row>
    <row r="1413" spans="1:11" ht="20.05" customHeight="1" x14ac:dyDescent="0.2">
      <c r="A1413" s="38"/>
      <c r="B1413" s="36"/>
      <c r="C1413" s="38"/>
      <c r="D1413" s="38"/>
      <c r="E1413" s="38"/>
      <c r="F1413" s="38"/>
      <c r="G1413" s="38"/>
      <c r="H1413" s="38"/>
      <c r="I1413" s="38"/>
      <c r="J1413" s="60"/>
      <c r="K1413" s="56"/>
    </row>
    <row r="1414" spans="1:11" ht="20.05" customHeight="1" x14ac:dyDescent="0.2">
      <c r="A1414" s="38"/>
      <c r="B1414" s="36"/>
      <c r="C1414" s="38"/>
      <c r="D1414" s="38"/>
      <c r="E1414" s="38"/>
      <c r="F1414" s="38"/>
      <c r="G1414" s="38"/>
      <c r="H1414" s="38"/>
      <c r="I1414" s="38"/>
      <c r="J1414" s="60"/>
      <c r="K1414" s="56"/>
    </row>
    <row r="1415" spans="1:11" ht="20.05" customHeight="1" x14ac:dyDescent="0.2">
      <c r="A1415" s="38"/>
      <c r="B1415" s="36"/>
      <c r="C1415" s="38"/>
      <c r="D1415" s="38"/>
      <c r="E1415" s="38"/>
      <c r="F1415" s="38"/>
      <c r="G1415" s="38"/>
      <c r="H1415" s="38"/>
      <c r="I1415" s="38"/>
      <c r="J1415" s="60"/>
      <c r="K1415" s="56"/>
    </row>
    <row r="1416" spans="1:11" ht="20.05" customHeight="1" x14ac:dyDescent="0.2">
      <c r="A1416" s="38"/>
      <c r="B1416" s="36"/>
      <c r="C1416" s="38"/>
      <c r="D1416" s="38"/>
      <c r="E1416" s="38"/>
      <c r="F1416" s="38"/>
      <c r="G1416" s="38"/>
      <c r="H1416" s="38"/>
      <c r="I1416" s="38"/>
      <c r="J1416" s="60"/>
      <c r="K1416" s="56"/>
    </row>
    <row r="1417" spans="1:11" ht="20.05" customHeight="1" x14ac:dyDescent="0.2">
      <c r="A1417" s="38"/>
      <c r="B1417" s="36"/>
      <c r="C1417" s="38"/>
      <c r="D1417" s="38"/>
      <c r="E1417" s="38"/>
      <c r="F1417" s="38"/>
      <c r="G1417" s="38"/>
      <c r="H1417" s="38"/>
      <c r="I1417" s="38"/>
      <c r="J1417" s="60"/>
      <c r="K1417" s="56"/>
    </row>
    <row r="1418" spans="1:11" ht="20.05" customHeight="1" x14ac:dyDescent="0.2">
      <c r="A1418" s="38"/>
      <c r="B1418" s="36"/>
      <c r="C1418" s="38"/>
      <c r="D1418" s="38"/>
      <c r="E1418" s="38"/>
      <c r="F1418" s="38"/>
      <c r="G1418" s="38"/>
      <c r="H1418" s="38"/>
      <c r="I1418" s="38"/>
      <c r="J1418" s="60"/>
      <c r="K1418" s="56"/>
    </row>
    <row r="1419" spans="1:11" ht="20.05" customHeight="1" x14ac:dyDescent="0.2">
      <c r="A1419" s="38"/>
      <c r="B1419" s="36"/>
      <c r="C1419" s="38"/>
      <c r="D1419" s="38"/>
      <c r="E1419" s="38"/>
      <c r="F1419" s="38"/>
      <c r="G1419" s="38"/>
      <c r="H1419" s="38"/>
      <c r="I1419" s="38"/>
      <c r="J1419" s="60"/>
      <c r="K1419" s="56"/>
    </row>
    <row r="1420" spans="1:11" ht="20.05" customHeight="1" x14ac:dyDescent="0.2">
      <c r="A1420" s="38"/>
      <c r="B1420" s="36"/>
      <c r="C1420" s="38"/>
      <c r="D1420" s="38"/>
      <c r="E1420" s="38"/>
      <c r="F1420" s="38"/>
      <c r="G1420" s="38"/>
      <c r="H1420" s="38"/>
      <c r="I1420" s="38"/>
      <c r="J1420" s="60"/>
      <c r="K1420" s="56"/>
    </row>
    <row r="1421" spans="1:11" ht="20.05" customHeight="1" x14ac:dyDescent="0.2">
      <c r="A1421" s="38"/>
      <c r="B1421" s="36"/>
      <c r="C1421" s="38"/>
      <c r="D1421" s="38"/>
      <c r="E1421" s="38"/>
      <c r="F1421" s="38"/>
      <c r="G1421" s="38"/>
      <c r="H1421" s="38"/>
      <c r="I1421" s="38"/>
      <c r="J1421" s="60"/>
      <c r="K1421" s="56"/>
    </row>
    <row r="1422" spans="1:11" ht="20.05" customHeight="1" x14ac:dyDescent="0.2">
      <c r="A1422" s="38"/>
      <c r="B1422" s="36"/>
      <c r="C1422" s="38"/>
      <c r="D1422" s="38"/>
      <c r="E1422" s="38"/>
      <c r="F1422" s="38"/>
      <c r="G1422" s="38"/>
      <c r="H1422" s="38"/>
      <c r="I1422" s="38"/>
      <c r="J1422" s="60"/>
      <c r="K1422" s="56"/>
    </row>
    <row r="1423" spans="1:11" ht="20.05" customHeight="1" x14ac:dyDescent="0.2">
      <c r="A1423" s="38"/>
      <c r="B1423" s="36"/>
      <c r="C1423" s="38"/>
      <c r="D1423" s="38"/>
      <c r="E1423" s="38"/>
      <c r="F1423" s="38"/>
      <c r="G1423" s="38"/>
      <c r="H1423" s="38"/>
      <c r="I1423" s="38"/>
      <c r="J1423" s="60"/>
      <c r="K1423" s="56"/>
    </row>
    <row r="1424" spans="1:11" ht="20.05" customHeight="1" x14ac:dyDescent="0.2">
      <c r="A1424" s="38"/>
      <c r="B1424" s="36"/>
      <c r="C1424" s="38"/>
      <c r="D1424" s="38"/>
      <c r="E1424" s="38"/>
      <c r="F1424" s="38"/>
      <c r="G1424" s="38"/>
      <c r="H1424" s="38"/>
      <c r="I1424" s="38"/>
      <c r="J1424" s="60"/>
      <c r="K1424" s="56"/>
    </row>
    <row r="1425" spans="1:11" ht="20.05" customHeight="1" x14ac:dyDescent="0.2">
      <c r="A1425" s="38"/>
      <c r="B1425" s="36"/>
      <c r="C1425" s="38"/>
      <c r="D1425" s="38"/>
      <c r="E1425" s="38"/>
      <c r="F1425" s="38"/>
      <c r="G1425" s="38"/>
      <c r="H1425" s="38"/>
      <c r="I1425" s="38"/>
      <c r="J1425" s="60"/>
      <c r="K1425" s="56"/>
    </row>
    <row r="1426" spans="1:11" ht="20.05" customHeight="1" x14ac:dyDescent="0.2">
      <c r="A1426" s="38"/>
      <c r="B1426" s="36"/>
      <c r="C1426" s="38"/>
      <c r="D1426" s="38"/>
      <c r="E1426" s="38"/>
      <c r="F1426" s="38"/>
      <c r="G1426" s="38"/>
      <c r="H1426" s="38"/>
      <c r="I1426" s="38"/>
      <c r="J1426" s="60"/>
      <c r="K1426" s="56"/>
    </row>
    <row r="1427" spans="1:11" ht="20.05" customHeight="1" x14ac:dyDescent="0.2">
      <c r="A1427" s="38"/>
      <c r="B1427" s="36"/>
      <c r="C1427" s="38"/>
      <c r="D1427" s="38"/>
      <c r="E1427" s="38"/>
      <c r="F1427" s="38"/>
      <c r="G1427" s="38"/>
      <c r="H1427" s="38"/>
      <c r="I1427" s="38"/>
      <c r="J1427" s="60"/>
      <c r="K1427" s="56"/>
    </row>
    <row r="1428" spans="1:11" ht="20.05" customHeight="1" x14ac:dyDescent="0.2">
      <c r="A1428" s="38"/>
      <c r="B1428" s="36"/>
      <c r="C1428" s="38"/>
      <c r="D1428" s="38"/>
      <c r="E1428" s="38"/>
      <c r="F1428" s="38"/>
      <c r="G1428" s="38"/>
      <c r="H1428" s="38"/>
      <c r="I1428" s="38"/>
      <c r="J1428" s="60"/>
      <c r="K1428" s="56"/>
    </row>
    <row r="1429" spans="1:11" ht="20.05" customHeight="1" x14ac:dyDescent="0.2">
      <c r="A1429" s="38"/>
      <c r="B1429" s="36"/>
      <c r="C1429" s="38"/>
      <c r="D1429" s="38"/>
      <c r="E1429" s="38"/>
      <c r="F1429" s="38"/>
      <c r="G1429" s="38"/>
      <c r="H1429" s="38"/>
      <c r="I1429" s="38"/>
      <c r="J1429" s="60"/>
      <c r="K1429" s="56"/>
    </row>
    <row r="1430" spans="1:11" ht="20.05" customHeight="1" x14ac:dyDescent="0.2">
      <c r="A1430" s="38"/>
      <c r="B1430" s="36"/>
      <c r="C1430" s="38"/>
      <c r="D1430" s="38"/>
      <c r="E1430" s="38"/>
      <c r="F1430" s="38"/>
      <c r="G1430" s="38"/>
      <c r="H1430" s="38"/>
      <c r="I1430" s="38"/>
      <c r="J1430" s="60"/>
      <c r="K1430" s="56"/>
    </row>
    <row r="1431" spans="1:11" ht="20.05" customHeight="1" x14ac:dyDescent="0.2">
      <c r="A1431" s="38"/>
      <c r="B1431" s="36"/>
      <c r="C1431" s="38"/>
      <c r="D1431" s="38"/>
      <c r="E1431" s="38"/>
      <c r="F1431" s="38"/>
      <c r="G1431" s="38"/>
      <c r="H1431" s="38"/>
      <c r="I1431" s="38"/>
      <c r="J1431" s="60"/>
      <c r="K1431" s="56"/>
    </row>
    <row r="1432" spans="1:11" ht="20.05" customHeight="1" x14ac:dyDescent="0.2">
      <c r="A1432" s="38"/>
      <c r="B1432" s="36"/>
      <c r="C1432" s="38"/>
      <c r="D1432" s="38"/>
      <c r="E1432" s="38"/>
      <c r="F1432" s="38"/>
      <c r="G1432" s="38"/>
      <c r="H1432" s="38"/>
      <c r="I1432" s="38"/>
      <c r="J1432" s="60"/>
      <c r="K1432" s="56"/>
    </row>
    <row r="1433" spans="1:11" ht="20.05" customHeight="1" x14ac:dyDescent="0.2">
      <c r="A1433" s="38"/>
      <c r="B1433" s="36"/>
      <c r="C1433" s="38"/>
      <c r="D1433" s="38"/>
      <c r="E1433" s="38"/>
      <c r="F1433" s="38"/>
      <c r="G1433" s="38"/>
      <c r="H1433" s="38"/>
      <c r="I1433" s="38"/>
      <c r="J1433" s="60"/>
      <c r="K1433" s="56"/>
    </row>
    <row r="1434" spans="1:11" ht="20.05" customHeight="1" x14ac:dyDescent="0.2">
      <c r="A1434" s="38"/>
      <c r="B1434" s="36"/>
      <c r="C1434" s="38"/>
      <c r="D1434" s="38"/>
      <c r="E1434" s="38"/>
      <c r="F1434" s="38"/>
      <c r="G1434" s="38"/>
      <c r="H1434" s="38"/>
      <c r="I1434" s="38"/>
      <c r="J1434" s="60"/>
      <c r="K1434" s="56"/>
    </row>
  </sheetData>
  <mergeCells count="12">
    <mergeCell ref="B14:G14"/>
    <mergeCell ref="B22:G22"/>
    <mergeCell ref="B25:G25"/>
    <mergeCell ref="B5:G5"/>
    <mergeCell ref="A1:K1"/>
    <mergeCell ref="A2:K2"/>
    <mergeCell ref="A3:A4"/>
    <mergeCell ref="B3:B4"/>
    <mergeCell ref="C3:H3"/>
    <mergeCell ref="I3:J3"/>
    <mergeCell ref="K3:K4"/>
    <mergeCell ref="C4:D4"/>
  </mergeCell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RoomWise</vt:lpstr>
      <vt:lpstr>RoomNames</vt:lpstr>
      <vt:lpstr>BOQ</vt:lpstr>
      <vt:lpstr>Estimation-Civil</vt:lpstr>
      <vt:lpstr>C-Datas</vt:lpstr>
      <vt:lpstr>GA</vt:lpstr>
      <vt:lpstr>Sheet2</vt:lpstr>
      <vt:lpstr>Sheet1</vt:lpstr>
      <vt:lpstr>Estimation-WS</vt:lpstr>
      <vt:lpstr>RoomNames!Print_Area</vt:lpstr>
      <vt:lpstr>RoomWise!Print_Area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ASTA INFRA</dc:creator>
  <cp:lastModifiedBy>ASTA INFRA</cp:lastModifiedBy>
  <cp:lastPrinted>2024-10-26T12:10:58Z</cp:lastPrinted>
  <dcterms:created xsi:type="dcterms:W3CDTF">2024-09-19T05:42:47Z</dcterms:created>
  <dcterms:modified xsi:type="dcterms:W3CDTF">2024-11-11T06:14:45Z</dcterms:modified>
</cp:coreProperties>
</file>