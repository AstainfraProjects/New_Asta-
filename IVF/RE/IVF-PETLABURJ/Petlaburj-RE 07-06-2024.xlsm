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27628" codeName="{60716B99-48EF-4627-542C-1B4CF24DBC83}"/>
  <workbookPr codeName="ThisWorkbook" defaultThemeVersion="124226"/>
  <mc:AlternateContent xmlns:mc="http://schemas.openxmlformats.org/markup-compatibility/2006">
    <mc:Choice Requires="x15">
      <x15ac:absPath xmlns:x15ac="http://schemas.microsoft.com/office/spreadsheetml/2010/11/ac" url="C:\Asta\IVF\RE\IVF-PETLABURJ\"/>
    </mc:Choice>
  </mc:AlternateContent>
  <xr:revisionPtr revIDLastSave="0" documentId="13_ncr:1_{24CB9E14-1436-466A-BF52-47254559EC8B}" xr6:coauthVersionLast="47" xr6:coauthVersionMax="47" xr10:uidLastSave="{00000000-0000-0000-0000-000000000000}"/>
  <bookViews>
    <workbookView xWindow="-108" yWindow="-108" windowWidth="23256" windowHeight="12456" xr2:uid="{00000000-000D-0000-FFFF-FFFF00000000}"/>
  </bookViews>
  <sheets>
    <sheet name="RE" sheetId="1" r:id="rId1"/>
    <sheet name="ABSTRACT" sheetId="3" r:id="rId2"/>
    <sheet name="SEIGNORAGE" sheetId="2" r:id="rId3"/>
  </sheets>
  <definedNames>
    <definedName name="\P">#REF!</definedName>
    <definedName name="_">NA()</definedName>
    <definedName name="______________________________________________________________________________________________can430">40.73</definedName>
    <definedName name="______________________________________________________________________________________________can435">43.3</definedName>
    <definedName name="_____________________________________________________________________________________________can430">40.73</definedName>
    <definedName name="_____________________________________________________________________________________________can435">43.3</definedName>
    <definedName name="____________________________________________________________________________________________can430">40.73</definedName>
    <definedName name="____________________________________________________________________________________________can435">43.3</definedName>
    <definedName name="___________________________________________________________________________________________can430">40.73</definedName>
    <definedName name="___________________________________________________________________________________________can435">43.3</definedName>
    <definedName name="___________________________________________________________________________________________l12">NA()</definedName>
    <definedName name="___________________________________________________________________________________________l3">NA()</definedName>
    <definedName name="___________________________________________________________________________________________l5">NA()</definedName>
    <definedName name="___________________________________________________________________________________________pc2">NA()</definedName>
    <definedName name="___________________________________________________________________________________________pv2">NA()</definedName>
    <definedName name="___________________________________________________________________________________________var1">NA()</definedName>
    <definedName name="___________________________________________________________________________________________var4">NA()</definedName>
    <definedName name="__________________________________________________________________________________________can430">40.73</definedName>
    <definedName name="__________________________________________________________________________________________can435">43.3</definedName>
    <definedName name="__________________________________________________________________________________________l12">NA()</definedName>
    <definedName name="__________________________________________________________________________________________l3">NA()</definedName>
    <definedName name="__________________________________________________________________________________________l5">NA()</definedName>
    <definedName name="__________________________________________________________________________________________pc2">NA()</definedName>
    <definedName name="__________________________________________________________________________________________pv2">NA()</definedName>
    <definedName name="__________________________________________________________________________________________var1">NA()</definedName>
    <definedName name="__________________________________________________________________________________________var4">NA()</definedName>
    <definedName name="_________________________________________________________________________________________bla1">#REF!</definedName>
    <definedName name="_________________________________________________________________________________________can430">40.73</definedName>
    <definedName name="_________________________________________________________________________________________can435">43.3</definedName>
    <definedName name="_________________________________________________________________________________________cur1">#REF!</definedName>
    <definedName name="_________________________________________________________________________________________l1">#REF!</definedName>
    <definedName name="_________________________________________________________________________________________l12">NA()</definedName>
    <definedName name="_________________________________________________________________________________________l2">#REF!</definedName>
    <definedName name="_________________________________________________________________________________________l3">NA()</definedName>
    <definedName name="_________________________________________________________________________________________l4">#REF!</definedName>
    <definedName name="_________________________________________________________________________________________l5">NA()</definedName>
    <definedName name="_________________________________________________________________________________________l6">#REF!</definedName>
    <definedName name="_________________________________________________________________________________________l7">#REF!</definedName>
    <definedName name="_________________________________________________________________________________________l8">#REF!</definedName>
    <definedName name="_________________________________________________________________________________________l9">#REF!</definedName>
    <definedName name="_________________________________________________________________________________________mm1">#REF!</definedName>
    <definedName name="_________________________________________________________________________________________mm11">#REF!</definedName>
    <definedName name="_________________________________________________________________________________________mm111">#REF!</definedName>
    <definedName name="_________________________________________________________________________________________pc2">NA()</definedName>
    <definedName name="_________________________________________________________________________________________pv2">NA()</definedName>
    <definedName name="_________________________________________________________________________________________rr3">#REF!</definedName>
    <definedName name="_________________________________________________________________________________________rrr1">#REF!</definedName>
    <definedName name="_________________________________________________________________________________________ss12">#REF!</definedName>
    <definedName name="_________________________________________________________________________________________ss20">#REF!</definedName>
    <definedName name="_________________________________________________________________________________________ss40">#REF!</definedName>
    <definedName name="_________________________________________________________________________________________var1">NA()</definedName>
    <definedName name="_________________________________________________________________________________________var4">NA()</definedName>
    <definedName name="________________________________________________________________________________________bla1">#REF!</definedName>
    <definedName name="________________________________________________________________________________________can430">40.73</definedName>
    <definedName name="________________________________________________________________________________________can435">43.3</definedName>
    <definedName name="________________________________________________________________________________________cur1">#REF!</definedName>
    <definedName name="________________________________________________________________________________________l1">#REF!</definedName>
    <definedName name="________________________________________________________________________________________l12">NA()</definedName>
    <definedName name="________________________________________________________________________________________l2">#REF!</definedName>
    <definedName name="________________________________________________________________________________________l3">NA()</definedName>
    <definedName name="________________________________________________________________________________________l4">#REF!</definedName>
    <definedName name="________________________________________________________________________________________l5">NA()</definedName>
    <definedName name="________________________________________________________________________________________l6">#REF!</definedName>
    <definedName name="________________________________________________________________________________________l7">#REF!</definedName>
    <definedName name="________________________________________________________________________________________l8">#REF!</definedName>
    <definedName name="________________________________________________________________________________________l9">#REF!</definedName>
    <definedName name="________________________________________________________________________________________mm1">#REF!</definedName>
    <definedName name="________________________________________________________________________________________mm11">#REF!</definedName>
    <definedName name="________________________________________________________________________________________mm111">#REF!</definedName>
    <definedName name="________________________________________________________________________________________pc2">NA()</definedName>
    <definedName name="________________________________________________________________________________________pv2">NA()</definedName>
    <definedName name="________________________________________________________________________________________rr3">#REF!</definedName>
    <definedName name="________________________________________________________________________________________rrr1">#REF!</definedName>
    <definedName name="________________________________________________________________________________________ss12">#REF!</definedName>
    <definedName name="________________________________________________________________________________________ss20">#REF!</definedName>
    <definedName name="________________________________________________________________________________________ss40">#REF!</definedName>
    <definedName name="________________________________________________________________________________________var1">NA()</definedName>
    <definedName name="________________________________________________________________________________________var4">NA()</definedName>
    <definedName name="_______________________________________________________________________________________bla1">#REF!</definedName>
    <definedName name="_______________________________________________________________________________________can430">40.73</definedName>
    <definedName name="_______________________________________________________________________________________can435">43.3</definedName>
    <definedName name="_______________________________________________________________________________________cur1">#REF!</definedName>
    <definedName name="_______________________________________________________________________________________l1">#REF!</definedName>
    <definedName name="_______________________________________________________________________________________l12">#REF!</definedName>
    <definedName name="_______________________________________________________________________________________l2">#REF!</definedName>
    <definedName name="_______________________________________________________________________________________l3">#REF!</definedName>
    <definedName name="_______________________________________________________________________________________l4">#REF!</definedName>
    <definedName name="_______________________________________________________________________________________l5">#REF!</definedName>
    <definedName name="_______________________________________________________________________________________l6">#REF!</definedName>
    <definedName name="_______________________________________________________________________________________l7">#REF!</definedName>
    <definedName name="_______________________________________________________________________________________l8">#REF!</definedName>
    <definedName name="_______________________________________________________________________________________l9">#REF!</definedName>
    <definedName name="_______________________________________________________________________________________mm1">#REF!</definedName>
    <definedName name="_______________________________________________________________________________________mm11">#REF!</definedName>
    <definedName name="_______________________________________________________________________________________mm111">#REF!</definedName>
    <definedName name="_______________________________________________________________________________________pc2">#REF!</definedName>
    <definedName name="_______________________________________________________________________________________pv2">#REF!</definedName>
    <definedName name="_______________________________________________________________________________________rr3">#REF!</definedName>
    <definedName name="_______________________________________________________________________________________rrr1">#REF!</definedName>
    <definedName name="_______________________________________________________________________________________ss12">#REF!</definedName>
    <definedName name="_______________________________________________________________________________________ss20">#REF!</definedName>
    <definedName name="_______________________________________________________________________________________ss40">#REF!</definedName>
    <definedName name="_______________________________________________________________________________________var1">#REF!</definedName>
    <definedName name="_______________________________________________________________________________________var4">#REF!</definedName>
    <definedName name="______________________________________________________________________________________bla1">#REF!</definedName>
    <definedName name="______________________________________________________________________________________can430">40.73</definedName>
    <definedName name="______________________________________________________________________________________can435">43.3</definedName>
    <definedName name="______________________________________________________________________________________cur1">#REF!</definedName>
    <definedName name="______________________________________________________________________________________l1">#REF!</definedName>
    <definedName name="______________________________________________________________________________________l12">#REF!</definedName>
    <definedName name="______________________________________________________________________________________l2">#REF!</definedName>
    <definedName name="______________________________________________________________________________________l3">#REF!</definedName>
    <definedName name="______________________________________________________________________________________l4">#REF!</definedName>
    <definedName name="______________________________________________________________________________________l5">#REF!</definedName>
    <definedName name="______________________________________________________________________________________l6">#REF!</definedName>
    <definedName name="______________________________________________________________________________________l7">#REF!</definedName>
    <definedName name="______________________________________________________________________________________l8">#REF!</definedName>
    <definedName name="______________________________________________________________________________________l9">#REF!</definedName>
    <definedName name="______________________________________________________________________________________mm1">#REF!</definedName>
    <definedName name="______________________________________________________________________________________mm11">#REF!</definedName>
    <definedName name="______________________________________________________________________________________mm111">#REF!</definedName>
    <definedName name="______________________________________________________________________________________pc2">#REF!</definedName>
    <definedName name="______________________________________________________________________________________pv2">#REF!</definedName>
    <definedName name="______________________________________________________________________________________rr3">#REF!</definedName>
    <definedName name="______________________________________________________________________________________rrr1">#REF!</definedName>
    <definedName name="______________________________________________________________________________________ss12">#REF!</definedName>
    <definedName name="______________________________________________________________________________________ss20">#REF!</definedName>
    <definedName name="______________________________________________________________________________________ss40">#REF!</definedName>
    <definedName name="______________________________________________________________________________________var1">#REF!</definedName>
    <definedName name="______________________________________________________________________________________var4">#REF!</definedName>
    <definedName name="_____________________________________________________________________________________bla1">#REF!</definedName>
    <definedName name="_____________________________________________________________________________________can430">40.73</definedName>
    <definedName name="_____________________________________________________________________________________can435">43.3</definedName>
    <definedName name="_____________________________________________________________________________________cur1">#REF!</definedName>
    <definedName name="_____________________________________________________________________________________l1">#REF!</definedName>
    <definedName name="_____________________________________________________________________________________l12">#REF!</definedName>
    <definedName name="_____________________________________________________________________________________l2">#REF!</definedName>
    <definedName name="_____________________________________________________________________________________l3">#REF!</definedName>
    <definedName name="_____________________________________________________________________________________l4">#REF!</definedName>
    <definedName name="_____________________________________________________________________________________l5">#REF!</definedName>
    <definedName name="_____________________________________________________________________________________l6">#REF!</definedName>
    <definedName name="_____________________________________________________________________________________l7">#REF!</definedName>
    <definedName name="_____________________________________________________________________________________l8">#REF!</definedName>
    <definedName name="_____________________________________________________________________________________l9">#REF!</definedName>
    <definedName name="_____________________________________________________________________________________mm1">#REF!</definedName>
    <definedName name="_____________________________________________________________________________________mm11">#REF!</definedName>
    <definedName name="_____________________________________________________________________________________mm111">#REF!</definedName>
    <definedName name="_____________________________________________________________________________________pc2">#REF!</definedName>
    <definedName name="_____________________________________________________________________________________pv2">#REF!</definedName>
    <definedName name="_____________________________________________________________________________________rr3">#REF!</definedName>
    <definedName name="_____________________________________________________________________________________rrr1">#REF!</definedName>
    <definedName name="_____________________________________________________________________________________ss12">#REF!</definedName>
    <definedName name="_____________________________________________________________________________________ss20">#REF!</definedName>
    <definedName name="_____________________________________________________________________________________ss40">#REF!</definedName>
    <definedName name="_____________________________________________________________________________________var1">#REF!</definedName>
    <definedName name="_____________________________________________________________________________________var4">#REF!</definedName>
    <definedName name="____________________________________________________________________________________bla1">#REF!</definedName>
    <definedName name="____________________________________________________________________________________can430">40.73</definedName>
    <definedName name="____________________________________________________________________________________can435">43.3</definedName>
    <definedName name="____________________________________________________________________________________cur1">#REF!</definedName>
    <definedName name="____________________________________________________________________________________l1">#REF!</definedName>
    <definedName name="____________________________________________________________________________________l12">#REF!</definedName>
    <definedName name="____________________________________________________________________________________l2">#REF!</definedName>
    <definedName name="____________________________________________________________________________________l3">#REF!</definedName>
    <definedName name="____________________________________________________________________________________l4">#REF!</definedName>
    <definedName name="____________________________________________________________________________________l5">#REF!</definedName>
    <definedName name="____________________________________________________________________________________l6">#REF!</definedName>
    <definedName name="____________________________________________________________________________________l7">#REF!</definedName>
    <definedName name="____________________________________________________________________________________l8">#REF!</definedName>
    <definedName name="____________________________________________________________________________________l9">#REF!</definedName>
    <definedName name="____________________________________________________________________________________mm1">#REF!</definedName>
    <definedName name="____________________________________________________________________________________mm11">#REF!</definedName>
    <definedName name="____________________________________________________________________________________mm111">#REF!</definedName>
    <definedName name="____________________________________________________________________________________pc2">#REF!</definedName>
    <definedName name="____________________________________________________________________________________pv2">#REF!</definedName>
    <definedName name="____________________________________________________________________________________rr3">#REF!</definedName>
    <definedName name="____________________________________________________________________________________rrr1">#REF!</definedName>
    <definedName name="____________________________________________________________________________________ss12">#REF!</definedName>
    <definedName name="____________________________________________________________________________________ss20">#REF!</definedName>
    <definedName name="____________________________________________________________________________________ss40">#REF!</definedName>
    <definedName name="____________________________________________________________________________________var1">#REF!</definedName>
    <definedName name="____________________________________________________________________________________var4">#REF!</definedName>
    <definedName name="___________________________________________________________________________________bla1">#REF!</definedName>
    <definedName name="___________________________________________________________________________________can430">40.73</definedName>
    <definedName name="___________________________________________________________________________________can435">43.3</definedName>
    <definedName name="___________________________________________________________________________________cur1">#REF!</definedName>
    <definedName name="___________________________________________________________________________________l1">#REF!</definedName>
    <definedName name="___________________________________________________________________________________l12">#REF!</definedName>
    <definedName name="___________________________________________________________________________________l2">#REF!</definedName>
    <definedName name="___________________________________________________________________________________l3">#REF!</definedName>
    <definedName name="___________________________________________________________________________________l4">#REF!</definedName>
    <definedName name="___________________________________________________________________________________l5">#REF!</definedName>
    <definedName name="___________________________________________________________________________________l6">#REF!</definedName>
    <definedName name="___________________________________________________________________________________l7">#REF!</definedName>
    <definedName name="___________________________________________________________________________________l8">#REF!</definedName>
    <definedName name="___________________________________________________________________________________l9">#REF!</definedName>
    <definedName name="___________________________________________________________________________________mm1">#REF!</definedName>
    <definedName name="___________________________________________________________________________________mm11">#REF!</definedName>
    <definedName name="___________________________________________________________________________________mm111">#REF!</definedName>
    <definedName name="___________________________________________________________________________________pc2">#REF!</definedName>
    <definedName name="___________________________________________________________________________________pv2">#REF!</definedName>
    <definedName name="___________________________________________________________________________________rr3">#REF!</definedName>
    <definedName name="___________________________________________________________________________________rrr1">#REF!</definedName>
    <definedName name="___________________________________________________________________________________ss12">#REF!</definedName>
    <definedName name="___________________________________________________________________________________ss20">#REF!</definedName>
    <definedName name="___________________________________________________________________________________ss40">#REF!</definedName>
    <definedName name="___________________________________________________________________________________var1">#REF!</definedName>
    <definedName name="___________________________________________________________________________________var4">#REF!</definedName>
    <definedName name="__________________________________________________________________________________bla1">#REF!</definedName>
    <definedName name="__________________________________________________________________________________can430">40.73</definedName>
    <definedName name="__________________________________________________________________________________can435">43.3</definedName>
    <definedName name="__________________________________________________________________________________cur1">#REF!</definedName>
    <definedName name="__________________________________________________________________________________l1">#REF!</definedName>
    <definedName name="__________________________________________________________________________________l12">#REF!</definedName>
    <definedName name="__________________________________________________________________________________l2">#REF!</definedName>
    <definedName name="__________________________________________________________________________________l3">#REF!</definedName>
    <definedName name="__________________________________________________________________________________l4">#REF!</definedName>
    <definedName name="__________________________________________________________________________________l5">#REF!</definedName>
    <definedName name="__________________________________________________________________________________l6">#REF!</definedName>
    <definedName name="__________________________________________________________________________________l7">#REF!</definedName>
    <definedName name="__________________________________________________________________________________l8">#REF!</definedName>
    <definedName name="__________________________________________________________________________________l9">#REF!</definedName>
    <definedName name="__________________________________________________________________________________mm1">#REF!</definedName>
    <definedName name="__________________________________________________________________________________mm11">#REF!</definedName>
    <definedName name="__________________________________________________________________________________mm111">#REF!</definedName>
    <definedName name="__________________________________________________________________________________pc2">#REF!</definedName>
    <definedName name="__________________________________________________________________________________pv2">#REF!</definedName>
    <definedName name="__________________________________________________________________________________rr3">#REF!</definedName>
    <definedName name="__________________________________________________________________________________rrr1">#REF!</definedName>
    <definedName name="__________________________________________________________________________________ss12">#REF!</definedName>
    <definedName name="__________________________________________________________________________________ss20">#REF!</definedName>
    <definedName name="__________________________________________________________________________________ss40">#REF!</definedName>
    <definedName name="__________________________________________________________________________________var1">#REF!</definedName>
    <definedName name="__________________________________________________________________________________var4">#REF!</definedName>
    <definedName name="_________________________________________________________________________________bla1">#REF!</definedName>
    <definedName name="_________________________________________________________________________________can430">40.73</definedName>
    <definedName name="_________________________________________________________________________________can435">43.3</definedName>
    <definedName name="_________________________________________________________________________________cur1">#REF!</definedName>
    <definedName name="_________________________________________________________________________________l1">#REF!</definedName>
    <definedName name="_________________________________________________________________________________l12">#REF!</definedName>
    <definedName name="_________________________________________________________________________________l2">#REF!</definedName>
    <definedName name="_________________________________________________________________________________l3">#REF!</definedName>
    <definedName name="_________________________________________________________________________________l4">#REF!</definedName>
    <definedName name="_________________________________________________________________________________l5">#REF!</definedName>
    <definedName name="_________________________________________________________________________________l6">#REF!</definedName>
    <definedName name="_________________________________________________________________________________l7">#REF!</definedName>
    <definedName name="_________________________________________________________________________________l8">#REF!</definedName>
    <definedName name="_________________________________________________________________________________l9">#REF!</definedName>
    <definedName name="_________________________________________________________________________________mm1">#REF!</definedName>
    <definedName name="_________________________________________________________________________________mm11">#REF!</definedName>
    <definedName name="_________________________________________________________________________________mm111">#REF!</definedName>
    <definedName name="_________________________________________________________________________________pc2">#REF!</definedName>
    <definedName name="_________________________________________________________________________________pv2">#REF!</definedName>
    <definedName name="_________________________________________________________________________________rr3">#REF!</definedName>
    <definedName name="_________________________________________________________________________________rrr1">#REF!</definedName>
    <definedName name="_________________________________________________________________________________ss12">#REF!</definedName>
    <definedName name="_________________________________________________________________________________ss20">#REF!</definedName>
    <definedName name="_________________________________________________________________________________ss40">#REF!</definedName>
    <definedName name="_________________________________________________________________________________var1">#REF!</definedName>
    <definedName name="_________________________________________________________________________________var4">#REF!</definedName>
    <definedName name="________________________________________________________________________________bla1">#REF!</definedName>
    <definedName name="________________________________________________________________________________can430">40.73</definedName>
    <definedName name="________________________________________________________________________________can435">43.3</definedName>
    <definedName name="________________________________________________________________________________cur1">#REF!</definedName>
    <definedName name="________________________________________________________________________________l1">#REF!</definedName>
    <definedName name="________________________________________________________________________________l12">#REF!</definedName>
    <definedName name="________________________________________________________________________________l2">#REF!</definedName>
    <definedName name="________________________________________________________________________________l3">#REF!</definedName>
    <definedName name="________________________________________________________________________________l4">#REF!</definedName>
    <definedName name="________________________________________________________________________________l5">#REF!</definedName>
    <definedName name="________________________________________________________________________________l6">#REF!</definedName>
    <definedName name="________________________________________________________________________________l7">#REF!</definedName>
    <definedName name="________________________________________________________________________________l8">#REF!</definedName>
    <definedName name="________________________________________________________________________________l9">#REF!</definedName>
    <definedName name="________________________________________________________________________________mm1">#REF!</definedName>
    <definedName name="________________________________________________________________________________mm11">#REF!</definedName>
    <definedName name="________________________________________________________________________________mm111">#REF!</definedName>
    <definedName name="________________________________________________________________________________pc2">#REF!</definedName>
    <definedName name="________________________________________________________________________________pv2">#REF!</definedName>
    <definedName name="________________________________________________________________________________rr3">#REF!</definedName>
    <definedName name="________________________________________________________________________________rrr1">#REF!</definedName>
    <definedName name="________________________________________________________________________________ss12">#REF!</definedName>
    <definedName name="________________________________________________________________________________ss20">#REF!</definedName>
    <definedName name="________________________________________________________________________________ss40">#REF!</definedName>
    <definedName name="________________________________________________________________________________var1">#REF!</definedName>
    <definedName name="________________________________________________________________________________var4">#REF!</definedName>
    <definedName name="_______________________________________________________________________________bla1">#REF!</definedName>
    <definedName name="_______________________________________________________________________________can430">40.73</definedName>
    <definedName name="_______________________________________________________________________________can435">43.3</definedName>
    <definedName name="_______________________________________________________________________________cur1">#REF!</definedName>
    <definedName name="_______________________________________________________________________________l1">#REF!</definedName>
    <definedName name="_______________________________________________________________________________l12">#REF!</definedName>
    <definedName name="_______________________________________________________________________________l2">#REF!</definedName>
    <definedName name="_______________________________________________________________________________l3">#REF!</definedName>
    <definedName name="_______________________________________________________________________________l4">#REF!</definedName>
    <definedName name="_______________________________________________________________________________l5">#REF!</definedName>
    <definedName name="_______________________________________________________________________________l6">#REF!</definedName>
    <definedName name="_______________________________________________________________________________l7">#REF!</definedName>
    <definedName name="_______________________________________________________________________________l8">#REF!</definedName>
    <definedName name="_______________________________________________________________________________l9">#REF!</definedName>
    <definedName name="_______________________________________________________________________________mm1">#REF!</definedName>
    <definedName name="_______________________________________________________________________________mm11">#REF!</definedName>
    <definedName name="_______________________________________________________________________________mm111">#REF!</definedName>
    <definedName name="_______________________________________________________________________________pc2">#REF!</definedName>
    <definedName name="_______________________________________________________________________________pv2">#REF!</definedName>
    <definedName name="_______________________________________________________________________________rr3">#REF!</definedName>
    <definedName name="_______________________________________________________________________________rrr1">#REF!</definedName>
    <definedName name="_______________________________________________________________________________ss12">#REF!</definedName>
    <definedName name="_______________________________________________________________________________ss20">#REF!</definedName>
    <definedName name="_______________________________________________________________________________ss40">#REF!</definedName>
    <definedName name="_______________________________________________________________________________var1">#REF!</definedName>
    <definedName name="_______________________________________________________________________________var4">#REF!</definedName>
    <definedName name="______________________________________________________________________________bla1">#REF!</definedName>
    <definedName name="______________________________________________________________________________can430">40.73</definedName>
    <definedName name="______________________________________________________________________________can435">43.3</definedName>
    <definedName name="______________________________________________________________________________cur1">#REF!</definedName>
    <definedName name="______________________________________________________________________________l1">#REF!</definedName>
    <definedName name="______________________________________________________________________________l12">#REF!</definedName>
    <definedName name="______________________________________________________________________________l2">#REF!</definedName>
    <definedName name="______________________________________________________________________________l3">#REF!</definedName>
    <definedName name="______________________________________________________________________________l4">#REF!</definedName>
    <definedName name="______________________________________________________________________________l5">#REF!</definedName>
    <definedName name="______________________________________________________________________________l6">#REF!</definedName>
    <definedName name="______________________________________________________________________________l7">#REF!</definedName>
    <definedName name="______________________________________________________________________________l8">#REF!</definedName>
    <definedName name="______________________________________________________________________________l9">#REF!</definedName>
    <definedName name="______________________________________________________________________________mm1">#REF!</definedName>
    <definedName name="______________________________________________________________________________mm11">#REF!</definedName>
    <definedName name="______________________________________________________________________________mm111">#REF!</definedName>
    <definedName name="______________________________________________________________________________pc2">#REF!</definedName>
    <definedName name="______________________________________________________________________________pv2">#REF!</definedName>
    <definedName name="______________________________________________________________________________rr3">#REF!</definedName>
    <definedName name="______________________________________________________________________________rrr1">#REF!</definedName>
    <definedName name="______________________________________________________________________________ss12">#REF!</definedName>
    <definedName name="______________________________________________________________________________ss20">#REF!</definedName>
    <definedName name="______________________________________________________________________________ss40">#REF!</definedName>
    <definedName name="______________________________________________________________________________var1">#REF!</definedName>
    <definedName name="______________________________________________________________________________var4">#REF!</definedName>
    <definedName name="_____________________________________________________________________________bla1">#REF!</definedName>
    <definedName name="_____________________________________________________________________________can430">40.73</definedName>
    <definedName name="_____________________________________________________________________________can435">43.3</definedName>
    <definedName name="_____________________________________________________________________________cur1">#REF!</definedName>
    <definedName name="_____________________________________________________________________________l1">#REF!</definedName>
    <definedName name="_____________________________________________________________________________l12">#REF!</definedName>
    <definedName name="_____________________________________________________________________________l2">#REF!</definedName>
    <definedName name="_____________________________________________________________________________l3">#REF!</definedName>
    <definedName name="_____________________________________________________________________________l4">#REF!</definedName>
    <definedName name="_____________________________________________________________________________l5">#REF!</definedName>
    <definedName name="_____________________________________________________________________________l6">#REF!</definedName>
    <definedName name="_____________________________________________________________________________l7">#REF!</definedName>
    <definedName name="_____________________________________________________________________________l8">#REF!</definedName>
    <definedName name="_____________________________________________________________________________l9">#REF!</definedName>
    <definedName name="_____________________________________________________________________________mm1">#REF!</definedName>
    <definedName name="_____________________________________________________________________________mm11">#REF!</definedName>
    <definedName name="_____________________________________________________________________________mm111">#REF!</definedName>
    <definedName name="_____________________________________________________________________________pc2">#REF!</definedName>
    <definedName name="_____________________________________________________________________________pv2">#REF!</definedName>
    <definedName name="_____________________________________________________________________________rr3">#REF!</definedName>
    <definedName name="_____________________________________________________________________________rrr1">#REF!</definedName>
    <definedName name="_____________________________________________________________________________ss12">#REF!</definedName>
    <definedName name="_____________________________________________________________________________ss20">#REF!</definedName>
    <definedName name="_____________________________________________________________________________ss40">#REF!</definedName>
    <definedName name="_____________________________________________________________________________var1">#REF!</definedName>
    <definedName name="_____________________________________________________________________________var4">#REF!</definedName>
    <definedName name="____________________________________________________________________________bla1">#REF!</definedName>
    <definedName name="____________________________________________________________________________can430">40.73</definedName>
    <definedName name="____________________________________________________________________________can435">43.3</definedName>
    <definedName name="____________________________________________________________________________cur1">#REF!</definedName>
    <definedName name="____________________________________________________________________________l1">#REF!</definedName>
    <definedName name="____________________________________________________________________________l12">#REF!</definedName>
    <definedName name="____________________________________________________________________________l2">#REF!</definedName>
    <definedName name="____________________________________________________________________________l3">#REF!</definedName>
    <definedName name="____________________________________________________________________________l4">#REF!</definedName>
    <definedName name="____________________________________________________________________________l5">#REF!</definedName>
    <definedName name="____________________________________________________________________________l6">#REF!</definedName>
    <definedName name="____________________________________________________________________________l7">#REF!</definedName>
    <definedName name="____________________________________________________________________________l8">#REF!</definedName>
    <definedName name="____________________________________________________________________________l9">#REF!</definedName>
    <definedName name="____________________________________________________________________________mm1">#REF!</definedName>
    <definedName name="____________________________________________________________________________mm11">#REF!</definedName>
    <definedName name="____________________________________________________________________________mm111">#REF!</definedName>
    <definedName name="____________________________________________________________________________pc2">#REF!</definedName>
    <definedName name="____________________________________________________________________________pv2">#REF!</definedName>
    <definedName name="____________________________________________________________________________rr3">#REF!</definedName>
    <definedName name="____________________________________________________________________________rrr1">#REF!</definedName>
    <definedName name="____________________________________________________________________________ss12">#REF!</definedName>
    <definedName name="____________________________________________________________________________ss20">#REF!</definedName>
    <definedName name="____________________________________________________________________________ss40">#REF!</definedName>
    <definedName name="____________________________________________________________________________var1">#REF!</definedName>
    <definedName name="____________________________________________________________________________var4">#REF!</definedName>
    <definedName name="___________________________________________________________________________bla1">#REF!</definedName>
    <definedName name="___________________________________________________________________________can430">40.73</definedName>
    <definedName name="___________________________________________________________________________can435">43.3</definedName>
    <definedName name="___________________________________________________________________________cur1">#REF!</definedName>
    <definedName name="___________________________________________________________________________l1">#REF!</definedName>
    <definedName name="___________________________________________________________________________l12">#REF!</definedName>
    <definedName name="___________________________________________________________________________l2">#REF!</definedName>
    <definedName name="___________________________________________________________________________l3">#REF!</definedName>
    <definedName name="___________________________________________________________________________l4">#REF!</definedName>
    <definedName name="___________________________________________________________________________l5">#REF!</definedName>
    <definedName name="___________________________________________________________________________l6">#REF!</definedName>
    <definedName name="___________________________________________________________________________l7">#REF!</definedName>
    <definedName name="___________________________________________________________________________l8">#REF!</definedName>
    <definedName name="___________________________________________________________________________l9">#REF!</definedName>
    <definedName name="___________________________________________________________________________mm1">#REF!</definedName>
    <definedName name="___________________________________________________________________________mm11">#REF!</definedName>
    <definedName name="___________________________________________________________________________mm111">#REF!</definedName>
    <definedName name="___________________________________________________________________________pc2">#REF!</definedName>
    <definedName name="___________________________________________________________________________pv2">#REF!</definedName>
    <definedName name="___________________________________________________________________________rr3">#REF!</definedName>
    <definedName name="___________________________________________________________________________rrr1">#REF!</definedName>
    <definedName name="___________________________________________________________________________ss12">#REF!</definedName>
    <definedName name="___________________________________________________________________________ss20">#REF!</definedName>
    <definedName name="___________________________________________________________________________ss40">#REF!</definedName>
    <definedName name="___________________________________________________________________________var1">#REF!</definedName>
    <definedName name="___________________________________________________________________________var4">#REF!</definedName>
    <definedName name="__________________________________________________________________________bla1">#REF!</definedName>
    <definedName name="__________________________________________________________________________can430">40.73</definedName>
    <definedName name="__________________________________________________________________________can435">43.3</definedName>
    <definedName name="__________________________________________________________________________cur1">#REF!</definedName>
    <definedName name="__________________________________________________________________________l1">#REF!</definedName>
    <definedName name="__________________________________________________________________________l12">#REF!</definedName>
    <definedName name="__________________________________________________________________________l2">#REF!</definedName>
    <definedName name="__________________________________________________________________________l3">#REF!</definedName>
    <definedName name="__________________________________________________________________________l4">#REF!</definedName>
    <definedName name="__________________________________________________________________________l5">#REF!</definedName>
    <definedName name="__________________________________________________________________________l6">#REF!</definedName>
    <definedName name="__________________________________________________________________________l7">#REF!</definedName>
    <definedName name="__________________________________________________________________________l8">#REF!</definedName>
    <definedName name="__________________________________________________________________________l9">#REF!</definedName>
    <definedName name="__________________________________________________________________________mm1">#REF!</definedName>
    <definedName name="__________________________________________________________________________mm11">#REF!</definedName>
    <definedName name="__________________________________________________________________________mm111">#REF!</definedName>
    <definedName name="__________________________________________________________________________pc2">#REF!</definedName>
    <definedName name="__________________________________________________________________________pv2">#REF!</definedName>
    <definedName name="__________________________________________________________________________rr3">#REF!</definedName>
    <definedName name="__________________________________________________________________________rrr1">#REF!</definedName>
    <definedName name="__________________________________________________________________________ss12">#REF!</definedName>
    <definedName name="__________________________________________________________________________ss20">#REF!</definedName>
    <definedName name="__________________________________________________________________________ss40">#REF!</definedName>
    <definedName name="__________________________________________________________________________var1">#REF!</definedName>
    <definedName name="__________________________________________________________________________var4">#REF!</definedName>
    <definedName name="_________________________________________________________________________bla1">#REF!</definedName>
    <definedName name="_________________________________________________________________________can430">40.73</definedName>
    <definedName name="_________________________________________________________________________can435">43.3</definedName>
    <definedName name="_________________________________________________________________________cur1">#REF!</definedName>
    <definedName name="_________________________________________________________________________l1">#REF!</definedName>
    <definedName name="_________________________________________________________________________l12">#REF!</definedName>
    <definedName name="_________________________________________________________________________l2">#REF!</definedName>
    <definedName name="_________________________________________________________________________l3">#REF!</definedName>
    <definedName name="_________________________________________________________________________l4">#REF!</definedName>
    <definedName name="_________________________________________________________________________l5">#REF!</definedName>
    <definedName name="_________________________________________________________________________l6">#REF!</definedName>
    <definedName name="_________________________________________________________________________l7">#REF!</definedName>
    <definedName name="_________________________________________________________________________l8">#REF!</definedName>
    <definedName name="_________________________________________________________________________l9">#REF!</definedName>
    <definedName name="_________________________________________________________________________mm1">#REF!</definedName>
    <definedName name="_________________________________________________________________________mm11">#REF!</definedName>
    <definedName name="_________________________________________________________________________mm111">#REF!</definedName>
    <definedName name="_________________________________________________________________________pc2">#REF!</definedName>
    <definedName name="_________________________________________________________________________pv2">#REF!</definedName>
    <definedName name="_________________________________________________________________________rr3">#REF!</definedName>
    <definedName name="_________________________________________________________________________rrr1">#REF!</definedName>
    <definedName name="_________________________________________________________________________ss12">#REF!</definedName>
    <definedName name="_________________________________________________________________________ss20">#REF!</definedName>
    <definedName name="_________________________________________________________________________ss40">#REF!</definedName>
    <definedName name="_________________________________________________________________________var1">#REF!</definedName>
    <definedName name="_________________________________________________________________________var4">#REF!</definedName>
    <definedName name="________________________________________________________________________bla1">#REF!</definedName>
    <definedName name="________________________________________________________________________can430">40.73</definedName>
    <definedName name="________________________________________________________________________can435">43.3</definedName>
    <definedName name="________________________________________________________________________cur1">#REF!</definedName>
    <definedName name="________________________________________________________________________l1">#REF!</definedName>
    <definedName name="________________________________________________________________________l12">#REF!</definedName>
    <definedName name="________________________________________________________________________l2">#REF!</definedName>
    <definedName name="________________________________________________________________________l3">#REF!</definedName>
    <definedName name="________________________________________________________________________l4">#REF!</definedName>
    <definedName name="________________________________________________________________________l5">#REF!</definedName>
    <definedName name="________________________________________________________________________l6">#REF!</definedName>
    <definedName name="________________________________________________________________________l7">#REF!</definedName>
    <definedName name="________________________________________________________________________l8">#REF!</definedName>
    <definedName name="________________________________________________________________________l9">#REF!</definedName>
    <definedName name="________________________________________________________________________mm1">#REF!</definedName>
    <definedName name="________________________________________________________________________mm11">#REF!</definedName>
    <definedName name="________________________________________________________________________mm111">#REF!</definedName>
    <definedName name="________________________________________________________________________pc2">#REF!</definedName>
    <definedName name="________________________________________________________________________pv2">#REF!</definedName>
    <definedName name="________________________________________________________________________rr3">#REF!</definedName>
    <definedName name="________________________________________________________________________rrr1">#REF!</definedName>
    <definedName name="________________________________________________________________________ss12">#REF!</definedName>
    <definedName name="________________________________________________________________________ss20">#REF!</definedName>
    <definedName name="________________________________________________________________________ss40">#REF!</definedName>
    <definedName name="________________________________________________________________________var1">#REF!</definedName>
    <definedName name="________________________________________________________________________var4">#REF!</definedName>
    <definedName name="_______________________________________________________________________bla1">#REF!</definedName>
    <definedName name="_______________________________________________________________________can430">40.73</definedName>
    <definedName name="_______________________________________________________________________can435">43.3</definedName>
    <definedName name="_______________________________________________________________________cur1">#REF!</definedName>
    <definedName name="_______________________________________________________________________l1">#REF!</definedName>
    <definedName name="_______________________________________________________________________l12">#REF!</definedName>
    <definedName name="_______________________________________________________________________l2">#REF!</definedName>
    <definedName name="_______________________________________________________________________l3">#REF!</definedName>
    <definedName name="_______________________________________________________________________l4">#REF!</definedName>
    <definedName name="_______________________________________________________________________l5">#REF!</definedName>
    <definedName name="_______________________________________________________________________l6">#REF!</definedName>
    <definedName name="_______________________________________________________________________l7">#REF!</definedName>
    <definedName name="_______________________________________________________________________l8">#REF!</definedName>
    <definedName name="_______________________________________________________________________l9">#REF!</definedName>
    <definedName name="_______________________________________________________________________mm1">#REF!</definedName>
    <definedName name="_______________________________________________________________________mm11">#REF!</definedName>
    <definedName name="_______________________________________________________________________mm111">#REF!</definedName>
    <definedName name="_______________________________________________________________________pc2">#REF!</definedName>
    <definedName name="_______________________________________________________________________pv2">#REF!</definedName>
    <definedName name="_______________________________________________________________________rr3">#REF!</definedName>
    <definedName name="_______________________________________________________________________rrr1">#REF!</definedName>
    <definedName name="_______________________________________________________________________ss12">#REF!</definedName>
    <definedName name="_______________________________________________________________________ss20">#REF!</definedName>
    <definedName name="_______________________________________________________________________ss40">#REF!</definedName>
    <definedName name="_______________________________________________________________________var1">#REF!</definedName>
    <definedName name="_______________________________________________________________________var4">#REF!</definedName>
    <definedName name="______________________________________________________________________bla1">#REF!</definedName>
    <definedName name="______________________________________________________________________can430">40.73</definedName>
    <definedName name="______________________________________________________________________can435">43.3</definedName>
    <definedName name="______________________________________________________________________cur1">#REF!</definedName>
    <definedName name="______________________________________________________________________l1">#REF!</definedName>
    <definedName name="______________________________________________________________________l12">#REF!</definedName>
    <definedName name="______________________________________________________________________l2">#REF!</definedName>
    <definedName name="______________________________________________________________________l3">#REF!</definedName>
    <definedName name="______________________________________________________________________l4">#REF!</definedName>
    <definedName name="______________________________________________________________________l5">#REF!</definedName>
    <definedName name="______________________________________________________________________l6">#REF!</definedName>
    <definedName name="______________________________________________________________________l7">#REF!</definedName>
    <definedName name="______________________________________________________________________l8">#REF!</definedName>
    <definedName name="______________________________________________________________________l9">#REF!</definedName>
    <definedName name="______________________________________________________________________mm1">#REF!</definedName>
    <definedName name="______________________________________________________________________mm11">#REF!</definedName>
    <definedName name="______________________________________________________________________mm111">#REF!</definedName>
    <definedName name="______________________________________________________________________pc2">#REF!</definedName>
    <definedName name="______________________________________________________________________pv2">#REF!</definedName>
    <definedName name="______________________________________________________________________rr3">#REF!</definedName>
    <definedName name="______________________________________________________________________rrr1">#REF!</definedName>
    <definedName name="______________________________________________________________________ss12">#REF!</definedName>
    <definedName name="______________________________________________________________________ss20">#REF!</definedName>
    <definedName name="______________________________________________________________________ss40">#REF!</definedName>
    <definedName name="______________________________________________________________________var1">#REF!</definedName>
    <definedName name="______________________________________________________________________var4">#REF!</definedName>
    <definedName name="_____________________________________________________________________bla1">#REF!</definedName>
    <definedName name="_____________________________________________________________________can430">40.73</definedName>
    <definedName name="_____________________________________________________________________can435">43.3</definedName>
    <definedName name="_____________________________________________________________________cur1">#REF!</definedName>
    <definedName name="_____________________________________________________________________l1">#REF!</definedName>
    <definedName name="_____________________________________________________________________l12">#REF!</definedName>
    <definedName name="_____________________________________________________________________l2">#REF!</definedName>
    <definedName name="_____________________________________________________________________l3">#REF!</definedName>
    <definedName name="_____________________________________________________________________l4">#REF!</definedName>
    <definedName name="_____________________________________________________________________l5">#REF!</definedName>
    <definedName name="_____________________________________________________________________l6">#REF!</definedName>
    <definedName name="_____________________________________________________________________l7">#REF!</definedName>
    <definedName name="_____________________________________________________________________l8">#REF!</definedName>
    <definedName name="_____________________________________________________________________l9">#REF!</definedName>
    <definedName name="_____________________________________________________________________mm1">#REF!</definedName>
    <definedName name="_____________________________________________________________________mm11">#REF!</definedName>
    <definedName name="_____________________________________________________________________mm111">#REF!</definedName>
    <definedName name="_____________________________________________________________________pc2">#REF!</definedName>
    <definedName name="_____________________________________________________________________pv2">#REF!</definedName>
    <definedName name="_____________________________________________________________________rr3">#REF!</definedName>
    <definedName name="_____________________________________________________________________rrr1">#REF!</definedName>
    <definedName name="_____________________________________________________________________ss12">#REF!</definedName>
    <definedName name="_____________________________________________________________________ss20">#REF!</definedName>
    <definedName name="_____________________________________________________________________ss40">#REF!</definedName>
    <definedName name="_____________________________________________________________________var1">#REF!</definedName>
    <definedName name="_____________________________________________________________________var4">#REF!</definedName>
    <definedName name="____________________________________________________________________bla1">#REF!</definedName>
    <definedName name="____________________________________________________________________can430">40.73</definedName>
    <definedName name="____________________________________________________________________can435">43.3</definedName>
    <definedName name="____________________________________________________________________cur1">#REF!</definedName>
    <definedName name="____________________________________________________________________l1">#REF!</definedName>
    <definedName name="____________________________________________________________________l12">#REF!</definedName>
    <definedName name="____________________________________________________________________l2">#REF!</definedName>
    <definedName name="____________________________________________________________________l3">#REF!</definedName>
    <definedName name="____________________________________________________________________l4">#REF!</definedName>
    <definedName name="____________________________________________________________________l5">#REF!</definedName>
    <definedName name="____________________________________________________________________l6">#REF!</definedName>
    <definedName name="____________________________________________________________________l7">#REF!</definedName>
    <definedName name="____________________________________________________________________l8">#REF!</definedName>
    <definedName name="____________________________________________________________________l9">#REF!</definedName>
    <definedName name="____________________________________________________________________mm1">#REF!</definedName>
    <definedName name="____________________________________________________________________mm11">#REF!</definedName>
    <definedName name="____________________________________________________________________mm111">#REF!</definedName>
    <definedName name="____________________________________________________________________pc2">#REF!</definedName>
    <definedName name="____________________________________________________________________pv2">#REF!</definedName>
    <definedName name="____________________________________________________________________rr3">#REF!</definedName>
    <definedName name="____________________________________________________________________rrr1">#REF!</definedName>
    <definedName name="____________________________________________________________________ss12">#REF!</definedName>
    <definedName name="____________________________________________________________________ss20">#REF!</definedName>
    <definedName name="____________________________________________________________________ss40">#REF!</definedName>
    <definedName name="____________________________________________________________________var1">#REF!</definedName>
    <definedName name="____________________________________________________________________var4">#REF!</definedName>
    <definedName name="___________________________________________________________________bla1">#REF!</definedName>
    <definedName name="___________________________________________________________________can430">40.73</definedName>
    <definedName name="___________________________________________________________________can435">43.3</definedName>
    <definedName name="___________________________________________________________________cur1">#REF!</definedName>
    <definedName name="___________________________________________________________________l1">#REF!</definedName>
    <definedName name="___________________________________________________________________l12">#REF!</definedName>
    <definedName name="___________________________________________________________________l2">#REF!</definedName>
    <definedName name="___________________________________________________________________l3">#REF!</definedName>
    <definedName name="___________________________________________________________________l4">#REF!</definedName>
    <definedName name="___________________________________________________________________l5">#REF!</definedName>
    <definedName name="___________________________________________________________________l6">#REF!</definedName>
    <definedName name="___________________________________________________________________l7">#REF!</definedName>
    <definedName name="___________________________________________________________________l8">#REF!</definedName>
    <definedName name="___________________________________________________________________l9">#REF!</definedName>
    <definedName name="___________________________________________________________________mm1">#REF!</definedName>
    <definedName name="___________________________________________________________________mm11">#REF!</definedName>
    <definedName name="___________________________________________________________________mm111">#REF!</definedName>
    <definedName name="___________________________________________________________________pc2">#REF!</definedName>
    <definedName name="___________________________________________________________________pv2">#REF!</definedName>
    <definedName name="___________________________________________________________________rr3">#REF!</definedName>
    <definedName name="___________________________________________________________________rrr1">#REF!</definedName>
    <definedName name="___________________________________________________________________ss12">#REF!</definedName>
    <definedName name="___________________________________________________________________ss20">#REF!</definedName>
    <definedName name="___________________________________________________________________ss40">#REF!</definedName>
    <definedName name="___________________________________________________________________var1">#REF!</definedName>
    <definedName name="___________________________________________________________________var4">#REF!</definedName>
    <definedName name="__________________________________________________________________bla1">#REF!</definedName>
    <definedName name="__________________________________________________________________can430">40.73</definedName>
    <definedName name="__________________________________________________________________can435">43.3</definedName>
    <definedName name="__________________________________________________________________cur1">#REF!</definedName>
    <definedName name="__________________________________________________________________l1">#REF!</definedName>
    <definedName name="__________________________________________________________________l12">#REF!</definedName>
    <definedName name="__________________________________________________________________l2">#REF!</definedName>
    <definedName name="__________________________________________________________________l3">#REF!</definedName>
    <definedName name="__________________________________________________________________l4">#REF!</definedName>
    <definedName name="__________________________________________________________________l5">#REF!</definedName>
    <definedName name="__________________________________________________________________l6">#REF!</definedName>
    <definedName name="__________________________________________________________________l7">#REF!</definedName>
    <definedName name="__________________________________________________________________l8">#REF!</definedName>
    <definedName name="__________________________________________________________________l9">#REF!</definedName>
    <definedName name="__________________________________________________________________mm1">#REF!</definedName>
    <definedName name="__________________________________________________________________mm11">#REF!</definedName>
    <definedName name="__________________________________________________________________mm111">#REF!</definedName>
    <definedName name="__________________________________________________________________pc2">#REF!</definedName>
    <definedName name="__________________________________________________________________pv2">#REF!</definedName>
    <definedName name="__________________________________________________________________rr3">#REF!</definedName>
    <definedName name="__________________________________________________________________rrr1">#REF!</definedName>
    <definedName name="__________________________________________________________________ss12">#REF!</definedName>
    <definedName name="__________________________________________________________________ss20">#REF!</definedName>
    <definedName name="__________________________________________________________________ss40">#REF!</definedName>
    <definedName name="__________________________________________________________________var1">#REF!</definedName>
    <definedName name="__________________________________________________________________var4">#REF!</definedName>
    <definedName name="_________________________________________________________________bla1">#REF!</definedName>
    <definedName name="_________________________________________________________________can430">40.73</definedName>
    <definedName name="_________________________________________________________________can435">43.3</definedName>
    <definedName name="_________________________________________________________________cur1">#REF!</definedName>
    <definedName name="_________________________________________________________________l1">#REF!</definedName>
    <definedName name="_________________________________________________________________l12">#REF!</definedName>
    <definedName name="_________________________________________________________________l2">#REF!</definedName>
    <definedName name="_________________________________________________________________l3">#REF!</definedName>
    <definedName name="_________________________________________________________________l4">#REF!</definedName>
    <definedName name="_________________________________________________________________l5">#REF!</definedName>
    <definedName name="_________________________________________________________________l6">#REF!</definedName>
    <definedName name="_________________________________________________________________l7">#REF!</definedName>
    <definedName name="_________________________________________________________________l8">#REF!</definedName>
    <definedName name="_________________________________________________________________l9">#REF!</definedName>
    <definedName name="_________________________________________________________________mm1">#REF!</definedName>
    <definedName name="_________________________________________________________________mm11">#REF!</definedName>
    <definedName name="_________________________________________________________________mm111">#REF!</definedName>
    <definedName name="_________________________________________________________________pc2">#REF!</definedName>
    <definedName name="_________________________________________________________________pv2">#REF!</definedName>
    <definedName name="_________________________________________________________________rr3">#REF!</definedName>
    <definedName name="_________________________________________________________________rrr1">#REF!</definedName>
    <definedName name="_________________________________________________________________ss12">#REF!</definedName>
    <definedName name="_________________________________________________________________ss20">#REF!</definedName>
    <definedName name="_________________________________________________________________ss40">#REF!</definedName>
    <definedName name="_________________________________________________________________var1">#REF!</definedName>
    <definedName name="_________________________________________________________________var4">#REF!</definedName>
    <definedName name="________________________________________________________________bla1">#REF!</definedName>
    <definedName name="________________________________________________________________can430">40.73</definedName>
    <definedName name="________________________________________________________________can435">43.3</definedName>
    <definedName name="________________________________________________________________cur1">#REF!</definedName>
    <definedName name="________________________________________________________________l1">#REF!</definedName>
    <definedName name="________________________________________________________________l12">#REF!</definedName>
    <definedName name="________________________________________________________________l2">#REF!</definedName>
    <definedName name="________________________________________________________________l3">#REF!</definedName>
    <definedName name="________________________________________________________________l4">#REF!</definedName>
    <definedName name="________________________________________________________________l5">#REF!</definedName>
    <definedName name="________________________________________________________________l6">#REF!</definedName>
    <definedName name="________________________________________________________________l7">#REF!</definedName>
    <definedName name="________________________________________________________________l8">#REF!</definedName>
    <definedName name="________________________________________________________________l9">#REF!</definedName>
    <definedName name="________________________________________________________________mm1">#REF!</definedName>
    <definedName name="________________________________________________________________mm11">#REF!</definedName>
    <definedName name="________________________________________________________________mm111">#REF!</definedName>
    <definedName name="________________________________________________________________pc2">#REF!</definedName>
    <definedName name="________________________________________________________________pv2">#REF!</definedName>
    <definedName name="________________________________________________________________rr3">#REF!</definedName>
    <definedName name="________________________________________________________________rrr1">#REF!</definedName>
    <definedName name="________________________________________________________________ss12">#REF!</definedName>
    <definedName name="________________________________________________________________ss20">#REF!</definedName>
    <definedName name="________________________________________________________________ss40">#REF!</definedName>
    <definedName name="________________________________________________________________var1">#REF!</definedName>
    <definedName name="________________________________________________________________var4">#REF!</definedName>
    <definedName name="_______________________________________________________________bla1">#REF!</definedName>
    <definedName name="_______________________________________________________________can430">40.73</definedName>
    <definedName name="_______________________________________________________________can435">43.3</definedName>
    <definedName name="_______________________________________________________________cur1">#REF!</definedName>
    <definedName name="_______________________________________________________________l1">#REF!</definedName>
    <definedName name="_______________________________________________________________l12">#REF!</definedName>
    <definedName name="_______________________________________________________________l2">#REF!</definedName>
    <definedName name="_______________________________________________________________l3">#REF!</definedName>
    <definedName name="_______________________________________________________________l4">#REF!</definedName>
    <definedName name="_______________________________________________________________l5">#REF!</definedName>
    <definedName name="_______________________________________________________________l6">#REF!</definedName>
    <definedName name="_______________________________________________________________l7">#REF!</definedName>
    <definedName name="_______________________________________________________________l8">#REF!</definedName>
    <definedName name="_______________________________________________________________l9">#REF!</definedName>
    <definedName name="_______________________________________________________________mm1">#REF!</definedName>
    <definedName name="_______________________________________________________________mm11">#REF!</definedName>
    <definedName name="_______________________________________________________________mm111">#REF!</definedName>
    <definedName name="_______________________________________________________________pc2">#REF!</definedName>
    <definedName name="_______________________________________________________________pv2">#REF!</definedName>
    <definedName name="_______________________________________________________________rr3">#REF!</definedName>
    <definedName name="_______________________________________________________________rrr1">#REF!</definedName>
    <definedName name="_______________________________________________________________ss12">#REF!</definedName>
    <definedName name="_______________________________________________________________ss20">#REF!</definedName>
    <definedName name="_______________________________________________________________ss40">#REF!</definedName>
    <definedName name="_______________________________________________________________var1">#REF!</definedName>
    <definedName name="_______________________________________________________________var4">#REF!</definedName>
    <definedName name="______________________________________________________________bla1">#REF!</definedName>
    <definedName name="______________________________________________________________can430">40.73</definedName>
    <definedName name="______________________________________________________________can435">43.3</definedName>
    <definedName name="______________________________________________________________cur1">#REF!</definedName>
    <definedName name="______________________________________________________________l1">#REF!</definedName>
    <definedName name="______________________________________________________________l12">#REF!</definedName>
    <definedName name="______________________________________________________________l2">#REF!</definedName>
    <definedName name="______________________________________________________________l3">#REF!</definedName>
    <definedName name="______________________________________________________________l4">#REF!</definedName>
    <definedName name="______________________________________________________________l5">#REF!</definedName>
    <definedName name="______________________________________________________________l6">#REF!</definedName>
    <definedName name="______________________________________________________________l7">#REF!</definedName>
    <definedName name="______________________________________________________________l8">#REF!</definedName>
    <definedName name="______________________________________________________________l9">#REF!</definedName>
    <definedName name="______________________________________________________________mm1">#REF!</definedName>
    <definedName name="______________________________________________________________mm11">#REF!</definedName>
    <definedName name="______________________________________________________________mm111">#REF!</definedName>
    <definedName name="______________________________________________________________pc2">#REF!</definedName>
    <definedName name="______________________________________________________________pv2">#REF!</definedName>
    <definedName name="______________________________________________________________rr3">#REF!</definedName>
    <definedName name="______________________________________________________________rrr1">#REF!</definedName>
    <definedName name="______________________________________________________________ss12">#REF!</definedName>
    <definedName name="______________________________________________________________ss20">#REF!</definedName>
    <definedName name="______________________________________________________________ss40">#REF!</definedName>
    <definedName name="______________________________________________________________var1">#REF!</definedName>
    <definedName name="______________________________________________________________var4">#REF!</definedName>
    <definedName name="_____________________________________________________________bla1">#REF!</definedName>
    <definedName name="_____________________________________________________________can430">40.73</definedName>
    <definedName name="_____________________________________________________________can435">43.3</definedName>
    <definedName name="_____________________________________________________________cur1">#REF!</definedName>
    <definedName name="_____________________________________________________________l1">#REF!</definedName>
    <definedName name="_____________________________________________________________l12">#REF!</definedName>
    <definedName name="_____________________________________________________________l2">#REF!</definedName>
    <definedName name="_____________________________________________________________l3">#REF!</definedName>
    <definedName name="_____________________________________________________________l4">#REF!</definedName>
    <definedName name="_____________________________________________________________l5">#REF!</definedName>
    <definedName name="_____________________________________________________________l6">#REF!</definedName>
    <definedName name="_____________________________________________________________l7">#REF!</definedName>
    <definedName name="_____________________________________________________________l8">#REF!</definedName>
    <definedName name="_____________________________________________________________l9">#REF!</definedName>
    <definedName name="_____________________________________________________________mm1">#REF!</definedName>
    <definedName name="_____________________________________________________________mm11">#REF!</definedName>
    <definedName name="_____________________________________________________________mm111">#REF!</definedName>
    <definedName name="_____________________________________________________________pc2">#REF!</definedName>
    <definedName name="_____________________________________________________________pv2">#REF!</definedName>
    <definedName name="_____________________________________________________________rr3">#REF!</definedName>
    <definedName name="_____________________________________________________________rrr1">#REF!</definedName>
    <definedName name="_____________________________________________________________ss12">#REF!</definedName>
    <definedName name="_____________________________________________________________ss20">#REF!</definedName>
    <definedName name="_____________________________________________________________ss40">#REF!</definedName>
    <definedName name="_____________________________________________________________var1">#REF!</definedName>
    <definedName name="_____________________________________________________________var4">#REF!</definedName>
    <definedName name="____________________________________________________________bla1">#REF!</definedName>
    <definedName name="____________________________________________________________can430">40.73</definedName>
    <definedName name="____________________________________________________________can435">43.3</definedName>
    <definedName name="____________________________________________________________cur1">#REF!</definedName>
    <definedName name="____________________________________________________________l1">#REF!</definedName>
    <definedName name="____________________________________________________________l12">#REF!</definedName>
    <definedName name="____________________________________________________________l2">#REF!</definedName>
    <definedName name="____________________________________________________________l3">#REF!</definedName>
    <definedName name="____________________________________________________________l4">#REF!</definedName>
    <definedName name="____________________________________________________________l5">#REF!</definedName>
    <definedName name="____________________________________________________________l6">#REF!</definedName>
    <definedName name="____________________________________________________________l7">#REF!</definedName>
    <definedName name="____________________________________________________________l8">#REF!</definedName>
    <definedName name="____________________________________________________________l9">#REF!</definedName>
    <definedName name="____________________________________________________________mm1">#REF!</definedName>
    <definedName name="____________________________________________________________mm11">#REF!</definedName>
    <definedName name="____________________________________________________________mm111">#REF!</definedName>
    <definedName name="____________________________________________________________pc2">#REF!</definedName>
    <definedName name="____________________________________________________________pv2">#REF!</definedName>
    <definedName name="____________________________________________________________rr3">#REF!</definedName>
    <definedName name="____________________________________________________________rrr1">#REF!</definedName>
    <definedName name="____________________________________________________________ss12">#REF!</definedName>
    <definedName name="____________________________________________________________ss20">#REF!</definedName>
    <definedName name="____________________________________________________________ss40">#REF!</definedName>
    <definedName name="____________________________________________________________var1">#REF!</definedName>
    <definedName name="____________________________________________________________var4">#REF!</definedName>
    <definedName name="___________________________________________________________bla1">#REF!</definedName>
    <definedName name="___________________________________________________________can430">40.73</definedName>
    <definedName name="___________________________________________________________can435">43.3</definedName>
    <definedName name="___________________________________________________________cur1">#REF!</definedName>
    <definedName name="___________________________________________________________l1">#REF!</definedName>
    <definedName name="___________________________________________________________l12">#REF!</definedName>
    <definedName name="___________________________________________________________l2">#REF!</definedName>
    <definedName name="___________________________________________________________l3">#REF!</definedName>
    <definedName name="___________________________________________________________l4">#REF!</definedName>
    <definedName name="___________________________________________________________l5">#REF!</definedName>
    <definedName name="___________________________________________________________l6">#REF!</definedName>
    <definedName name="___________________________________________________________l7">#REF!</definedName>
    <definedName name="___________________________________________________________l8">#REF!</definedName>
    <definedName name="___________________________________________________________l9">#REF!</definedName>
    <definedName name="___________________________________________________________mm1">#REF!</definedName>
    <definedName name="___________________________________________________________mm11">#REF!</definedName>
    <definedName name="___________________________________________________________mm111">#REF!</definedName>
    <definedName name="___________________________________________________________pc2">#REF!</definedName>
    <definedName name="___________________________________________________________pv2">#REF!</definedName>
    <definedName name="___________________________________________________________rr3">#REF!</definedName>
    <definedName name="___________________________________________________________rrr1">#REF!</definedName>
    <definedName name="___________________________________________________________ss12">#REF!</definedName>
    <definedName name="___________________________________________________________ss20">#REF!</definedName>
    <definedName name="___________________________________________________________ss40">#REF!</definedName>
    <definedName name="___________________________________________________________var1">#REF!</definedName>
    <definedName name="___________________________________________________________var4">#REF!</definedName>
    <definedName name="__________________________________________________________bla1">#REF!</definedName>
    <definedName name="__________________________________________________________can430">40.73</definedName>
    <definedName name="__________________________________________________________can435">43.3</definedName>
    <definedName name="__________________________________________________________cur1">#REF!</definedName>
    <definedName name="__________________________________________________________l1">#REF!</definedName>
    <definedName name="__________________________________________________________l12">#REF!</definedName>
    <definedName name="__________________________________________________________l2">#REF!</definedName>
    <definedName name="__________________________________________________________l3">#REF!</definedName>
    <definedName name="__________________________________________________________l4">#REF!</definedName>
    <definedName name="__________________________________________________________l5">#REF!</definedName>
    <definedName name="__________________________________________________________l6">#REF!</definedName>
    <definedName name="__________________________________________________________l7">#REF!</definedName>
    <definedName name="__________________________________________________________l8">#REF!</definedName>
    <definedName name="__________________________________________________________l9">#REF!</definedName>
    <definedName name="__________________________________________________________mm1">#REF!</definedName>
    <definedName name="__________________________________________________________mm11">#REF!</definedName>
    <definedName name="__________________________________________________________mm111">#REF!</definedName>
    <definedName name="__________________________________________________________pc2">#REF!</definedName>
    <definedName name="__________________________________________________________pv2">#REF!</definedName>
    <definedName name="__________________________________________________________rr3">#REF!</definedName>
    <definedName name="__________________________________________________________rrr1">#REF!</definedName>
    <definedName name="__________________________________________________________ss12">#REF!</definedName>
    <definedName name="__________________________________________________________ss20">#REF!</definedName>
    <definedName name="__________________________________________________________ss40">#REF!</definedName>
    <definedName name="__________________________________________________________var1">#REF!</definedName>
    <definedName name="__________________________________________________________var4">#REF!</definedName>
    <definedName name="_________________________________________________________bla1">#REF!</definedName>
    <definedName name="_________________________________________________________can430">40.73</definedName>
    <definedName name="_________________________________________________________can435">43.3</definedName>
    <definedName name="_________________________________________________________cur1">#REF!</definedName>
    <definedName name="_________________________________________________________l1">#REF!</definedName>
    <definedName name="_________________________________________________________l12">#REF!</definedName>
    <definedName name="_________________________________________________________l2">#REF!</definedName>
    <definedName name="_________________________________________________________l3">#REF!</definedName>
    <definedName name="_________________________________________________________l4">#REF!</definedName>
    <definedName name="_________________________________________________________l5">#REF!</definedName>
    <definedName name="_________________________________________________________l6">#REF!</definedName>
    <definedName name="_________________________________________________________l7">#REF!</definedName>
    <definedName name="_________________________________________________________l8">#REF!</definedName>
    <definedName name="_________________________________________________________l9">#REF!</definedName>
    <definedName name="_________________________________________________________mm1">#REF!</definedName>
    <definedName name="_________________________________________________________mm11">#REF!</definedName>
    <definedName name="_________________________________________________________mm111">#REF!</definedName>
    <definedName name="_________________________________________________________pc2">#REF!</definedName>
    <definedName name="_________________________________________________________pv2">#REF!</definedName>
    <definedName name="_________________________________________________________rr3">#REF!</definedName>
    <definedName name="_________________________________________________________rrr1">#REF!</definedName>
    <definedName name="_________________________________________________________ss12">#REF!</definedName>
    <definedName name="_________________________________________________________ss20">#REF!</definedName>
    <definedName name="_________________________________________________________ss40">#REF!</definedName>
    <definedName name="_________________________________________________________var1">#REF!</definedName>
    <definedName name="_________________________________________________________var4">#REF!</definedName>
    <definedName name="________________________________________________________bla1">#REF!</definedName>
    <definedName name="________________________________________________________can430">40.73</definedName>
    <definedName name="________________________________________________________can435">43.3</definedName>
    <definedName name="________________________________________________________cur1">#REF!</definedName>
    <definedName name="________________________________________________________l1">#REF!</definedName>
    <definedName name="________________________________________________________l12">#REF!</definedName>
    <definedName name="________________________________________________________l2">#REF!</definedName>
    <definedName name="________________________________________________________l3">#REF!</definedName>
    <definedName name="________________________________________________________l4">#REF!</definedName>
    <definedName name="________________________________________________________l5">#REF!</definedName>
    <definedName name="________________________________________________________l6">#REF!</definedName>
    <definedName name="________________________________________________________l7">#REF!</definedName>
    <definedName name="________________________________________________________l8">#REF!</definedName>
    <definedName name="________________________________________________________l9">#REF!</definedName>
    <definedName name="________________________________________________________mm1">#REF!</definedName>
    <definedName name="________________________________________________________mm11">#REF!</definedName>
    <definedName name="________________________________________________________mm111">#REF!</definedName>
    <definedName name="________________________________________________________pc2">#REF!</definedName>
    <definedName name="________________________________________________________pv2">#REF!</definedName>
    <definedName name="________________________________________________________rr3">#REF!</definedName>
    <definedName name="________________________________________________________rrr1">#REF!</definedName>
    <definedName name="________________________________________________________ss12">#REF!</definedName>
    <definedName name="________________________________________________________ss20">#REF!</definedName>
    <definedName name="________________________________________________________ss40">#REF!</definedName>
    <definedName name="________________________________________________________var1">#REF!</definedName>
    <definedName name="________________________________________________________var4">#REF!</definedName>
    <definedName name="_______________________________________________________bla1">#REF!</definedName>
    <definedName name="_______________________________________________________can430">40.73</definedName>
    <definedName name="_______________________________________________________can435">43.3</definedName>
    <definedName name="_______________________________________________________cur1">#REF!</definedName>
    <definedName name="_______________________________________________________l1">#REF!</definedName>
    <definedName name="_______________________________________________________l12">#REF!</definedName>
    <definedName name="_______________________________________________________l2">#REF!</definedName>
    <definedName name="_______________________________________________________l3">#REF!</definedName>
    <definedName name="_______________________________________________________l4">#REF!</definedName>
    <definedName name="_______________________________________________________l5">#REF!</definedName>
    <definedName name="_______________________________________________________l6">#REF!</definedName>
    <definedName name="_______________________________________________________l7">#REF!</definedName>
    <definedName name="_______________________________________________________l8">#REF!</definedName>
    <definedName name="_______________________________________________________l9">#REF!</definedName>
    <definedName name="_______________________________________________________mm1">#REF!</definedName>
    <definedName name="_______________________________________________________mm11">#REF!</definedName>
    <definedName name="_______________________________________________________mm111">#REF!</definedName>
    <definedName name="_______________________________________________________pc2">#REF!</definedName>
    <definedName name="_______________________________________________________pv2">#REF!</definedName>
    <definedName name="_______________________________________________________rr3">#REF!</definedName>
    <definedName name="_______________________________________________________rrr1">#REF!</definedName>
    <definedName name="_______________________________________________________ss12">#REF!</definedName>
    <definedName name="_______________________________________________________ss20">#REF!</definedName>
    <definedName name="_______________________________________________________ss40">#REF!</definedName>
    <definedName name="_______________________________________________________var1">#REF!</definedName>
    <definedName name="_______________________________________________________var4">#REF!</definedName>
    <definedName name="______________________________________________________bla1">#REF!</definedName>
    <definedName name="______________________________________________________can430">40.73</definedName>
    <definedName name="______________________________________________________can435">43.3</definedName>
    <definedName name="______________________________________________________cur1">#REF!</definedName>
    <definedName name="______________________________________________________l1">#REF!</definedName>
    <definedName name="______________________________________________________l12">#REF!</definedName>
    <definedName name="______________________________________________________l2">#REF!</definedName>
    <definedName name="______________________________________________________l3">#REF!</definedName>
    <definedName name="______________________________________________________l4">#REF!</definedName>
    <definedName name="______________________________________________________l5">#REF!</definedName>
    <definedName name="______________________________________________________l6">#REF!</definedName>
    <definedName name="______________________________________________________l7">#REF!</definedName>
    <definedName name="______________________________________________________l8">#REF!</definedName>
    <definedName name="______________________________________________________l9">#REF!</definedName>
    <definedName name="______________________________________________________mm1">#REF!</definedName>
    <definedName name="______________________________________________________mm11">#REF!</definedName>
    <definedName name="______________________________________________________mm111">#REF!</definedName>
    <definedName name="______________________________________________________pc2">#REF!</definedName>
    <definedName name="______________________________________________________pv2">#REF!</definedName>
    <definedName name="______________________________________________________rr3">#REF!</definedName>
    <definedName name="______________________________________________________rrr1">#REF!</definedName>
    <definedName name="______________________________________________________ss12">#REF!</definedName>
    <definedName name="______________________________________________________ss20">#REF!</definedName>
    <definedName name="______________________________________________________ss40">#REF!</definedName>
    <definedName name="______________________________________________________var1">#REF!</definedName>
    <definedName name="______________________________________________________var4">#REF!</definedName>
    <definedName name="_____________________________________________________bla1">#REF!</definedName>
    <definedName name="_____________________________________________________can430">40.73</definedName>
    <definedName name="_____________________________________________________can435">43.3</definedName>
    <definedName name="_____________________________________________________cur1">#REF!</definedName>
    <definedName name="_____________________________________________________l1">#REF!</definedName>
    <definedName name="_____________________________________________________l12">#REF!</definedName>
    <definedName name="_____________________________________________________l2">#REF!</definedName>
    <definedName name="_____________________________________________________l3">#REF!</definedName>
    <definedName name="_____________________________________________________l4">#REF!</definedName>
    <definedName name="_____________________________________________________l5">#REF!</definedName>
    <definedName name="_____________________________________________________l6">#REF!</definedName>
    <definedName name="_____________________________________________________l7">#REF!</definedName>
    <definedName name="_____________________________________________________l8">#REF!</definedName>
    <definedName name="_____________________________________________________l9">#REF!</definedName>
    <definedName name="_____________________________________________________mm1">#REF!</definedName>
    <definedName name="_____________________________________________________mm11">#REF!</definedName>
    <definedName name="_____________________________________________________mm111">#REF!</definedName>
    <definedName name="_____________________________________________________pc2">#REF!</definedName>
    <definedName name="_____________________________________________________pv2">#REF!</definedName>
    <definedName name="_____________________________________________________rr3">#REF!</definedName>
    <definedName name="_____________________________________________________rrr1">#REF!</definedName>
    <definedName name="_____________________________________________________ss12">#REF!</definedName>
    <definedName name="_____________________________________________________ss20">#REF!</definedName>
    <definedName name="_____________________________________________________ss40">#REF!</definedName>
    <definedName name="_____________________________________________________var1">#REF!</definedName>
    <definedName name="_____________________________________________________var4">#REF!</definedName>
    <definedName name="____________________________________________________bla1">#REF!</definedName>
    <definedName name="____________________________________________________can430">40.73</definedName>
    <definedName name="____________________________________________________can435">43.3</definedName>
    <definedName name="____________________________________________________cur1">#REF!</definedName>
    <definedName name="____________________________________________________l1">#REF!</definedName>
    <definedName name="____________________________________________________l12">#REF!</definedName>
    <definedName name="____________________________________________________l2">#REF!</definedName>
    <definedName name="____________________________________________________l3">#REF!</definedName>
    <definedName name="____________________________________________________l4">#REF!</definedName>
    <definedName name="____________________________________________________l5">#REF!</definedName>
    <definedName name="____________________________________________________l6">#REF!</definedName>
    <definedName name="____________________________________________________l7">#REF!</definedName>
    <definedName name="____________________________________________________l8">#REF!</definedName>
    <definedName name="____________________________________________________l9">#REF!</definedName>
    <definedName name="____________________________________________________mm1">#REF!</definedName>
    <definedName name="____________________________________________________mm11">#REF!</definedName>
    <definedName name="____________________________________________________mm111">#REF!</definedName>
    <definedName name="____________________________________________________pc2">#REF!</definedName>
    <definedName name="____________________________________________________pv2">#REF!</definedName>
    <definedName name="____________________________________________________rr3">#REF!</definedName>
    <definedName name="____________________________________________________rrr1">#REF!</definedName>
    <definedName name="____________________________________________________ss12">#REF!</definedName>
    <definedName name="____________________________________________________ss20">#REF!</definedName>
    <definedName name="____________________________________________________ss40">#REF!</definedName>
    <definedName name="____________________________________________________var1">#REF!</definedName>
    <definedName name="____________________________________________________var4">#REF!</definedName>
    <definedName name="___________________________________________________bla1">#REF!</definedName>
    <definedName name="___________________________________________________can430">40.73</definedName>
    <definedName name="___________________________________________________can435">43.3</definedName>
    <definedName name="___________________________________________________cur1">#REF!</definedName>
    <definedName name="___________________________________________________l1">#REF!</definedName>
    <definedName name="___________________________________________________l12">#REF!</definedName>
    <definedName name="___________________________________________________l2">#REF!</definedName>
    <definedName name="___________________________________________________l3">#REF!</definedName>
    <definedName name="___________________________________________________l4">#REF!</definedName>
    <definedName name="___________________________________________________l5">#REF!</definedName>
    <definedName name="___________________________________________________l6">#REF!</definedName>
    <definedName name="___________________________________________________l7">#REF!</definedName>
    <definedName name="___________________________________________________l8">#REF!</definedName>
    <definedName name="___________________________________________________l9">#REF!</definedName>
    <definedName name="___________________________________________________mm1">#REF!</definedName>
    <definedName name="___________________________________________________mm11">#REF!</definedName>
    <definedName name="___________________________________________________mm111">#REF!</definedName>
    <definedName name="___________________________________________________pc2">#REF!</definedName>
    <definedName name="___________________________________________________pv2">#REF!</definedName>
    <definedName name="___________________________________________________rr3">#REF!</definedName>
    <definedName name="___________________________________________________rrr1">#REF!</definedName>
    <definedName name="___________________________________________________ss12">#REF!</definedName>
    <definedName name="___________________________________________________ss20">#REF!</definedName>
    <definedName name="___________________________________________________ss40">#REF!</definedName>
    <definedName name="___________________________________________________var1">#REF!</definedName>
    <definedName name="___________________________________________________var4">#REF!</definedName>
    <definedName name="__________________________________________________bla1">#REF!</definedName>
    <definedName name="__________________________________________________can430">40.73</definedName>
    <definedName name="__________________________________________________can435">43.3</definedName>
    <definedName name="__________________________________________________cur1">#REF!</definedName>
    <definedName name="__________________________________________________l1">#REF!</definedName>
    <definedName name="__________________________________________________l12">#REF!</definedName>
    <definedName name="__________________________________________________l2">#REF!</definedName>
    <definedName name="__________________________________________________l3">#REF!</definedName>
    <definedName name="__________________________________________________l4">#REF!</definedName>
    <definedName name="__________________________________________________l5">#REF!</definedName>
    <definedName name="__________________________________________________l6">#REF!</definedName>
    <definedName name="__________________________________________________l7">#REF!</definedName>
    <definedName name="__________________________________________________l8">#REF!</definedName>
    <definedName name="__________________________________________________l9">#REF!</definedName>
    <definedName name="__________________________________________________mm1">#REF!</definedName>
    <definedName name="__________________________________________________mm11">#REF!</definedName>
    <definedName name="__________________________________________________mm111">#REF!</definedName>
    <definedName name="__________________________________________________pc2">#REF!</definedName>
    <definedName name="__________________________________________________pv2">#REF!</definedName>
    <definedName name="__________________________________________________rr3">#REF!</definedName>
    <definedName name="__________________________________________________rrr1">#REF!</definedName>
    <definedName name="__________________________________________________ss12">#REF!</definedName>
    <definedName name="__________________________________________________ss20">#REF!</definedName>
    <definedName name="__________________________________________________ss40">#REF!</definedName>
    <definedName name="__________________________________________________var1">#REF!</definedName>
    <definedName name="__________________________________________________var4">#REF!</definedName>
    <definedName name="_________________________________________________bla1">#REF!</definedName>
    <definedName name="_________________________________________________can430">40.73</definedName>
    <definedName name="_________________________________________________can435">43.3</definedName>
    <definedName name="_________________________________________________cur1">#REF!</definedName>
    <definedName name="_________________________________________________l1">#REF!</definedName>
    <definedName name="_________________________________________________l12">#REF!</definedName>
    <definedName name="_________________________________________________l2">#REF!</definedName>
    <definedName name="_________________________________________________l3">#REF!</definedName>
    <definedName name="_________________________________________________l4">#REF!</definedName>
    <definedName name="_________________________________________________l5">#REF!</definedName>
    <definedName name="_________________________________________________l6">#REF!</definedName>
    <definedName name="_________________________________________________l7">#REF!</definedName>
    <definedName name="_________________________________________________l8">#REF!</definedName>
    <definedName name="_________________________________________________l9">#REF!</definedName>
    <definedName name="_________________________________________________mm1">#REF!</definedName>
    <definedName name="_________________________________________________mm11">#REF!</definedName>
    <definedName name="_________________________________________________mm111">#REF!</definedName>
    <definedName name="_________________________________________________pc2">#REF!</definedName>
    <definedName name="_________________________________________________pv2">#REF!</definedName>
    <definedName name="_________________________________________________rr3">#REF!</definedName>
    <definedName name="_________________________________________________rrr1">#REF!</definedName>
    <definedName name="_________________________________________________ss12">#REF!</definedName>
    <definedName name="_________________________________________________ss20">#REF!</definedName>
    <definedName name="_________________________________________________ss40">#REF!</definedName>
    <definedName name="_________________________________________________var1">#REF!</definedName>
    <definedName name="_________________________________________________var4">#REF!</definedName>
    <definedName name="________________________________________________bla1">#REF!</definedName>
    <definedName name="________________________________________________can430">40.73</definedName>
    <definedName name="________________________________________________can435">43.3</definedName>
    <definedName name="________________________________________________cur1">#REF!</definedName>
    <definedName name="________________________________________________knr2">NA()</definedName>
    <definedName name="________________________________________________l1">#REF!</definedName>
    <definedName name="________________________________________________l12">#REF!</definedName>
    <definedName name="________________________________________________l2">#REF!</definedName>
    <definedName name="________________________________________________l3">#REF!</definedName>
    <definedName name="________________________________________________l4">#REF!</definedName>
    <definedName name="________________________________________________l5">#REF!</definedName>
    <definedName name="________________________________________________l6">#REF!</definedName>
    <definedName name="________________________________________________l7">#REF!</definedName>
    <definedName name="________________________________________________l8">#REF!</definedName>
    <definedName name="________________________________________________l9">#REF!</definedName>
    <definedName name="________________________________________________mm1">#REF!</definedName>
    <definedName name="________________________________________________mm11">#REF!</definedName>
    <definedName name="________________________________________________mm111">#REF!</definedName>
    <definedName name="________________________________________________pc2">#REF!</definedName>
    <definedName name="________________________________________________pv2">#REF!</definedName>
    <definedName name="________________________________________________rr3">#REF!</definedName>
    <definedName name="________________________________________________rrr1">#REF!</definedName>
    <definedName name="________________________________________________ss12">#REF!</definedName>
    <definedName name="________________________________________________ss20">#REF!</definedName>
    <definedName name="________________________________________________ss40">#REF!</definedName>
    <definedName name="________________________________________________var1">#REF!</definedName>
    <definedName name="________________________________________________var4">#REF!</definedName>
    <definedName name="_______________________________________________bla1">#REF!</definedName>
    <definedName name="_______________________________________________can430">40.73</definedName>
    <definedName name="_______________________________________________can435">43.3</definedName>
    <definedName name="_______________________________________________cur1">#REF!</definedName>
    <definedName name="_______________________________________________l1">#REF!</definedName>
    <definedName name="_______________________________________________l12">#REF!</definedName>
    <definedName name="_______________________________________________l2">#REF!</definedName>
    <definedName name="_______________________________________________l3">#REF!</definedName>
    <definedName name="_______________________________________________l4">#REF!</definedName>
    <definedName name="_______________________________________________l5">#REF!</definedName>
    <definedName name="_______________________________________________l6">#REF!</definedName>
    <definedName name="_______________________________________________l7">#REF!</definedName>
    <definedName name="_______________________________________________l8">#REF!</definedName>
    <definedName name="_______________________________________________l9">#REF!</definedName>
    <definedName name="_______________________________________________mm1">#REF!</definedName>
    <definedName name="_______________________________________________mm11">#REF!</definedName>
    <definedName name="_______________________________________________mm111">#REF!</definedName>
    <definedName name="_______________________________________________pc2">#REF!</definedName>
    <definedName name="_______________________________________________pv2">#REF!</definedName>
    <definedName name="_______________________________________________rr3">#REF!</definedName>
    <definedName name="_______________________________________________rrr1">#REF!</definedName>
    <definedName name="_______________________________________________ss12">#REF!</definedName>
    <definedName name="_______________________________________________ss20">#REF!</definedName>
    <definedName name="_______________________________________________ss40">#REF!</definedName>
    <definedName name="_______________________________________________var1">#REF!</definedName>
    <definedName name="_______________________________________________var4">#REF!</definedName>
    <definedName name="______________________________________________bla1">#REF!</definedName>
    <definedName name="______________________________________________can430">40.73</definedName>
    <definedName name="______________________________________________can435">43.3</definedName>
    <definedName name="______________________________________________cur1">#REF!</definedName>
    <definedName name="______________________________________________knr2">NA()</definedName>
    <definedName name="______________________________________________l1">#REF!</definedName>
    <definedName name="______________________________________________l12">#REF!</definedName>
    <definedName name="______________________________________________l2">#REF!</definedName>
    <definedName name="______________________________________________l3">#REF!</definedName>
    <definedName name="______________________________________________l4">#REF!</definedName>
    <definedName name="______________________________________________l5">#REF!</definedName>
    <definedName name="______________________________________________l6">#REF!</definedName>
    <definedName name="______________________________________________l7">#REF!</definedName>
    <definedName name="______________________________________________l8">#REF!</definedName>
    <definedName name="______________________________________________l9">#REF!</definedName>
    <definedName name="______________________________________________Met22">NA()</definedName>
    <definedName name="______________________________________________Met45">NA()</definedName>
    <definedName name="______________________________________________MEt55">NA()</definedName>
    <definedName name="______________________________________________Met63">NA()</definedName>
    <definedName name="______________________________________________mm1">#REF!</definedName>
    <definedName name="______________________________________________mm1000">NA()</definedName>
    <definedName name="______________________________________________mm11">#REF!</definedName>
    <definedName name="______________________________________________mm111">#REF!</definedName>
    <definedName name="______________________________________________mm600">NA()</definedName>
    <definedName name="______________________________________________mm800">NA()</definedName>
    <definedName name="______________________________________________pc2">#REF!</definedName>
    <definedName name="______________________________________________pv2">#REF!</definedName>
    <definedName name="______________________________________________rr3">#REF!</definedName>
    <definedName name="______________________________________________rrr1">#REF!</definedName>
    <definedName name="______________________________________________ss12">#REF!</definedName>
    <definedName name="______________________________________________ss20">#REF!</definedName>
    <definedName name="______________________________________________ss40">#REF!</definedName>
    <definedName name="______________________________________________var1">#REF!</definedName>
    <definedName name="______________________________________________var4">#REF!</definedName>
    <definedName name="_____________________________________________bla1">#REF!</definedName>
    <definedName name="_____________________________________________can430">40.73</definedName>
    <definedName name="_____________________________________________can435">43.3</definedName>
    <definedName name="_____________________________________________cur1">#REF!</definedName>
    <definedName name="_____________________________________________knr2">NA()</definedName>
    <definedName name="_____________________________________________l1">#REF!</definedName>
    <definedName name="_____________________________________________l12">#REF!</definedName>
    <definedName name="_____________________________________________l2">#REF!</definedName>
    <definedName name="_____________________________________________l3">#REF!</definedName>
    <definedName name="_____________________________________________l4">#REF!</definedName>
    <definedName name="_____________________________________________l5">#REF!</definedName>
    <definedName name="_____________________________________________l6">#REF!</definedName>
    <definedName name="_____________________________________________l7">#REF!</definedName>
    <definedName name="_____________________________________________l8">#REF!</definedName>
    <definedName name="_____________________________________________l9">#REF!</definedName>
    <definedName name="_____________________________________________mm1">#REF!</definedName>
    <definedName name="_____________________________________________mm11">#REF!</definedName>
    <definedName name="_____________________________________________mm111">#REF!</definedName>
    <definedName name="_____________________________________________pc2">#REF!</definedName>
    <definedName name="_____________________________________________pv2">#REF!</definedName>
    <definedName name="_____________________________________________rr3">#REF!</definedName>
    <definedName name="_____________________________________________rrr1">#REF!</definedName>
    <definedName name="_____________________________________________ss12">#REF!</definedName>
    <definedName name="_____________________________________________ss20">#REF!</definedName>
    <definedName name="_____________________________________________ss40">#REF!</definedName>
    <definedName name="_____________________________________________var1">#REF!</definedName>
    <definedName name="_____________________________________________var4">#REF!</definedName>
    <definedName name="____________________________________________bla1">#REF!</definedName>
    <definedName name="____________________________________________can430">40.73</definedName>
    <definedName name="____________________________________________can435">43.3</definedName>
    <definedName name="____________________________________________cur1">#REF!</definedName>
    <definedName name="____________________________________________knr2">NA()</definedName>
    <definedName name="____________________________________________l1">#REF!</definedName>
    <definedName name="____________________________________________l12">#REF!</definedName>
    <definedName name="____________________________________________l2">#REF!</definedName>
    <definedName name="____________________________________________l3">#REF!</definedName>
    <definedName name="____________________________________________l4">#REF!</definedName>
    <definedName name="____________________________________________l5">#REF!</definedName>
    <definedName name="____________________________________________l6">#REF!</definedName>
    <definedName name="____________________________________________l7">#REF!</definedName>
    <definedName name="____________________________________________l8">#REF!</definedName>
    <definedName name="____________________________________________l9">#REF!</definedName>
    <definedName name="____________________________________________Met22">NA()</definedName>
    <definedName name="____________________________________________Met45">NA()</definedName>
    <definedName name="____________________________________________MEt55">NA()</definedName>
    <definedName name="____________________________________________Met63">NA()</definedName>
    <definedName name="____________________________________________mm1">#REF!</definedName>
    <definedName name="____________________________________________mm1000">NA()</definedName>
    <definedName name="____________________________________________mm11">#REF!</definedName>
    <definedName name="____________________________________________mm111">#REF!</definedName>
    <definedName name="____________________________________________mm600">NA()</definedName>
    <definedName name="____________________________________________mm800">NA()</definedName>
    <definedName name="____________________________________________pc2">#REF!</definedName>
    <definedName name="____________________________________________pv2">#REF!</definedName>
    <definedName name="____________________________________________rr3">#REF!</definedName>
    <definedName name="____________________________________________rrr1">#REF!</definedName>
    <definedName name="____________________________________________ss12">#REF!</definedName>
    <definedName name="____________________________________________ss20">#REF!</definedName>
    <definedName name="____________________________________________ss40">#REF!</definedName>
    <definedName name="____________________________________________var1">#REF!</definedName>
    <definedName name="____________________________________________var4">#REF!</definedName>
    <definedName name="___________________________________________bla1">#REF!</definedName>
    <definedName name="___________________________________________can430">40.73</definedName>
    <definedName name="___________________________________________can435">43.3</definedName>
    <definedName name="___________________________________________cur1">#REF!</definedName>
    <definedName name="___________________________________________knr2">NA()</definedName>
    <definedName name="___________________________________________l1">#REF!</definedName>
    <definedName name="___________________________________________l12">#REF!</definedName>
    <definedName name="___________________________________________l2">#REF!</definedName>
    <definedName name="___________________________________________l3">#REF!</definedName>
    <definedName name="___________________________________________l4">#REF!</definedName>
    <definedName name="___________________________________________l5">#REF!</definedName>
    <definedName name="___________________________________________l6">#REF!</definedName>
    <definedName name="___________________________________________l7">#REF!</definedName>
    <definedName name="___________________________________________l8">#REF!</definedName>
    <definedName name="___________________________________________l9">#REF!</definedName>
    <definedName name="___________________________________________Met22">NA()</definedName>
    <definedName name="___________________________________________Met45">NA()</definedName>
    <definedName name="___________________________________________MEt55">NA()</definedName>
    <definedName name="___________________________________________Met63">NA()</definedName>
    <definedName name="___________________________________________mm1">#REF!</definedName>
    <definedName name="___________________________________________mm1000">NA()</definedName>
    <definedName name="___________________________________________mm11">#REF!</definedName>
    <definedName name="___________________________________________mm111">#REF!</definedName>
    <definedName name="___________________________________________mm600">NA()</definedName>
    <definedName name="___________________________________________mm800">NA()</definedName>
    <definedName name="___________________________________________pc2">#REF!</definedName>
    <definedName name="___________________________________________pv2">#REF!</definedName>
    <definedName name="___________________________________________rr3">#REF!</definedName>
    <definedName name="___________________________________________rrr1">#REF!</definedName>
    <definedName name="___________________________________________ss12">#REF!</definedName>
    <definedName name="___________________________________________ss20">#REF!</definedName>
    <definedName name="___________________________________________ss40">#REF!</definedName>
    <definedName name="___________________________________________var1">#REF!</definedName>
    <definedName name="___________________________________________var4">#REF!</definedName>
    <definedName name="__________________________________________bla1">#REF!</definedName>
    <definedName name="__________________________________________can430">40.73</definedName>
    <definedName name="__________________________________________can435">43.3</definedName>
    <definedName name="__________________________________________cur1">#REF!</definedName>
    <definedName name="__________________________________________l1">#REF!</definedName>
    <definedName name="__________________________________________l12">#REF!</definedName>
    <definedName name="__________________________________________l2">#REF!</definedName>
    <definedName name="__________________________________________l3">#REF!</definedName>
    <definedName name="__________________________________________l4">#REF!</definedName>
    <definedName name="__________________________________________l5">#REF!</definedName>
    <definedName name="__________________________________________l6">#REF!</definedName>
    <definedName name="__________________________________________l7">#REF!</definedName>
    <definedName name="__________________________________________l8">#REF!</definedName>
    <definedName name="__________________________________________l9">#REF!</definedName>
    <definedName name="__________________________________________Met22">NA()</definedName>
    <definedName name="__________________________________________Met45">NA()</definedName>
    <definedName name="__________________________________________MEt55">NA()</definedName>
    <definedName name="__________________________________________Met63">NA()</definedName>
    <definedName name="__________________________________________mm1">#REF!</definedName>
    <definedName name="__________________________________________mm1000">NA()</definedName>
    <definedName name="__________________________________________mm11">#REF!</definedName>
    <definedName name="__________________________________________mm111">#REF!</definedName>
    <definedName name="__________________________________________mm600">NA()</definedName>
    <definedName name="__________________________________________mm800">NA()</definedName>
    <definedName name="__________________________________________pc2">#REF!</definedName>
    <definedName name="__________________________________________pv2">#REF!</definedName>
    <definedName name="__________________________________________rr3">#REF!</definedName>
    <definedName name="__________________________________________rrr1">#REF!</definedName>
    <definedName name="__________________________________________ss12">#REF!</definedName>
    <definedName name="__________________________________________ss20">#REF!</definedName>
    <definedName name="__________________________________________ss40">#REF!</definedName>
    <definedName name="__________________________________________var1">#REF!</definedName>
    <definedName name="__________________________________________var4">#REF!</definedName>
    <definedName name="_________________________________________bla1">#REF!</definedName>
    <definedName name="_________________________________________can430">40.73</definedName>
    <definedName name="_________________________________________can435">43.3</definedName>
    <definedName name="_________________________________________cur1">#REF!</definedName>
    <definedName name="_________________________________________knr2">NA()</definedName>
    <definedName name="_________________________________________l1">#REF!</definedName>
    <definedName name="_________________________________________l12">#REF!</definedName>
    <definedName name="_________________________________________l2">#REF!</definedName>
    <definedName name="_________________________________________l3">#REF!</definedName>
    <definedName name="_________________________________________l4">#REF!</definedName>
    <definedName name="_________________________________________l5">#REF!</definedName>
    <definedName name="_________________________________________l6">#REF!</definedName>
    <definedName name="_________________________________________l7">#REF!</definedName>
    <definedName name="_________________________________________l8">#REF!</definedName>
    <definedName name="_________________________________________l9">#REF!</definedName>
    <definedName name="_________________________________________Met22">NA()</definedName>
    <definedName name="_________________________________________Met45">NA()</definedName>
    <definedName name="_________________________________________MEt55">NA()</definedName>
    <definedName name="_________________________________________Met63">NA()</definedName>
    <definedName name="_________________________________________mm1">#REF!</definedName>
    <definedName name="_________________________________________mm1000">NA()</definedName>
    <definedName name="_________________________________________mm11">#REF!</definedName>
    <definedName name="_________________________________________mm111">#REF!</definedName>
    <definedName name="_________________________________________mm600">NA()</definedName>
    <definedName name="_________________________________________mm800">NA()</definedName>
    <definedName name="_________________________________________pc2">#REF!</definedName>
    <definedName name="_________________________________________pv2">#REF!</definedName>
    <definedName name="_________________________________________rr3">#REF!</definedName>
    <definedName name="_________________________________________rrr1">#REF!</definedName>
    <definedName name="_________________________________________ss12">#REF!</definedName>
    <definedName name="_________________________________________ss20">#REF!</definedName>
    <definedName name="_________________________________________ss40">#REF!</definedName>
    <definedName name="_________________________________________var1">#REF!</definedName>
    <definedName name="_________________________________________var4">#REF!</definedName>
    <definedName name="________________________________________bla1">#REF!</definedName>
    <definedName name="________________________________________can430">40.73</definedName>
    <definedName name="________________________________________can435">43.3</definedName>
    <definedName name="________________________________________cur1">#REF!</definedName>
    <definedName name="________________________________________knr2">#REF!</definedName>
    <definedName name="________________________________________l1">#REF!</definedName>
    <definedName name="________________________________________l12">#REF!</definedName>
    <definedName name="________________________________________l2">#REF!</definedName>
    <definedName name="________________________________________l3">#REF!</definedName>
    <definedName name="________________________________________l4">#REF!</definedName>
    <definedName name="________________________________________l5">#REF!</definedName>
    <definedName name="________________________________________l6">#REF!</definedName>
    <definedName name="________________________________________l7">#REF!</definedName>
    <definedName name="________________________________________l8">#REF!</definedName>
    <definedName name="________________________________________l9">#REF!</definedName>
    <definedName name="________________________________________Met22">NA()</definedName>
    <definedName name="________________________________________Met45">NA()</definedName>
    <definedName name="________________________________________MEt55">NA()</definedName>
    <definedName name="________________________________________Met63">NA()</definedName>
    <definedName name="________________________________________mm1">#REF!</definedName>
    <definedName name="________________________________________mm1000">NA()</definedName>
    <definedName name="________________________________________mm11">#REF!</definedName>
    <definedName name="________________________________________mm111">#REF!</definedName>
    <definedName name="________________________________________mm600">NA()</definedName>
    <definedName name="________________________________________mm800">NA()</definedName>
    <definedName name="________________________________________pc2">#REF!</definedName>
    <definedName name="________________________________________pv2">#REF!</definedName>
    <definedName name="________________________________________rr3">#REF!</definedName>
    <definedName name="________________________________________rrr1">#REF!</definedName>
    <definedName name="________________________________________ss12">#REF!</definedName>
    <definedName name="________________________________________ss20">#REF!</definedName>
    <definedName name="________________________________________ss40">#REF!</definedName>
    <definedName name="________________________________________var1">#REF!</definedName>
    <definedName name="________________________________________var4">#REF!</definedName>
    <definedName name="_______________________________________bla1">#REF!</definedName>
    <definedName name="_______________________________________can430">40.73</definedName>
    <definedName name="_______________________________________can435">43.3</definedName>
    <definedName name="_______________________________________cur1">#REF!</definedName>
    <definedName name="_______________________________________knr2">NA()</definedName>
    <definedName name="_______________________________________l1">#REF!</definedName>
    <definedName name="_______________________________________l12">#REF!</definedName>
    <definedName name="_______________________________________l2">#REF!</definedName>
    <definedName name="_______________________________________l3">#REF!</definedName>
    <definedName name="_______________________________________l4">#REF!</definedName>
    <definedName name="_______________________________________l5">#REF!</definedName>
    <definedName name="_______________________________________l6">#REF!</definedName>
    <definedName name="_______________________________________l7">#REF!</definedName>
    <definedName name="_______________________________________l8">#REF!</definedName>
    <definedName name="_______________________________________l9">#REF!</definedName>
    <definedName name="_______________________________________Met22">NA()</definedName>
    <definedName name="_______________________________________Met45">NA()</definedName>
    <definedName name="_______________________________________MEt55">NA()</definedName>
    <definedName name="_______________________________________Met63">NA()</definedName>
    <definedName name="_______________________________________mm1">#REF!</definedName>
    <definedName name="_______________________________________mm1000">NA()</definedName>
    <definedName name="_______________________________________mm11">#REF!</definedName>
    <definedName name="_______________________________________mm111">#REF!</definedName>
    <definedName name="_______________________________________mm600">NA()</definedName>
    <definedName name="_______________________________________mm800">NA()</definedName>
    <definedName name="_______________________________________pc2">#REF!</definedName>
    <definedName name="_______________________________________pv2">#REF!</definedName>
    <definedName name="_______________________________________rr3">#REF!</definedName>
    <definedName name="_______________________________________rrr1">#REF!</definedName>
    <definedName name="_______________________________________ss12">#REF!</definedName>
    <definedName name="_______________________________________ss20">#REF!</definedName>
    <definedName name="_______________________________________ss40">#REF!</definedName>
    <definedName name="_______________________________________var1">#REF!</definedName>
    <definedName name="_______________________________________var4">#REF!</definedName>
    <definedName name="______________________________________bla1">#REF!</definedName>
    <definedName name="______________________________________can430">40.73</definedName>
    <definedName name="______________________________________can435">43.3</definedName>
    <definedName name="______________________________________cur1">#REF!</definedName>
    <definedName name="______________________________________knr2">#REF!</definedName>
    <definedName name="______________________________________l1">#REF!</definedName>
    <definedName name="______________________________________l12">#REF!</definedName>
    <definedName name="______________________________________l2">#REF!</definedName>
    <definedName name="______________________________________l3">#REF!</definedName>
    <definedName name="______________________________________l4">#REF!</definedName>
    <definedName name="______________________________________l5">#REF!</definedName>
    <definedName name="______________________________________l6">#REF!</definedName>
    <definedName name="______________________________________l7">#REF!</definedName>
    <definedName name="______________________________________l8">#REF!</definedName>
    <definedName name="______________________________________l9">#REF!</definedName>
    <definedName name="______________________________________Met22">NA()</definedName>
    <definedName name="______________________________________Met45">NA()</definedName>
    <definedName name="______________________________________MEt55">NA()</definedName>
    <definedName name="______________________________________Met63">NA()</definedName>
    <definedName name="______________________________________mm1">#REF!</definedName>
    <definedName name="______________________________________mm1000">NA()</definedName>
    <definedName name="______________________________________mm11">#REF!</definedName>
    <definedName name="______________________________________mm111">#REF!</definedName>
    <definedName name="______________________________________mm600">NA()</definedName>
    <definedName name="______________________________________mm800">NA()</definedName>
    <definedName name="______________________________________pc2">#REF!</definedName>
    <definedName name="______________________________________pv2">#REF!</definedName>
    <definedName name="______________________________________rr3">#REF!</definedName>
    <definedName name="______________________________________rrr1">#REF!</definedName>
    <definedName name="______________________________________ss12">#REF!</definedName>
    <definedName name="______________________________________ss20">#REF!</definedName>
    <definedName name="______________________________________ss40">#REF!</definedName>
    <definedName name="______________________________________var1">#REF!</definedName>
    <definedName name="______________________________________var4">#REF!</definedName>
    <definedName name="_____________________________________bla1">#REF!</definedName>
    <definedName name="_____________________________________can430">40.73</definedName>
    <definedName name="_____________________________________can435">43.3</definedName>
    <definedName name="_____________________________________cur1">#REF!</definedName>
    <definedName name="_____________________________________knr2">#REF!</definedName>
    <definedName name="_____________________________________l1">#REF!</definedName>
    <definedName name="_____________________________________l12">#REF!</definedName>
    <definedName name="_____________________________________l2">#REF!</definedName>
    <definedName name="_____________________________________l3">#REF!</definedName>
    <definedName name="_____________________________________l4">#REF!</definedName>
    <definedName name="_____________________________________l5">#REF!</definedName>
    <definedName name="_____________________________________l6">#REF!</definedName>
    <definedName name="_____________________________________l7">#REF!</definedName>
    <definedName name="_____________________________________l8">#REF!</definedName>
    <definedName name="_____________________________________l9">#REF!</definedName>
    <definedName name="_____________________________________Met22">NA()</definedName>
    <definedName name="_____________________________________Met45">NA()</definedName>
    <definedName name="_____________________________________MEt55">NA()</definedName>
    <definedName name="_____________________________________Met63">NA()</definedName>
    <definedName name="_____________________________________mm1">#REF!</definedName>
    <definedName name="_____________________________________mm1000">NA()</definedName>
    <definedName name="_____________________________________mm11">#REF!</definedName>
    <definedName name="_____________________________________mm111">#REF!</definedName>
    <definedName name="_____________________________________mm600">NA()</definedName>
    <definedName name="_____________________________________mm800">NA()</definedName>
    <definedName name="_____________________________________pc2">#REF!</definedName>
    <definedName name="_____________________________________pv2">#REF!</definedName>
    <definedName name="_____________________________________rr3">#REF!</definedName>
    <definedName name="_____________________________________rrr1">#REF!</definedName>
    <definedName name="_____________________________________ss12">#REF!</definedName>
    <definedName name="_____________________________________ss20">#REF!</definedName>
    <definedName name="_____________________________________ss40">#REF!</definedName>
    <definedName name="_____________________________________var1">#REF!</definedName>
    <definedName name="_____________________________________var4">#REF!</definedName>
    <definedName name="____________________________________bla1">#REF!</definedName>
    <definedName name="____________________________________can430">40.73</definedName>
    <definedName name="____________________________________can435">43.3</definedName>
    <definedName name="____________________________________cur1">#REF!</definedName>
    <definedName name="____________________________________knr2">NA()</definedName>
    <definedName name="____________________________________l1">#REF!</definedName>
    <definedName name="____________________________________l12">#REF!</definedName>
    <definedName name="____________________________________l2">#REF!</definedName>
    <definedName name="____________________________________l3">#REF!</definedName>
    <definedName name="____________________________________l4">#REF!</definedName>
    <definedName name="____________________________________l5">#REF!</definedName>
    <definedName name="____________________________________l6">#REF!</definedName>
    <definedName name="____________________________________l7">#REF!</definedName>
    <definedName name="____________________________________l8">#REF!</definedName>
    <definedName name="____________________________________l9">#REF!</definedName>
    <definedName name="____________________________________mm1">#REF!</definedName>
    <definedName name="____________________________________mm11">#REF!</definedName>
    <definedName name="____________________________________mm111">#REF!</definedName>
    <definedName name="____________________________________pc2">#REF!</definedName>
    <definedName name="____________________________________pv2">#REF!</definedName>
    <definedName name="____________________________________rr3">#REF!</definedName>
    <definedName name="____________________________________rrr1">#REF!</definedName>
    <definedName name="____________________________________ss12">#REF!</definedName>
    <definedName name="____________________________________ss20">#REF!</definedName>
    <definedName name="____________________________________ss40">#REF!</definedName>
    <definedName name="____________________________________var1">#REF!</definedName>
    <definedName name="____________________________________var4">#REF!</definedName>
    <definedName name="___________________________________bla1">#REF!</definedName>
    <definedName name="___________________________________can430">40.73</definedName>
    <definedName name="___________________________________can435">43.3</definedName>
    <definedName name="___________________________________cur1">#REF!</definedName>
    <definedName name="___________________________________knr2">#REF!</definedName>
    <definedName name="___________________________________l1">#REF!</definedName>
    <definedName name="___________________________________l12">#REF!</definedName>
    <definedName name="___________________________________l2">#REF!</definedName>
    <definedName name="___________________________________l3">#REF!</definedName>
    <definedName name="___________________________________l4">#REF!</definedName>
    <definedName name="___________________________________l5">#REF!</definedName>
    <definedName name="___________________________________l6">#REF!</definedName>
    <definedName name="___________________________________l7">#REF!</definedName>
    <definedName name="___________________________________l8">#REF!</definedName>
    <definedName name="___________________________________l9">#REF!</definedName>
    <definedName name="___________________________________Met22">NA()</definedName>
    <definedName name="___________________________________Met45">NA()</definedName>
    <definedName name="___________________________________MEt55">NA()</definedName>
    <definedName name="___________________________________Met63">NA()</definedName>
    <definedName name="___________________________________mm1">#REF!</definedName>
    <definedName name="___________________________________mm1000">NA()</definedName>
    <definedName name="___________________________________mm11">#REF!</definedName>
    <definedName name="___________________________________mm111">#REF!</definedName>
    <definedName name="___________________________________mm600">NA()</definedName>
    <definedName name="___________________________________mm800">NA()</definedName>
    <definedName name="___________________________________pc2">#REF!</definedName>
    <definedName name="___________________________________pv2">#REF!</definedName>
    <definedName name="___________________________________rr3">#REF!</definedName>
    <definedName name="___________________________________rrr1">#REF!</definedName>
    <definedName name="___________________________________ss12">#REF!</definedName>
    <definedName name="___________________________________ss20">#REF!</definedName>
    <definedName name="___________________________________ss40">#REF!</definedName>
    <definedName name="___________________________________var1">#REF!</definedName>
    <definedName name="___________________________________var4">#REF!</definedName>
    <definedName name="__________________________________bla1">#REF!</definedName>
    <definedName name="__________________________________can430">40.73</definedName>
    <definedName name="__________________________________can435">43.3</definedName>
    <definedName name="__________________________________cur1">#REF!</definedName>
    <definedName name="__________________________________knr2">NA()</definedName>
    <definedName name="__________________________________l1">#REF!</definedName>
    <definedName name="__________________________________l12">#REF!</definedName>
    <definedName name="__________________________________l2">#REF!</definedName>
    <definedName name="__________________________________l3">#REF!</definedName>
    <definedName name="__________________________________l4">#REF!</definedName>
    <definedName name="__________________________________l5">#REF!</definedName>
    <definedName name="__________________________________l6">#REF!</definedName>
    <definedName name="__________________________________l7">#REF!</definedName>
    <definedName name="__________________________________l8">#REF!</definedName>
    <definedName name="__________________________________l9">#REF!</definedName>
    <definedName name="__________________________________Met22">NA()</definedName>
    <definedName name="__________________________________Met45">NA()</definedName>
    <definedName name="__________________________________MEt55">NA()</definedName>
    <definedName name="__________________________________Met63">NA()</definedName>
    <definedName name="__________________________________mm1">#REF!</definedName>
    <definedName name="__________________________________mm1000">NA()</definedName>
    <definedName name="__________________________________mm11">#REF!</definedName>
    <definedName name="__________________________________mm111">#REF!</definedName>
    <definedName name="__________________________________mm600">NA()</definedName>
    <definedName name="__________________________________mm800">NA()</definedName>
    <definedName name="__________________________________pc2">#REF!</definedName>
    <definedName name="__________________________________pv2">#REF!</definedName>
    <definedName name="__________________________________rr3">#REF!</definedName>
    <definedName name="__________________________________rrr1">#REF!</definedName>
    <definedName name="__________________________________ss12">#REF!</definedName>
    <definedName name="__________________________________ss20">#REF!</definedName>
    <definedName name="__________________________________ss40">#REF!</definedName>
    <definedName name="__________________________________var1">#REF!</definedName>
    <definedName name="__________________________________var4">#REF!</definedName>
    <definedName name="_________________________________bla1">#REF!</definedName>
    <definedName name="_________________________________can430">40.73</definedName>
    <definedName name="_________________________________can435">43.3</definedName>
    <definedName name="_________________________________cur1">#REF!</definedName>
    <definedName name="_________________________________knr2">#REF!</definedName>
    <definedName name="_________________________________l1">#REF!</definedName>
    <definedName name="_________________________________l12">#REF!</definedName>
    <definedName name="_________________________________l2">#REF!</definedName>
    <definedName name="_________________________________l3">#REF!</definedName>
    <definedName name="_________________________________l4">#REF!</definedName>
    <definedName name="_________________________________l5">#REF!</definedName>
    <definedName name="_________________________________l6">#REF!</definedName>
    <definedName name="_________________________________l7">#REF!</definedName>
    <definedName name="_________________________________l8">#REF!</definedName>
    <definedName name="_________________________________l9">#REF!</definedName>
    <definedName name="_________________________________Met22">NA()</definedName>
    <definedName name="_________________________________Met45">NA()</definedName>
    <definedName name="_________________________________MEt55">NA()</definedName>
    <definedName name="_________________________________Met63">NA()</definedName>
    <definedName name="_________________________________mm1">#REF!</definedName>
    <definedName name="_________________________________mm1000">NA()</definedName>
    <definedName name="_________________________________mm11">#REF!</definedName>
    <definedName name="_________________________________mm111">#REF!</definedName>
    <definedName name="_________________________________mm600">NA()</definedName>
    <definedName name="_________________________________mm800">NA()</definedName>
    <definedName name="_________________________________pc2">#REF!</definedName>
    <definedName name="_________________________________pv2">#REF!</definedName>
    <definedName name="_________________________________rr3">#REF!</definedName>
    <definedName name="_________________________________rrr1">#REF!</definedName>
    <definedName name="_________________________________ss12">#REF!</definedName>
    <definedName name="_________________________________ss20">#REF!</definedName>
    <definedName name="_________________________________ss40">#REF!</definedName>
    <definedName name="_________________________________var1">#REF!</definedName>
    <definedName name="_________________________________var4">#REF!</definedName>
    <definedName name="________________________________bla1">#REF!</definedName>
    <definedName name="________________________________BSG100">NA()</definedName>
    <definedName name="________________________________BSG150">NA()</definedName>
    <definedName name="________________________________BSG5">NA()</definedName>
    <definedName name="________________________________BSG75">NA()</definedName>
    <definedName name="________________________________BTC13">NA()</definedName>
    <definedName name="________________________________BTC14">NA()</definedName>
    <definedName name="________________________________BTC15">NA()</definedName>
    <definedName name="________________________________BTC16">NA()</definedName>
    <definedName name="________________________________BTC17">NA()</definedName>
    <definedName name="________________________________BTC18">NA()</definedName>
    <definedName name="________________________________BTC19">NA()</definedName>
    <definedName name="________________________________BTC20">NA()</definedName>
    <definedName name="________________________________BTC21">NA()</definedName>
    <definedName name="________________________________BTC22">NA()</definedName>
    <definedName name="________________________________BTC23">NA()</definedName>
    <definedName name="________________________________BTC24">NA()</definedName>
    <definedName name="________________________________BTR13">NA()</definedName>
    <definedName name="________________________________BTR14">NA()</definedName>
    <definedName name="________________________________BTR15">NA()</definedName>
    <definedName name="________________________________BTR16">NA()</definedName>
    <definedName name="________________________________BTR17">NA()</definedName>
    <definedName name="________________________________BTR18">NA()</definedName>
    <definedName name="________________________________BTR19">NA()</definedName>
    <definedName name="________________________________BTR20">NA()</definedName>
    <definedName name="________________________________BTR21">NA()</definedName>
    <definedName name="________________________________BTR22">NA()</definedName>
    <definedName name="________________________________BTR23">NA()</definedName>
    <definedName name="________________________________BTR24">NA()</definedName>
    <definedName name="________________________________BTS13">NA()</definedName>
    <definedName name="________________________________BTS14">NA()</definedName>
    <definedName name="________________________________BTS15">NA()</definedName>
    <definedName name="________________________________BTS16">NA()</definedName>
    <definedName name="________________________________BTS17">NA()</definedName>
    <definedName name="________________________________BTS18">NA()</definedName>
    <definedName name="________________________________BTS19">NA()</definedName>
    <definedName name="________________________________BTS20">NA()</definedName>
    <definedName name="________________________________BTS21">NA()</definedName>
    <definedName name="________________________________BTS22">NA()</definedName>
    <definedName name="________________________________BTS23">NA()</definedName>
    <definedName name="________________________________BTS24">NA()</definedName>
    <definedName name="________________________________can430">40.73</definedName>
    <definedName name="________________________________can435">43.3</definedName>
    <definedName name="________________________________cur1">#REF!</definedName>
    <definedName name="________________________________GBS113">NA()</definedName>
    <definedName name="________________________________GBS114">NA()</definedName>
    <definedName name="________________________________GBS115">NA()</definedName>
    <definedName name="________________________________GBS116">NA()</definedName>
    <definedName name="________________________________GBS117">NA()</definedName>
    <definedName name="________________________________GBS118">NA()</definedName>
    <definedName name="________________________________GBS119">NA()</definedName>
    <definedName name="________________________________GBS120">NA()</definedName>
    <definedName name="________________________________GBS121">NA()</definedName>
    <definedName name="________________________________GBS122">NA()</definedName>
    <definedName name="________________________________GBS123">NA()</definedName>
    <definedName name="________________________________GBS124">NA()</definedName>
    <definedName name="________________________________GBS213">NA()</definedName>
    <definedName name="________________________________GBS214">NA()</definedName>
    <definedName name="________________________________GBS215">NA()</definedName>
    <definedName name="________________________________GBS216">NA()</definedName>
    <definedName name="________________________________GBS217">NA()</definedName>
    <definedName name="________________________________GBS218">NA()</definedName>
    <definedName name="________________________________GBS219">NA()</definedName>
    <definedName name="________________________________GBS220">NA()</definedName>
    <definedName name="________________________________GBS221">NA()</definedName>
    <definedName name="________________________________GBS222">NA()</definedName>
    <definedName name="________________________________GBS223">NA()</definedName>
    <definedName name="________________________________GBS224">NA()</definedName>
    <definedName name="________________________________knr2">NA()</definedName>
    <definedName name="________________________________l1">#REF!</definedName>
    <definedName name="________________________________l12">#REF!</definedName>
    <definedName name="________________________________l2">#REF!</definedName>
    <definedName name="________________________________l3">#REF!</definedName>
    <definedName name="________________________________l4">#REF!</definedName>
    <definedName name="________________________________l5">#REF!</definedName>
    <definedName name="________________________________l6">#REF!</definedName>
    <definedName name="________________________________l7">#REF!</definedName>
    <definedName name="________________________________l8">#REF!</definedName>
    <definedName name="________________________________l9">#REF!</definedName>
    <definedName name="________________________________Met22">NA()</definedName>
    <definedName name="________________________________Met45">NA()</definedName>
    <definedName name="________________________________MEt55">NA()</definedName>
    <definedName name="________________________________Met63">NA()</definedName>
    <definedName name="________________________________ML213">NA()</definedName>
    <definedName name="________________________________ML214">NA()</definedName>
    <definedName name="________________________________ML215">NA()</definedName>
    <definedName name="________________________________ML216">NA()</definedName>
    <definedName name="________________________________ML217">NA()</definedName>
    <definedName name="________________________________ML218">NA()</definedName>
    <definedName name="________________________________ML219">NA()</definedName>
    <definedName name="________________________________ML220">NA()</definedName>
    <definedName name="________________________________ML221">NA()</definedName>
    <definedName name="________________________________ML222">NA()</definedName>
    <definedName name="________________________________ML223">NA()</definedName>
    <definedName name="________________________________ML224">NA()</definedName>
    <definedName name="________________________________ML313">NA()</definedName>
    <definedName name="________________________________ML314">NA()</definedName>
    <definedName name="________________________________ML315">NA()</definedName>
    <definedName name="________________________________ML316">NA()</definedName>
    <definedName name="________________________________ML317">NA()</definedName>
    <definedName name="________________________________ML318">NA()</definedName>
    <definedName name="________________________________ML319">NA()</definedName>
    <definedName name="________________________________ML320">NA()</definedName>
    <definedName name="________________________________ML321">NA()</definedName>
    <definedName name="________________________________ML322">NA()</definedName>
    <definedName name="________________________________ML323">NA()</definedName>
    <definedName name="________________________________ML324">NA()</definedName>
    <definedName name="________________________________mm1">#REF!</definedName>
    <definedName name="________________________________mm1000">NA()</definedName>
    <definedName name="________________________________mm11">#REF!</definedName>
    <definedName name="________________________________mm111">#REF!</definedName>
    <definedName name="________________________________mm600">NA()</definedName>
    <definedName name="________________________________mm800">NA()</definedName>
    <definedName name="________________________________PC13">NA()</definedName>
    <definedName name="________________________________PC14">NA()</definedName>
    <definedName name="________________________________PC15">NA()</definedName>
    <definedName name="________________________________PC16">NA()</definedName>
    <definedName name="________________________________PC17">NA()</definedName>
    <definedName name="________________________________PC18">NA()</definedName>
    <definedName name="________________________________PC19">NA()</definedName>
    <definedName name="________________________________pc2">#REF!</definedName>
    <definedName name="________________________________PC20">NA()</definedName>
    <definedName name="________________________________PC21">NA()</definedName>
    <definedName name="________________________________PC22">NA()</definedName>
    <definedName name="________________________________PC23">NA()</definedName>
    <definedName name="________________________________PC24">NA()</definedName>
    <definedName name="________________________________pv2">#REF!</definedName>
    <definedName name="________________________________rr3">#REF!</definedName>
    <definedName name="________________________________rrr1">#REF!</definedName>
    <definedName name="________________________________ss12">#REF!</definedName>
    <definedName name="________________________________ss20">#REF!</definedName>
    <definedName name="________________________________ss40">#REF!</definedName>
    <definedName name="________________________________var1">#REF!</definedName>
    <definedName name="________________________________var4">#REF!</definedName>
    <definedName name="_______________________________bla1">#REF!</definedName>
    <definedName name="_______________________________BSG100">NA()</definedName>
    <definedName name="_______________________________BSG150">NA()</definedName>
    <definedName name="_______________________________BSG5">NA()</definedName>
    <definedName name="_______________________________BSG75">NA()</definedName>
    <definedName name="_______________________________BTC13">NA()</definedName>
    <definedName name="_______________________________BTC14">NA()</definedName>
    <definedName name="_______________________________BTC15">NA()</definedName>
    <definedName name="_______________________________BTC16">NA()</definedName>
    <definedName name="_______________________________BTC17">NA()</definedName>
    <definedName name="_______________________________BTC18">NA()</definedName>
    <definedName name="_______________________________BTC19">NA()</definedName>
    <definedName name="_______________________________BTC20">NA()</definedName>
    <definedName name="_______________________________BTC21">NA()</definedName>
    <definedName name="_______________________________BTC22">NA()</definedName>
    <definedName name="_______________________________BTC23">NA()</definedName>
    <definedName name="_______________________________BTC24">NA()</definedName>
    <definedName name="_______________________________BTR13">NA()</definedName>
    <definedName name="_______________________________BTR14">NA()</definedName>
    <definedName name="_______________________________BTR15">NA()</definedName>
    <definedName name="_______________________________BTR16">NA()</definedName>
    <definedName name="_______________________________BTR17">NA()</definedName>
    <definedName name="_______________________________BTR18">NA()</definedName>
    <definedName name="_______________________________BTR19">NA()</definedName>
    <definedName name="_______________________________BTR20">NA()</definedName>
    <definedName name="_______________________________BTR21">NA()</definedName>
    <definedName name="_______________________________BTR22">NA()</definedName>
    <definedName name="_______________________________BTR23">NA()</definedName>
    <definedName name="_______________________________BTR24">NA()</definedName>
    <definedName name="_______________________________BTS13">NA()</definedName>
    <definedName name="_______________________________BTS14">NA()</definedName>
    <definedName name="_______________________________BTS15">NA()</definedName>
    <definedName name="_______________________________BTS16">NA()</definedName>
    <definedName name="_______________________________BTS17">NA()</definedName>
    <definedName name="_______________________________BTS18">NA()</definedName>
    <definedName name="_______________________________BTS19">NA()</definedName>
    <definedName name="_______________________________BTS20">NA()</definedName>
    <definedName name="_______________________________BTS21">NA()</definedName>
    <definedName name="_______________________________BTS22">NA()</definedName>
    <definedName name="_______________________________BTS23">NA()</definedName>
    <definedName name="_______________________________BTS24">NA()</definedName>
    <definedName name="_______________________________can430">40.73</definedName>
    <definedName name="_______________________________can435">43.3</definedName>
    <definedName name="_______________________________cur1">#REF!</definedName>
    <definedName name="_______________________________GBS113">NA()</definedName>
    <definedName name="_______________________________GBS114">NA()</definedName>
    <definedName name="_______________________________GBS115">NA()</definedName>
    <definedName name="_______________________________GBS116">NA()</definedName>
    <definedName name="_______________________________GBS117">NA()</definedName>
    <definedName name="_______________________________GBS118">NA()</definedName>
    <definedName name="_______________________________GBS119">NA()</definedName>
    <definedName name="_______________________________GBS120">NA()</definedName>
    <definedName name="_______________________________GBS121">NA()</definedName>
    <definedName name="_______________________________GBS122">NA()</definedName>
    <definedName name="_______________________________GBS123">NA()</definedName>
    <definedName name="_______________________________GBS124">NA()</definedName>
    <definedName name="_______________________________GBS213">NA()</definedName>
    <definedName name="_______________________________GBS214">NA()</definedName>
    <definedName name="_______________________________GBS215">NA()</definedName>
    <definedName name="_______________________________GBS216">NA()</definedName>
    <definedName name="_______________________________GBS217">NA()</definedName>
    <definedName name="_______________________________GBS218">NA()</definedName>
    <definedName name="_______________________________GBS219">NA()</definedName>
    <definedName name="_______________________________GBS220">NA()</definedName>
    <definedName name="_______________________________GBS221">NA()</definedName>
    <definedName name="_______________________________GBS222">NA()</definedName>
    <definedName name="_______________________________GBS223">NA()</definedName>
    <definedName name="_______________________________GBS224">NA()</definedName>
    <definedName name="_______________________________knr2">#REF!</definedName>
    <definedName name="_______________________________l1">#REF!</definedName>
    <definedName name="_______________________________l12">#REF!</definedName>
    <definedName name="_______________________________l2">#REF!</definedName>
    <definedName name="_______________________________l3">#REF!</definedName>
    <definedName name="_______________________________l4">#REF!</definedName>
    <definedName name="_______________________________l5">#REF!</definedName>
    <definedName name="_______________________________l6">#REF!</definedName>
    <definedName name="_______________________________l7">#REF!</definedName>
    <definedName name="_______________________________l8">#REF!</definedName>
    <definedName name="_______________________________l9">#REF!</definedName>
    <definedName name="_______________________________MA2">NA()</definedName>
    <definedName name="_______________________________Met22">NA()</definedName>
    <definedName name="_______________________________Met45">NA()</definedName>
    <definedName name="_______________________________MEt55">NA()</definedName>
    <definedName name="_______________________________Met63">NA()</definedName>
    <definedName name="_______________________________ML213">NA()</definedName>
    <definedName name="_______________________________ML214">NA()</definedName>
    <definedName name="_______________________________ML215">NA()</definedName>
    <definedName name="_______________________________ML216">NA()</definedName>
    <definedName name="_______________________________ML217">NA()</definedName>
    <definedName name="_______________________________ML218">NA()</definedName>
    <definedName name="_______________________________ML219">NA()</definedName>
    <definedName name="_______________________________ML220">NA()</definedName>
    <definedName name="_______________________________ML221">NA()</definedName>
    <definedName name="_______________________________ML222">NA()</definedName>
    <definedName name="_______________________________ML223">NA()</definedName>
    <definedName name="_______________________________ML224">NA()</definedName>
    <definedName name="_______________________________ML313">NA()</definedName>
    <definedName name="_______________________________ML314">NA()</definedName>
    <definedName name="_______________________________ML315">NA()</definedName>
    <definedName name="_______________________________ML316">NA()</definedName>
    <definedName name="_______________________________ML317">NA()</definedName>
    <definedName name="_______________________________ML318">NA()</definedName>
    <definedName name="_______________________________ML319">NA()</definedName>
    <definedName name="_______________________________ML320">NA()</definedName>
    <definedName name="_______________________________ML321">NA()</definedName>
    <definedName name="_______________________________ML322">NA()</definedName>
    <definedName name="_______________________________ML323">NA()</definedName>
    <definedName name="_______________________________ML324">NA()</definedName>
    <definedName name="_______________________________mm1">#REF!</definedName>
    <definedName name="_______________________________mm1000">NA()</definedName>
    <definedName name="_______________________________mm11">#REF!</definedName>
    <definedName name="_______________________________mm111">#REF!</definedName>
    <definedName name="_______________________________mm600">NA()</definedName>
    <definedName name="_______________________________mm800">NA()</definedName>
    <definedName name="_______________________________PC13">NA()</definedName>
    <definedName name="_______________________________PC14">NA()</definedName>
    <definedName name="_______________________________PC15">NA()</definedName>
    <definedName name="_______________________________PC16">NA()</definedName>
    <definedName name="_______________________________PC17">NA()</definedName>
    <definedName name="_______________________________PC18">NA()</definedName>
    <definedName name="_______________________________PC19">NA()</definedName>
    <definedName name="_______________________________pc2">#REF!</definedName>
    <definedName name="_______________________________PC20">NA()</definedName>
    <definedName name="_______________________________PC21">NA()</definedName>
    <definedName name="_______________________________PC22">NA()</definedName>
    <definedName name="_______________________________PC23">NA()</definedName>
    <definedName name="_______________________________PC24">NA()</definedName>
    <definedName name="_______________________________pv2">#REF!</definedName>
    <definedName name="_______________________________rr3">#REF!</definedName>
    <definedName name="_______________________________rrr1">#REF!</definedName>
    <definedName name="_______________________________ss12">#REF!</definedName>
    <definedName name="_______________________________ss20">#REF!</definedName>
    <definedName name="_______________________________ss40">#REF!</definedName>
    <definedName name="_______________________________var1">#REF!</definedName>
    <definedName name="_______________________________var4">#REF!</definedName>
    <definedName name="______________________________bla1">#REF!</definedName>
    <definedName name="______________________________BSG100">NA()</definedName>
    <definedName name="______________________________BSG150">NA()</definedName>
    <definedName name="______________________________BSG5">NA()</definedName>
    <definedName name="______________________________BSG75">NA()</definedName>
    <definedName name="______________________________BTC13">NA()</definedName>
    <definedName name="______________________________BTC14">NA()</definedName>
    <definedName name="______________________________BTC15">NA()</definedName>
    <definedName name="______________________________BTC16">NA()</definedName>
    <definedName name="______________________________BTC17">NA()</definedName>
    <definedName name="______________________________BTC18">NA()</definedName>
    <definedName name="______________________________BTC19">NA()</definedName>
    <definedName name="______________________________BTC20">NA()</definedName>
    <definedName name="______________________________BTC21">NA()</definedName>
    <definedName name="______________________________BTC22">NA()</definedName>
    <definedName name="______________________________BTC23">NA()</definedName>
    <definedName name="______________________________BTC24">NA()</definedName>
    <definedName name="______________________________BTR13">NA()</definedName>
    <definedName name="______________________________BTR14">NA()</definedName>
    <definedName name="______________________________BTR15">NA()</definedName>
    <definedName name="______________________________BTR16">NA()</definedName>
    <definedName name="______________________________BTR17">NA()</definedName>
    <definedName name="______________________________BTR18">NA()</definedName>
    <definedName name="______________________________BTR19">NA()</definedName>
    <definedName name="______________________________BTR20">NA()</definedName>
    <definedName name="______________________________BTR21">NA()</definedName>
    <definedName name="______________________________BTR22">NA()</definedName>
    <definedName name="______________________________BTR23">NA()</definedName>
    <definedName name="______________________________BTR24">NA()</definedName>
    <definedName name="______________________________BTS13">NA()</definedName>
    <definedName name="______________________________BTS14">NA()</definedName>
    <definedName name="______________________________BTS15">NA()</definedName>
    <definedName name="______________________________BTS16">NA()</definedName>
    <definedName name="______________________________BTS17">NA()</definedName>
    <definedName name="______________________________BTS18">NA()</definedName>
    <definedName name="______________________________BTS19">NA()</definedName>
    <definedName name="______________________________BTS20">NA()</definedName>
    <definedName name="______________________________BTS21">NA()</definedName>
    <definedName name="______________________________BTS22">NA()</definedName>
    <definedName name="______________________________BTS23">NA()</definedName>
    <definedName name="______________________________BTS24">NA()</definedName>
    <definedName name="______________________________can430">40.73</definedName>
    <definedName name="______________________________can435">43.3</definedName>
    <definedName name="______________________________cur1">#REF!</definedName>
    <definedName name="______________________________GBS113">NA()</definedName>
    <definedName name="______________________________GBS114">NA()</definedName>
    <definedName name="______________________________GBS115">NA()</definedName>
    <definedName name="______________________________GBS116">NA()</definedName>
    <definedName name="______________________________GBS117">NA()</definedName>
    <definedName name="______________________________GBS118">NA()</definedName>
    <definedName name="______________________________GBS119">NA()</definedName>
    <definedName name="______________________________GBS120">NA()</definedName>
    <definedName name="______________________________GBS121">NA()</definedName>
    <definedName name="______________________________GBS122">NA()</definedName>
    <definedName name="______________________________GBS123">NA()</definedName>
    <definedName name="______________________________GBS124">NA()</definedName>
    <definedName name="______________________________GBS213">NA()</definedName>
    <definedName name="______________________________GBS214">NA()</definedName>
    <definedName name="______________________________GBS215">NA()</definedName>
    <definedName name="______________________________GBS216">NA()</definedName>
    <definedName name="______________________________GBS217">NA()</definedName>
    <definedName name="______________________________GBS218">NA()</definedName>
    <definedName name="______________________________GBS219">NA()</definedName>
    <definedName name="______________________________GBS220">NA()</definedName>
    <definedName name="______________________________GBS221">NA()</definedName>
    <definedName name="______________________________GBS222">NA()</definedName>
    <definedName name="______________________________GBS223">NA()</definedName>
    <definedName name="______________________________GBS224">NA()</definedName>
    <definedName name="______________________________knr2">#REF!</definedName>
    <definedName name="______________________________l1">#REF!</definedName>
    <definedName name="______________________________l12">#REF!</definedName>
    <definedName name="______________________________l2">#REF!</definedName>
    <definedName name="______________________________l3">#REF!</definedName>
    <definedName name="______________________________l4">#REF!</definedName>
    <definedName name="______________________________l5">#REF!</definedName>
    <definedName name="______________________________l6">#REF!</definedName>
    <definedName name="______________________________l7">#REF!</definedName>
    <definedName name="______________________________l8">#REF!</definedName>
    <definedName name="______________________________l9">#REF!</definedName>
    <definedName name="______________________________MA1">NA()</definedName>
    <definedName name="______________________________MA2">NA()</definedName>
    <definedName name="______________________________Met22">NA()</definedName>
    <definedName name="______________________________Met45">NA()</definedName>
    <definedName name="______________________________MEt55">NA()</definedName>
    <definedName name="______________________________Met63">NA()</definedName>
    <definedName name="______________________________ML213">NA()</definedName>
    <definedName name="______________________________ML214">NA()</definedName>
    <definedName name="______________________________ML215">NA()</definedName>
    <definedName name="______________________________ML216">NA()</definedName>
    <definedName name="______________________________ML217">NA()</definedName>
    <definedName name="______________________________ML218">NA()</definedName>
    <definedName name="______________________________ML219">NA()</definedName>
    <definedName name="______________________________ML220">NA()</definedName>
    <definedName name="______________________________ML221">NA()</definedName>
    <definedName name="______________________________ML222">NA()</definedName>
    <definedName name="______________________________ML223">NA()</definedName>
    <definedName name="______________________________ML224">NA()</definedName>
    <definedName name="______________________________ML313">NA()</definedName>
    <definedName name="______________________________ML314">NA()</definedName>
    <definedName name="______________________________ML315">NA()</definedName>
    <definedName name="______________________________ML316">NA()</definedName>
    <definedName name="______________________________ML317">NA()</definedName>
    <definedName name="______________________________ML318">NA()</definedName>
    <definedName name="______________________________ML319">NA()</definedName>
    <definedName name="______________________________ML320">NA()</definedName>
    <definedName name="______________________________ML321">NA()</definedName>
    <definedName name="______________________________ML322">NA()</definedName>
    <definedName name="______________________________ML323">NA()</definedName>
    <definedName name="______________________________ML324">NA()</definedName>
    <definedName name="______________________________mm1">#REF!</definedName>
    <definedName name="______________________________mm1000">NA()</definedName>
    <definedName name="______________________________mm11">#REF!</definedName>
    <definedName name="______________________________mm111">#REF!</definedName>
    <definedName name="______________________________mm600">NA()</definedName>
    <definedName name="______________________________mm800">NA()</definedName>
    <definedName name="______________________________PC13">NA()</definedName>
    <definedName name="______________________________PC14">NA()</definedName>
    <definedName name="______________________________PC15">NA()</definedName>
    <definedName name="______________________________PC16">NA()</definedName>
    <definedName name="______________________________PC17">NA()</definedName>
    <definedName name="______________________________PC18">NA()</definedName>
    <definedName name="______________________________PC19">NA()</definedName>
    <definedName name="______________________________pc2">#REF!</definedName>
    <definedName name="______________________________PC20">NA()</definedName>
    <definedName name="______________________________PC21">NA()</definedName>
    <definedName name="______________________________PC22">NA()</definedName>
    <definedName name="______________________________PC23">NA()</definedName>
    <definedName name="______________________________PC24">NA()</definedName>
    <definedName name="______________________________pv2">#REF!</definedName>
    <definedName name="______________________________rr3">#REF!</definedName>
    <definedName name="______________________________rrr1">#REF!</definedName>
    <definedName name="______________________________ss12">#REF!</definedName>
    <definedName name="______________________________ss20">#REF!</definedName>
    <definedName name="______________________________ss40">#REF!</definedName>
    <definedName name="______________________________var1">#REF!</definedName>
    <definedName name="______________________________var4">#REF!</definedName>
    <definedName name="_____________________________bla1">#REF!</definedName>
    <definedName name="_____________________________BSG100">NA()</definedName>
    <definedName name="_____________________________BSG150">NA()</definedName>
    <definedName name="_____________________________BSG5">NA()</definedName>
    <definedName name="_____________________________BSG75">NA()</definedName>
    <definedName name="_____________________________BTC13">NA()</definedName>
    <definedName name="_____________________________BTC14">NA()</definedName>
    <definedName name="_____________________________BTC15">NA()</definedName>
    <definedName name="_____________________________BTC16">NA()</definedName>
    <definedName name="_____________________________BTC17">NA()</definedName>
    <definedName name="_____________________________BTC18">NA()</definedName>
    <definedName name="_____________________________BTC19">NA()</definedName>
    <definedName name="_____________________________BTC20">NA()</definedName>
    <definedName name="_____________________________BTC21">NA()</definedName>
    <definedName name="_____________________________BTC22">NA()</definedName>
    <definedName name="_____________________________BTC23">NA()</definedName>
    <definedName name="_____________________________BTC24">NA()</definedName>
    <definedName name="_____________________________BTR13">NA()</definedName>
    <definedName name="_____________________________BTR14">NA()</definedName>
    <definedName name="_____________________________BTR15">NA()</definedName>
    <definedName name="_____________________________BTR16">NA()</definedName>
    <definedName name="_____________________________BTR17">NA()</definedName>
    <definedName name="_____________________________BTR18">NA()</definedName>
    <definedName name="_____________________________BTR19">NA()</definedName>
    <definedName name="_____________________________BTR20">NA()</definedName>
    <definedName name="_____________________________BTR21">NA()</definedName>
    <definedName name="_____________________________BTR22">NA()</definedName>
    <definedName name="_____________________________BTR23">NA()</definedName>
    <definedName name="_____________________________BTR24">NA()</definedName>
    <definedName name="_____________________________BTS13">NA()</definedName>
    <definedName name="_____________________________BTS14">NA()</definedName>
    <definedName name="_____________________________BTS15">NA()</definedName>
    <definedName name="_____________________________BTS16">NA()</definedName>
    <definedName name="_____________________________BTS17">NA()</definedName>
    <definedName name="_____________________________BTS18">NA()</definedName>
    <definedName name="_____________________________BTS19">NA()</definedName>
    <definedName name="_____________________________BTS20">NA()</definedName>
    <definedName name="_____________________________BTS21">NA()</definedName>
    <definedName name="_____________________________BTS22">NA()</definedName>
    <definedName name="_____________________________BTS23">NA()</definedName>
    <definedName name="_____________________________BTS24">NA()</definedName>
    <definedName name="_____________________________can430">40.73</definedName>
    <definedName name="_____________________________can435">43.3</definedName>
    <definedName name="_____________________________cur1">#REF!</definedName>
    <definedName name="_____________________________GBS113">NA()</definedName>
    <definedName name="_____________________________GBS114">NA()</definedName>
    <definedName name="_____________________________GBS115">NA()</definedName>
    <definedName name="_____________________________GBS116">NA()</definedName>
    <definedName name="_____________________________GBS117">NA()</definedName>
    <definedName name="_____________________________GBS118">NA()</definedName>
    <definedName name="_____________________________GBS119">NA()</definedName>
    <definedName name="_____________________________GBS120">NA()</definedName>
    <definedName name="_____________________________GBS121">NA()</definedName>
    <definedName name="_____________________________GBS122">NA()</definedName>
    <definedName name="_____________________________GBS123">NA()</definedName>
    <definedName name="_____________________________GBS124">NA()</definedName>
    <definedName name="_____________________________GBS213">NA()</definedName>
    <definedName name="_____________________________GBS214">NA()</definedName>
    <definedName name="_____________________________GBS215">NA()</definedName>
    <definedName name="_____________________________GBS216">NA()</definedName>
    <definedName name="_____________________________GBS217">NA()</definedName>
    <definedName name="_____________________________GBS218">NA()</definedName>
    <definedName name="_____________________________GBS219">NA()</definedName>
    <definedName name="_____________________________GBS220">NA()</definedName>
    <definedName name="_____________________________GBS221">NA()</definedName>
    <definedName name="_____________________________GBS222">NA()</definedName>
    <definedName name="_____________________________GBS223">NA()</definedName>
    <definedName name="_____________________________GBS224">NA()</definedName>
    <definedName name="_____________________________knr2">#REF!</definedName>
    <definedName name="_____________________________l1">#REF!</definedName>
    <definedName name="_____________________________l12">#REF!</definedName>
    <definedName name="_____________________________l2">#REF!</definedName>
    <definedName name="_____________________________l3">#REF!</definedName>
    <definedName name="_____________________________l4">#REF!</definedName>
    <definedName name="_____________________________l5">#REF!</definedName>
    <definedName name="_____________________________l6">#REF!</definedName>
    <definedName name="_____________________________l7">#REF!</definedName>
    <definedName name="_____________________________l8">#REF!</definedName>
    <definedName name="_____________________________l9">#REF!</definedName>
    <definedName name="_____________________________MA1">NA()</definedName>
    <definedName name="_____________________________MA2">NA()</definedName>
    <definedName name="_____________________________Met22">NA()</definedName>
    <definedName name="_____________________________Met45">NA()</definedName>
    <definedName name="_____________________________MEt55">NA()</definedName>
    <definedName name="_____________________________Met63">NA()</definedName>
    <definedName name="_____________________________ML213">NA()</definedName>
    <definedName name="_____________________________ML214">NA()</definedName>
    <definedName name="_____________________________ML215">NA()</definedName>
    <definedName name="_____________________________ML216">NA()</definedName>
    <definedName name="_____________________________ML217">NA()</definedName>
    <definedName name="_____________________________ML218">NA()</definedName>
    <definedName name="_____________________________ML219">NA()</definedName>
    <definedName name="_____________________________ML220">NA()</definedName>
    <definedName name="_____________________________ML221">NA()</definedName>
    <definedName name="_____________________________ML222">NA()</definedName>
    <definedName name="_____________________________ML223">NA()</definedName>
    <definedName name="_____________________________ML224">NA()</definedName>
    <definedName name="_____________________________ML313">NA()</definedName>
    <definedName name="_____________________________ML314">NA()</definedName>
    <definedName name="_____________________________ML315">NA()</definedName>
    <definedName name="_____________________________ML316">NA()</definedName>
    <definedName name="_____________________________ML317">NA()</definedName>
    <definedName name="_____________________________ML318">NA()</definedName>
    <definedName name="_____________________________ML319">NA()</definedName>
    <definedName name="_____________________________ML320">NA()</definedName>
    <definedName name="_____________________________ML321">NA()</definedName>
    <definedName name="_____________________________ML322">NA()</definedName>
    <definedName name="_____________________________ML323">NA()</definedName>
    <definedName name="_____________________________ML324">NA()</definedName>
    <definedName name="_____________________________mm1">#REF!</definedName>
    <definedName name="_____________________________mm1000">NA()</definedName>
    <definedName name="_____________________________mm11">#REF!</definedName>
    <definedName name="_____________________________mm111">#REF!</definedName>
    <definedName name="_____________________________mm600">NA()</definedName>
    <definedName name="_____________________________mm800">NA()</definedName>
    <definedName name="_____________________________PC13">NA()</definedName>
    <definedName name="_____________________________PC14">NA()</definedName>
    <definedName name="_____________________________PC15">NA()</definedName>
    <definedName name="_____________________________PC16">NA()</definedName>
    <definedName name="_____________________________PC17">NA()</definedName>
    <definedName name="_____________________________PC18">NA()</definedName>
    <definedName name="_____________________________PC19">NA()</definedName>
    <definedName name="_____________________________pc2">#REF!</definedName>
    <definedName name="_____________________________PC20">NA()</definedName>
    <definedName name="_____________________________PC21">NA()</definedName>
    <definedName name="_____________________________PC22">NA()</definedName>
    <definedName name="_____________________________PC23">NA()</definedName>
    <definedName name="_____________________________PC24">NA()</definedName>
    <definedName name="_____________________________pv2">#REF!</definedName>
    <definedName name="_____________________________rr3">#REF!</definedName>
    <definedName name="_____________________________rrr1">#REF!</definedName>
    <definedName name="_____________________________ss12">#REF!</definedName>
    <definedName name="_____________________________ss20">#REF!</definedName>
    <definedName name="_____________________________ss40">#REF!</definedName>
    <definedName name="_____________________________var1">#REF!</definedName>
    <definedName name="_____________________________var4">#REF!</definedName>
    <definedName name="____________________________bla1">#REF!</definedName>
    <definedName name="____________________________BSG100">NA()</definedName>
    <definedName name="____________________________BSG150">NA()</definedName>
    <definedName name="____________________________BSG5">NA()</definedName>
    <definedName name="____________________________BSG75">NA()</definedName>
    <definedName name="____________________________BTC1">NA()</definedName>
    <definedName name="____________________________BTC10">NA()</definedName>
    <definedName name="____________________________BTC11">NA()</definedName>
    <definedName name="____________________________BTC12">NA()</definedName>
    <definedName name="____________________________BTC13">NA()</definedName>
    <definedName name="____________________________BTC14">NA()</definedName>
    <definedName name="____________________________BTC15">NA()</definedName>
    <definedName name="____________________________BTC16">NA()</definedName>
    <definedName name="____________________________BTC17">NA()</definedName>
    <definedName name="____________________________BTC18">NA()</definedName>
    <definedName name="____________________________BTC19">NA()</definedName>
    <definedName name="____________________________BTC2">NA()</definedName>
    <definedName name="____________________________BTC20">NA()</definedName>
    <definedName name="____________________________BTC21">NA()</definedName>
    <definedName name="____________________________BTC22">NA()</definedName>
    <definedName name="____________________________BTC23">NA()</definedName>
    <definedName name="____________________________BTC24">NA()</definedName>
    <definedName name="____________________________BTC3">NA()</definedName>
    <definedName name="____________________________BTC4">NA()</definedName>
    <definedName name="____________________________BTC5">NA()</definedName>
    <definedName name="____________________________BTC6">NA()</definedName>
    <definedName name="____________________________BTC7">NA()</definedName>
    <definedName name="____________________________BTC8">NA()</definedName>
    <definedName name="____________________________BTC9">NA()</definedName>
    <definedName name="____________________________BTR1">NA()</definedName>
    <definedName name="____________________________BTR10">NA()</definedName>
    <definedName name="____________________________BTR11">NA()</definedName>
    <definedName name="____________________________BTR12">NA()</definedName>
    <definedName name="____________________________BTR13">NA()</definedName>
    <definedName name="____________________________BTR14">NA()</definedName>
    <definedName name="____________________________BTR15">NA()</definedName>
    <definedName name="____________________________BTR16">NA()</definedName>
    <definedName name="____________________________BTR17">NA()</definedName>
    <definedName name="____________________________BTR18">NA()</definedName>
    <definedName name="____________________________BTR19">NA()</definedName>
    <definedName name="____________________________BTR2">NA()</definedName>
    <definedName name="____________________________BTR20">NA()</definedName>
    <definedName name="____________________________BTR21">NA()</definedName>
    <definedName name="____________________________BTR22">NA()</definedName>
    <definedName name="____________________________BTR23">NA()</definedName>
    <definedName name="____________________________BTR24">NA()</definedName>
    <definedName name="____________________________BTR3">NA()</definedName>
    <definedName name="____________________________BTR4">NA()</definedName>
    <definedName name="____________________________BTR5">NA()</definedName>
    <definedName name="____________________________BTR6">NA()</definedName>
    <definedName name="____________________________BTR7">NA()</definedName>
    <definedName name="____________________________BTR8">NA()</definedName>
    <definedName name="____________________________BTR9">NA()</definedName>
    <definedName name="____________________________BTS1">NA()</definedName>
    <definedName name="____________________________BTS10">NA()</definedName>
    <definedName name="____________________________BTS11">NA()</definedName>
    <definedName name="____________________________BTS12">NA()</definedName>
    <definedName name="____________________________BTS13">NA()</definedName>
    <definedName name="____________________________BTS14">NA()</definedName>
    <definedName name="____________________________BTS15">NA()</definedName>
    <definedName name="____________________________BTS16">NA()</definedName>
    <definedName name="____________________________BTS17">NA()</definedName>
    <definedName name="____________________________BTS18">NA()</definedName>
    <definedName name="____________________________BTS19">NA()</definedName>
    <definedName name="____________________________BTS2">NA()</definedName>
    <definedName name="____________________________BTS20">NA()</definedName>
    <definedName name="____________________________BTS21">NA()</definedName>
    <definedName name="____________________________BTS22">NA()</definedName>
    <definedName name="____________________________BTS23">NA()</definedName>
    <definedName name="____________________________BTS24">NA()</definedName>
    <definedName name="____________________________BTS3">NA()</definedName>
    <definedName name="____________________________BTS4">NA()</definedName>
    <definedName name="____________________________BTS5">NA()</definedName>
    <definedName name="____________________________BTS6">NA()</definedName>
    <definedName name="____________________________BTS7">NA()</definedName>
    <definedName name="____________________________BTS8">NA()</definedName>
    <definedName name="____________________________BTS9">NA()</definedName>
    <definedName name="____________________________can430">40.73</definedName>
    <definedName name="____________________________can435">43.3</definedName>
    <definedName name="____________________________cur1">#REF!</definedName>
    <definedName name="____________________________GBS11">NA()</definedName>
    <definedName name="____________________________GBS110">NA()</definedName>
    <definedName name="____________________________GBS111">NA()</definedName>
    <definedName name="____________________________GBS112">NA()</definedName>
    <definedName name="____________________________GBS113">NA()</definedName>
    <definedName name="____________________________GBS114">NA()</definedName>
    <definedName name="____________________________GBS115">NA()</definedName>
    <definedName name="____________________________GBS116">NA()</definedName>
    <definedName name="____________________________GBS117">NA()</definedName>
    <definedName name="____________________________GBS118">NA()</definedName>
    <definedName name="____________________________GBS119">NA()</definedName>
    <definedName name="____________________________GBS12">NA()</definedName>
    <definedName name="____________________________GBS120">NA()</definedName>
    <definedName name="____________________________GBS121">NA()</definedName>
    <definedName name="____________________________GBS122">NA()</definedName>
    <definedName name="____________________________GBS123">NA()</definedName>
    <definedName name="____________________________GBS124">NA()</definedName>
    <definedName name="____________________________GBS13">NA()</definedName>
    <definedName name="____________________________GBS14">NA()</definedName>
    <definedName name="____________________________GBS15">NA()</definedName>
    <definedName name="____________________________GBS16">NA()</definedName>
    <definedName name="____________________________GBS17">NA()</definedName>
    <definedName name="____________________________GBS18">NA()</definedName>
    <definedName name="____________________________GBS19">NA()</definedName>
    <definedName name="____________________________GBS21">NA()</definedName>
    <definedName name="____________________________GBS210">NA()</definedName>
    <definedName name="____________________________GBS211">NA()</definedName>
    <definedName name="____________________________GBS212">NA()</definedName>
    <definedName name="____________________________GBS213">NA()</definedName>
    <definedName name="____________________________GBS214">NA()</definedName>
    <definedName name="____________________________GBS215">NA()</definedName>
    <definedName name="____________________________GBS216">NA()</definedName>
    <definedName name="____________________________GBS217">NA()</definedName>
    <definedName name="____________________________GBS218">NA()</definedName>
    <definedName name="____________________________GBS219">NA()</definedName>
    <definedName name="____________________________GBS22">NA()</definedName>
    <definedName name="____________________________GBS220">NA()</definedName>
    <definedName name="____________________________GBS221">NA()</definedName>
    <definedName name="____________________________GBS222">NA()</definedName>
    <definedName name="____________________________GBS223">NA()</definedName>
    <definedName name="____________________________GBS224">NA()</definedName>
    <definedName name="____________________________GBS23">NA()</definedName>
    <definedName name="____________________________GBS24">NA()</definedName>
    <definedName name="____________________________GBS25">NA()</definedName>
    <definedName name="____________________________GBS26">NA()</definedName>
    <definedName name="____________________________GBS27">NA()</definedName>
    <definedName name="____________________________GBS28">NA()</definedName>
    <definedName name="____________________________GBS29">NA()</definedName>
    <definedName name="____________________________knr2">#REF!</definedName>
    <definedName name="____________________________l1">#REF!</definedName>
    <definedName name="____________________________l12">#REF!</definedName>
    <definedName name="____________________________l2">#REF!</definedName>
    <definedName name="____________________________l3">#REF!</definedName>
    <definedName name="____________________________l4">#REF!</definedName>
    <definedName name="____________________________l5">#REF!</definedName>
    <definedName name="____________________________l6">#REF!</definedName>
    <definedName name="____________________________l7">#REF!</definedName>
    <definedName name="____________________________l8">#REF!</definedName>
    <definedName name="____________________________l9">#REF!</definedName>
    <definedName name="____________________________lj600">NA()</definedName>
    <definedName name="____________________________lj900">NA()</definedName>
    <definedName name="____________________________LL3">NA()</definedName>
    <definedName name="____________________________MA1">NA()</definedName>
    <definedName name="____________________________MA2">NA()</definedName>
    <definedName name="____________________________Met22">NA()</definedName>
    <definedName name="____________________________Met45">NA()</definedName>
    <definedName name="____________________________MEt55">NA()</definedName>
    <definedName name="____________________________Met63">NA()</definedName>
    <definedName name="____________________________ML21">NA()</definedName>
    <definedName name="____________________________ML210">NA()</definedName>
    <definedName name="____________________________ML211">NA()</definedName>
    <definedName name="____________________________ML212">NA()</definedName>
    <definedName name="____________________________ML213">NA()</definedName>
    <definedName name="____________________________ML214">NA()</definedName>
    <definedName name="____________________________ML215">NA()</definedName>
    <definedName name="____________________________ML216">NA()</definedName>
    <definedName name="____________________________ML217">NA()</definedName>
    <definedName name="____________________________ML218">NA()</definedName>
    <definedName name="____________________________ML219">NA()</definedName>
    <definedName name="____________________________ML22">NA()</definedName>
    <definedName name="____________________________ML220">NA()</definedName>
    <definedName name="____________________________ML221">NA()</definedName>
    <definedName name="____________________________ML222">NA()</definedName>
    <definedName name="____________________________ML223">NA()</definedName>
    <definedName name="____________________________ML224">NA()</definedName>
    <definedName name="____________________________ML23">NA()</definedName>
    <definedName name="____________________________ML24">NA()</definedName>
    <definedName name="____________________________ML25">NA()</definedName>
    <definedName name="____________________________ML26">NA()</definedName>
    <definedName name="____________________________ML27">NA()</definedName>
    <definedName name="____________________________ML28">NA()</definedName>
    <definedName name="____________________________ML29">NA()</definedName>
    <definedName name="____________________________ML31">NA()</definedName>
    <definedName name="____________________________ML310">NA()</definedName>
    <definedName name="____________________________ML311">NA()</definedName>
    <definedName name="____________________________ML312">NA()</definedName>
    <definedName name="____________________________ML313">NA()</definedName>
    <definedName name="____________________________ML314">NA()</definedName>
    <definedName name="____________________________ML315">NA()</definedName>
    <definedName name="____________________________ML316">NA()</definedName>
    <definedName name="____________________________ML317">NA()</definedName>
    <definedName name="____________________________ML318">NA()</definedName>
    <definedName name="____________________________ML319">NA()</definedName>
    <definedName name="____________________________ML32">NA()</definedName>
    <definedName name="____________________________ML320">NA()</definedName>
    <definedName name="____________________________ML321">NA()</definedName>
    <definedName name="____________________________ML322">NA()</definedName>
    <definedName name="____________________________ML323">NA()</definedName>
    <definedName name="____________________________ML324">NA()</definedName>
    <definedName name="____________________________ML33">NA()</definedName>
    <definedName name="____________________________ML34">NA()</definedName>
    <definedName name="____________________________ML35">NA()</definedName>
    <definedName name="____________________________ML36">NA()</definedName>
    <definedName name="____________________________ML37">NA()</definedName>
    <definedName name="____________________________ML38">NA()</definedName>
    <definedName name="____________________________ML39">NA()</definedName>
    <definedName name="____________________________ML7">NA()</definedName>
    <definedName name="____________________________ML8">NA()</definedName>
    <definedName name="____________________________ML9">NA()</definedName>
    <definedName name="____________________________mm1">#REF!</definedName>
    <definedName name="____________________________mm1000">NA()</definedName>
    <definedName name="____________________________mm11">#REF!</definedName>
    <definedName name="____________________________mm111">#REF!</definedName>
    <definedName name="____________________________mm600">NA()</definedName>
    <definedName name="____________________________mm800">NA()</definedName>
    <definedName name="____________________________PC1">NA()</definedName>
    <definedName name="____________________________PC10">NA()</definedName>
    <definedName name="____________________________PC11">NA()</definedName>
    <definedName name="____________________________PC12">NA()</definedName>
    <definedName name="____________________________PC13">NA()</definedName>
    <definedName name="____________________________PC14">NA()</definedName>
    <definedName name="____________________________PC15">NA()</definedName>
    <definedName name="____________________________PC16">NA()</definedName>
    <definedName name="____________________________PC17">NA()</definedName>
    <definedName name="____________________________PC18">NA()</definedName>
    <definedName name="____________________________PC19">NA()</definedName>
    <definedName name="____________________________pc2">#REF!</definedName>
    <definedName name="____________________________PC20">NA()</definedName>
    <definedName name="____________________________PC21">NA()</definedName>
    <definedName name="____________________________PC22">NA()</definedName>
    <definedName name="____________________________PC23">NA()</definedName>
    <definedName name="____________________________PC24">NA()</definedName>
    <definedName name="____________________________PC3">NA()</definedName>
    <definedName name="____________________________PC4">NA()</definedName>
    <definedName name="____________________________PC5">NA()</definedName>
    <definedName name="____________________________PC6">NA()</definedName>
    <definedName name="____________________________pc600">NA()</definedName>
    <definedName name="____________________________PC7">NA()</definedName>
    <definedName name="____________________________PC8">NA()</definedName>
    <definedName name="____________________________PC9">NA()</definedName>
    <definedName name="____________________________pc900">NA()</definedName>
    <definedName name="____________________________pv2">#REF!</definedName>
    <definedName name="____________________________rr3">#REF!</definedName>
    <definedName name="____________________________rrr1">#REF!</definedName>
    <definedName name="____________________________ss12">#REF!</definedName>
    <definedName name="____________________________ss20">#REF!</definedName>
    <definedName name="____________________________ss40">#REF!</definedName>
    <definedName name="____________________________var1">#REF!</definedName>
    <definedName name="____________________________var4">#REF!</definedName>
    <definedName name="____________________________vat1">NA()</definedName>
    <definedName name="___________________________bla1">#REF!</definedName>
    <definedName name="___________________________BSG100">#REF!</definedName>
    <definedName name="___________________________BSG150">#REF!</definedName>
    <definedName name="___________________________BSG5">#REF!</definedName>
    <definedName name="___________________________BSG75">#REF!</definedName>
    <definedName name="___________________________BTC1">NA()</definedName>
    <definedName name="___________________________BTC10">NA()</definedName>
    <definedName name="___________________________BTC11">NA()</definedName>
    <definedName name="___________________________BTC12">NA()</definedName>
    <definedName name="___________________________BTC13">#REF!</definedName>
    <definedName name="___________________________BTC14">#REF!</definedName>
    <definedName name="___________________________BTC15">#REF!</definedName>
    <definedName name="___________________________BTC16">#REF!</definedName>
    <definedName name="___________________________BTC17">#REF!</definedName>
    <definedName name="___________________________BTC18">#REF!</definedName>
    <definedName name="___________________________BTC19">#REF!</definedName>
    <definedName name="___________________________BTC2">NA()</definedName>
    <definedName name="___________________________BTC20">#REF!</definedName>
    <definedName name="___________________________BTC21">#REF!</definedName>
    <definedName name="___________________________BTC22">#REF!</definedName>
    <definedName name="___________________________BTC23">#REF!</definedName>
    <definedName name="___________________________BTC24">#REF!</definedName>
    <definedName name="___________________________BTC3">NA()</definedName>
    <definedName name="___________________________BTC4">NA()</definedName>
    <definedName name="___________________________BTC5">NA()</definedName>
    <definedName name="___________________________BTC6">NA()</definedName>
    <definedName name="___________________________BTC7">NA()</definedName>
    <definedName name="___________________________BTC8">NA()</definedName>
    <definedName name="___________________________BTC9">NA()</definedName>
    <definedName name="___________________________BTR1">NA()</definedName>
    <definedName name="___________________________BTR10">NA()</definedName>
    <definedName name="___________________________BTR11">NA()</definedName>
    <definedName name="___________________________BTR12">NA()</definedName>
    <definedName name="___________________________BTR13">#REF!</definedName>
    <definedName name="___________________________BTR14">#REF!</definedName>
    <definedName name="___________________________BTR15">#REF!</definedName>
    <definedName name="___________________________BTR16">#REF!</definedName>
    <definedName name="___________________________BTR17">#REF!</definedName>
    <definedName name="___________________________BTR18">#REF!</definedName>
    <definedName name="___________________________BTR19">#REF!</definedName>
    <definedName name="___________________________BTR2">NA()</definedName>
    <definedName name="___________________________BTR20">#REF!</definedName>
    <definedName name="___________________________BTR21">#REF!</definedName>
    <definedName name="___________________________BTR22">#REF!</definedName>
    <definedName name="___________________________BTR23">#REF!</definedName>
    <definedName name="___________________________BTR24">#REF!</definedName>
    <definedName name="___________________________BTR3">NA()</definedName>
    <definedName name="___________________________BTR4">NA()</definedName>
    <definedName name="___________________________BTR5">NA()</definedName>
    <definedName name="___________________________BTR6">NA()</definedName>
    <definedName name="___________________________BTR7">NA()</definedName>
    <definedName name="___________________________BTR8">NA()</definedName>
    <definedName name="___________________________BTR9">NA()</definedName>
    <definedName name="___________________________BTS1">NA()</definedName>
    <definedName name="___________________________BTS10">NA()</definedName>
    <definedName name="___________________________BTS11">NA()</definedName>
    <definedName name="___________________________BTS12">NA()</definedName>
    <definedName name="___________________________BTS13">#REF!</definedName>
    <definedName name="___________________________BTS14">#REF!</definedName>
    <definedName name="___________________________BTS15">#REF!</definedName>
    <definedName name="___________________________BTS16">#REF!</definedName>
    <definedName name="___________________________BTS17">#REF!</definedName>
    <definedName name="___________________________BTS18">#REF!</definedName>
    <definedName name="___________________________BTS19">#REF!</definedName>
    <definedName name="___________________________BTS2">NA()</definedName>
    <definedName name="___________________________BTS20">#REF!</definedName>
    <definedName name="___________________________BTS21">#REF!</definedName>
    <definedName name="___________________________BTS22">#REF!</definedName>
    <definedName name="___________________________BTS23">#REF!</definedName>
    <definedName name="___________________________BTS24">#REF!</definedName>
    <definedName name="___________________________BTS3">NA()</definedName>
    <definedName name="___________________________BTS4">NA()</definedName>
    <definedName name="___________________________BTS5">NA()</definedName>
    <definedName name="___________________________BTS6">NA()</definedName>
    <definedName name="___________________________BTS7">NA()</definedName>
    <definedName name="___________________________BTS8">NA()</definedName>
    <definedName name="___________________________BTS9">NA()</definedName>
    <definedName name="___________________________can430">40.73</definedName>
    <definedName name="___________________________can435">43.3</definedName>
    <definedName name="___________________________cur1">#REF!</definedName>
    <definedName name="___________________________GBS11">NA()</definedName>
    <definedName name="___________________________GBS110">NA()</definedName>
    <definedName name="___________________________GBS111">NA()</definedName>
    <definedName name="___________________________GBS112">NA()</definedName>
    <definedName name="___________________________GBS113">#REF!</definedName>
    <definedName name="___________________________GBS114">#REF!</definedName>
    <definedName name="___________________________GBS115">#REF!</definedName>
    <definedName name="___________________________GBS116">#REF!</definedName>
    <definedName name="___________________________GBS117">#REF!</definedName>
    <definedName name="___________________________GBS118">#REF!</definedName>
    <definedName name="___________________________GBS119">#REF!</definedName>
    <definedName name="___________________________GBS12">NA()</definedName>
    <definedName name="___________________________GBS120">#REF!</definedName>
    <definedName name="___________________________GBS121">#REF!</definedName>
    <definedName name="___________________________GBS122">#REF!</definedName>
    <definedName name="___________________________GBS123">#REF!</definedName>
    <definedName name="___________________________GBS124">#REF!</definedName>
    <definedName name="___________________________GBS13">NA()</definedName>
    <definedName name="___________________________GBS14">NA()</definedName>
    <definedName name="___________________________GBS15">NA()</definedName>
    <definedName name="___________________________GBS16">NA()</definedName>
    <definedName name="___________________________GBS17">NA()</definedName>
    <definedName name="___________________________GBS18">NA()</definedName>
    <definedName name="___________________________GBS19">NA()</definedName>
    <definedName name="___________________________GBS21">NA()</definedName>
    <definedName name="___________________________GBS210">NA()</definedName>
    <definedName name="___________________________GBS211">NA()</definedName>
    <definedName name="___________________________GBS212">NA()</definedName>
    <definedName name="___________________________GBS213">#REF!</definedName>
    <definedName name="___________________________GBS214">#REF!</definedName>
    <definedName name="___________________________GBS215">#REF!</definedName>
    <definedName name="___________________________GBS216">#REF!</definedName>
    <definedName name="___________________________GBS217">#REF!</definedName>
    <definedName name="___________________________GBS218">#REF!</definedName>
    <definedName name="___________________________GBS219">#REF!</definedName>
    <definedName name="___________________________GBS22">NA()</definedName>
    <definedName name="___________________________GBS220">#REF!</definedName>
    <definedName name="___________________________GBS221">#REF!</definedName>
    <definedName name="___________________________GBS222">#REF!</definedName>
    <definedName name="___________________________GBS223">#REF!</definedName>
    <definedName name="___________________________GBS224">#REF!</definedName>
    <definedName name="___________________________GBS23">NA()</definedName>
    <definedName name="___________________________GBS24">NA()</definedName>
    <definedName name="___________________________GBS25">NA()</definedName>
    <definedName name="___________________________GBS26">NA()</definedName>
    <definedName name="___________________________GBS27">NA()</definedName>
    <definedName name="___________________________GBS28">NA()</definedName>
    <definedName name="___________________________GBS29">NA()</definedName>
    <definedName name="___________________________knr2">#REF!</definedName>
    <definedName name="___________________________l1">#REF!</definedName>
    <definedName name="___________________________l12">#REF!</definedName>
    <definedName name="___________________________l2">#REF!</definedName>
    <definedName name="___________________________l3">#REF!</definedName>
    <definedName name="___________________________l4">#REF!</definedName>
    <definedName name="___________________________l5">#REF!</definedName>
    <definedName name="___________________________l6">#REF!</definedName>
    <definedName name="___________________________l7">#REF!</definedName>
    <definedName name="___________________________l8">#REF!</definedName>
    <definedName name="___________________________l9">#REF!</definedName>
    <definedName name="___________________________lj600">NA()</definedName>
    <definedName name="___________________________lj900">NA()</definedName>
    <definedName name="___________________________LL3">NA()</definedName>
    <definedName name="___________________________MA1">NA()</definedName>
    <definedName name="___________________________MA2">#REF!</definedName>
    <definedName name="___________________________Met22">NA()</definedName>
    <definedName name="___________________________Met45">NA()</definedName>
    <definedName name="___________________________MEt55">NA()</definedName>
    <definedName name="___________________________Met63">NA()</definedName>
    <definedName name="___________________________ML21">NA()</definedName>
    <definedName name="___________________________ML210">NA()</definedName>
    <definedName name="___________________________ML211">NA()</definedName>
    <definedName name="___________________________ML212">NA()</definedName>
    <definedName name="___________________________ML213">#REF!</definedName>
    <definedName name="___________________________ML214">#REF!</definedName>
    <definedName name="___________________________ML215">#REF!</definedName>
    <definedName name="___________________________ML216">#REF!</definedName>
    <definedName name="___________________________ML217">#REF!</definedName>
    <definedName name="___________________________ML218">#REF!</definedName>
    <definedName name="___________________________ML219">#REF!</definedName>
    <definedName name="___________________________ML22">NA()</definedName>
    <definedName name="___________________________ML220">#REF!</definedName>
    <definedName name="___________________________ML221">#REF!</definedName>
    <definedName name="___________________________ML222">#REF!</definedName>
    <definedName name="___________________________ML223">#REF!</definedName>
    <definedName name="___________________________ML224">#REF!</definedName>
    <definedName name="___________________________ML23">NA()</definedName>
    <definedName name="___________________________ML24">NA()</definedName>
    <definedName name="___________________________ML25">NA()</definedName>
    <definedName name="___________________________ML26">NA()</definedName>
    <definedName name="___________________________ML27">NA()</definedName>
    <definedName name="___________________________ML28">NA()</definedName>
    <definedName name="___________________________ML29">NA()</definedName>
    <definedName name="___________________________ML31">NA()</definedName>
    <definedName name="___________________________ML310">NA()</definedName>
    <definedName name="___________________________ML311">NA()</definedName>
    <definedName name="___________________________ML312">NA()</definedName>
    <definedName name="___________________________ML313">#REF!</definedName>
    <definedName name="___________________________ML314">#REF!</definedName>
    <definedName name="___________________________ML315">#REF!</definedName>
    <definedName name="___________________________ML316">#REF!</definedName>
    <definedName name="___________________________ML317">#REF!</definedName>
    <definedName name="___________________________ML318">#REF!</definedName>
    <definedName name="___________________________ML319">#REF!</definedName>
    <definedName name="___________________________ML32">NA()</definedName>
    <definedName name="___________________________ML320">#REF!</definedName>
    <definedName name="___________________________ML321">#REF!</definedName>
    <definedName name="___________________________ML322">#REF!</definedName>
    <definedName name="___________________________ML323">#REF!</definedName>
    <definedName name="___________________________ML324">#REF!</definedName>
    <definedName name="___________________________ML33">NA()</definedName>
    <definedName name="___________________________ML34">NA()</definedName>
    <definedName name="___________________________ML35">NA()</definedName>
    <definedName name="___________________________ML36">NA()</definedName>
    <definedName name="___________________________ML37">NA()</definedName>
    <definedName name="___________________________ML38">NA()</definedName>
    <definedName name="___________________________ML39">NA()</definedName>
    <definedName name="___________________________ML7">NA()</definedName>
    <definedName name="___________________________ML8">NA()</definedName>
    <definedName name="___________________________ML9">NA()</definedName>
    <definedName name="___________________________mm1">#REF!</definedName>
    <definedName name="___________________________mm1000">NA()</definedName>
    <definedName name="___________________________mm11">#REF!</definedName>
    <definedName name="___________________________mm111">#REF!</definedName>
    <definedName name="___________________________mm600">NA()</definedName>
    <definedName name="___________________________mm800">NA()</definedName>
    <definedName name="___________________________PC1">NA()</definedName>
    <definedName name="___________________________PC10">NA()</definedName>
    <definedName name="___________________________PC11">NA()</definedName>
    <definedName name="___________________________PC12">NA()</definedName>
    <definedName name="___________________________PC13">#REF!</definedName>
    <definedName name="___________________________PC14">#REF!</definedName>
    <definedName name="___________________________PC15">#REF!</definedName>
    <definedName name="___________________________PC16">#REF!</definedName>
    <definedName name="___________________________PC17">#REF!</definedName>
    <definedName name="___________________________PC18">#REF!</definedName>
    <definedName name="___________________________PC19">#REF!</definedName>
    <definedName name="___________________________pc2">#REF!</definedName>
    <definedName name="___________________________PC20">NA()</definedName>
    <definedName name="___________________________PC21">#REF!</definedName>
    <definedName name="___________________________PC22">#REF!</definedName>
    <definedName name="___________________________PC23">#REF!</definedName>
    <definedName name="___________________________PC24">#REF!</definedName>
    <definedName name="___________________________PC3">NA()</definedName>
    <definedName name="___________________________PC4">NA()</definedName>
    <definedName name="___________________________PC5">NA()</definedName>
    <definedName name="___________________________PC6">NA()</definedName>
    <definedName name="___________________________pc600">NA()</definedName>
    <definedName name="___________________________PC7">NA()</definedName>
    <definedName name="___________________________PC8">NA()</definedName>
    <definedName name="___________________________PC9">NA()</definedName>
    <definedName name="___________________________pc900">NA()</definedName>
    <definedName name="___________________________pv2">#REF!</definedName>
    <definedName name="___________________________rr3">#REF!</definedName>
    <definedName name="___________________________rrr1">#REF!</definedName>
    <definedName name="___________________________ss12">#REF!</definedName>
    <definedName name="___________________________ss20">#REF!</definedName>
    <definedName name="___________________________ss40">#REF!</definedName>
    <definedName name="___________________________var1">#REF!</definedName>
    <definedName name="___________________________var4">#REF!</definedName>
    <definedName name="___________________________vat1">NA()</definedName>
    <definedName name="__________________________bla1">#REF!</definedName>
    <definedName name="__________________________BSG100">NA()</definedName>
    <definedName name="__________________________BSG150">NA()</definedName>
    <definedName name="__________________________BSG5">NA()</definedName>
    <definedName name="__________________________BSG75">NA()</definedName>
    <definedName name="__________________________BTC1">NA()</definedName>
    <definedName name="__________________________BTC10">NA()</definedName>
    <definedName name="__________________________BTC11">NA()</definedName>
    <definedName name="__________________________BTC12">NA()</definedName>
    <definedName name="__________________________BTC13">NA()</definedName>
    <definedName name="__________________________BTC14">NA()</definedName>
    <definedName name="__________________________BTC15">NA()</definedName>
    <definedName name="__________________________BTC16">NA()</definedName>
    <definedName name="__________________________BTC17">NA()</definedName>
    <definedName name="__________________________BTC18">NA()</definedName>
    <definedName name="__________________________BTC19">NA()</definedName>
    <definedName name="__________________________BTC2">NA()</definedName>
    <definedName name="__________________________BTC20">NA()</definedName>
    <definedName name="__________________________BTC21">NA()</definedName>
    <definedName name="__________________________BTC22">NA()</definedName>
    <definedName name="__________________________BTC23">NA()</definedName>
    <definedName name="__________________________BTC24">NA()</definedName>
    <definedName name="__________________________BTC3">NA()</definedName>
    <definedName name="__________________________BTC4">NA()</definedName>
    <definedName name="__________________________BTC5">NA()</definedName>
    <definedName name="__________________________BTC6">NA()</definedName>
    <definedName name="__________________________BTC7">NA()</definedName>
    <definedName name="__________________________BTC8">NA()</definedName>
    <definedName name="__________________________BTC9">NA()</definedName>
    <definedName name="__________________________BTR1">NA()</definedName>
    <definedName name="__________________________BTR10">NA()</definedName>
    <definedName name="__________________________BTR11">NA()</definedName>
    <definedName name="__________________________BTR12">NA()</definedName>
    <definedName name="__________________________BTR13">NA()</definedName>
    <definedName name="__________________________BTR14">NA()</definedName>
    <definedName name="__________________________BTR15">NA()</definedName>
    <definedName name="__________________________BTR16">NA()</definedName>
    <definedName name="__________________________BTR17">NA()</definedName>
    <definedName name="__________________________BTR18">NA()</definedName>
    <definedName name="__________________________BTR19">NA()</definedName>
    <definedName name="__________________________BTR2">NA()</definedName>
    <definedName name="__________________________BTR20">NA()</definedName>
    <definedName name="__________________________BTR21">NA()</definedName>
    <definedName name="__________________________BTR22">NA()</definedName>
    <definedName name="__________________________BTR23">NA()</definedName>
    <definedName name="__________________________BTR24">NA()</definedName>
    <definedName name="__________________________BTR3">NA()</definedName>
    <definedName name="__________________________BTR4">NA()</definedName>
    <definedName name="__________________________BTR5">NA()</definedName>
    <definedName name="__________________________BTR6">NA()</definedName>
    <definedName name="__________________________BTR7">NA()</definedName>
    <definedName name="__________________________BTR8">NA()</definedName>
    <definedName name="__________________________BTR9">NA()</definedName>
    <definedName name="__________________________BTS1">NA()</definedName>
    <definedName name="__________________________BTS10">NA()</definedName>
    <definedName name="__________________________BTS11">NA()</definedName>
    <definedName name="__________________________BTS12">NA()</definedName>
    <definedName name="__________________________BTS13">NA()</definedName>
    <definedName name="__________________________BTS14">NA()</definedName>
    <definedName name="__________________________BTS15">NA()</definedName>
    <definedName name="__________________________BTS16">NA()</definedName>
    <definedName name="__________________________BTS17">NA()</definedName>
    <definedName name="__________________________BTS18">NA()</definedName>
    <definedName name="__________________________BTS19">NA()</definedName>
    <definedName name="__________________________BTS2">NA()</definedName>
    <definedName name="__________________________BTS20">NA()</definedName>
    <definedName name="__________________________BTS21">NA()</definedName>
    <definedName name="__________________________BTS22">NA()</definedName>
    <definedName name="__________________________BTS23">NA()</definedName>
    <definedName name="__________________________BTS24">NA()</definedName>
    <definedName name="__________________________BTS3">NA()</definedName>
    <definedName name="__________________________BTS4">NA()</definedName>
    <definedName name="__________________________BTS5">NA()</definedName>
    <definedName name="__________________________BTS6">NA()</definedName>
    <definedName name="__________________________BTS7">NA()</definedName>
    <definedName name="__________________________BTS8">NA()</definedName>
    <definedName name="__________________________BTS9">NA()</definedName>
    <definedName name="__________________________can430">40.73</definedName>
    <definedName name="__________________________can435">43.3</definedName>
    <definedName name="__________________________cur1">#REF!</definedName>
    <definedName name="__________________________GBS11">NA()</definedName>
    <definedName name="__________________________GBS110">NA()</definedName>
    <definedName name="__________________________GBS111">NA()</definedName>
    <definedName name="__________________________GBS112">NA()</definedName>
    <definedName name="__________________________GBS113">NA()</definedName>
    <definedName name="__________________________GBS114">NA()</definedName>
    <definedName name="__________________________GBS115">NA()</definedName>
    <definedName name="__________________________GBS116">NA()</definedName>
    <definedName name="__________________________GBS117">NA()</definedName>
    <definedName name="__________________________GBS118">NA()</definedName>
    <definedName name="__________________________GBS119">NA()</definedName>
    <definedName name="__________________________GBS12">NA()</definedName>
    <definedName name="__________________________GBS120">NA()</definedName>
    <definedName name="__________________________GBS121">NA()</definedName>
    <definedName name="__________________________GBS122">NA()</definedName>
    <definedName name="__________________________GBS123">NA()</definedName>
    <definedName name="__________________________GBS124">NA()</definedName>
    <definedName name="__________________________GBS13">NA()</definedName>
    <definedName name="__________________________GBS14">NA()</definedName>
    <definedName name="__________________________GBS15">NA()</definedName>
    <definedName name="__________________________GBS16">NA()</definedName>
    <definedName name="__________________________GBS17">NA()</definedName>
    <definedName name="__________________________GBS18">NA()</definedName>
    <definedName name="__________________________GBS19">NA()</definedName>
    <definedName name="__________________________GBS21">NA()</definedName>
    <definedName name="__________________________GBS210">NA()</definedName>
    <definedName name="__________________________GBS211">NA()</definedName>
    <definedName name="__________________________GBS212">NA()</definedName>
    <definedName name="__________________________GBS213">NA()</definedName>
    <definedName name="__________________________GBS214">NA()</definedName>
    <definedName name="__________________________GBS215">NA()</definedName>
    <definedName name="__________________________GBS216">NA()</definedName>
    <definedName name="__________________________GBS217">NA()</definedName>
    <definedName name="__________________________GBS218">NA()</definedName>
    <definedName name="__________________________GBS219">NA()</definedName>
    <definedName name="__________________________GBS22">NA()</definedName>
    <definedName name="__________________________GBS220">NA()</definedName>
    <definedName name="__________________________GBS221">NA()</definedName>
    <definedName name="__________________________GBS222">NA()</definedName>
    <definedName name="__________________________GBS223">NA()</definedName>
    <definedName name="__________________________GBS224">NA()</definedName>
    <definedName name="__________________________GBS23">NA()</definedName>
    <definedName name="__________________________GBS24">NA()</definedName>
    <definedName name="__________________________GBS25">NA()</definedName>
    <definedName name="__________________________GBS26">NA()</definedName>
    <definedName name="__________________________GBS27">NA()</definedName>
    <definedName name="__________________________GBS28">NA()</definedName>
    <definedName name="__________________________GBS29">NA()</definedName>
    <definedName name="__________________________knr2">#REF!</definedName>
    <definedName name="__________________________l1">#REF!</definedName>
    <definedName name="__________________________l12">#REF!</definedName>
    <definedName name="__________________________l2">#REF!</definedName>
    <definedName name="__________________________l3">#REF!</definedName>
    <definedName name="__________________________l4">#REF!</definedName>
    <definedName name="__________________________l5">#REF!</definedName>
    <definedName name="__________________________l6">#REF!</definedName>
    <definedName name="__________________________l7">#REF!</definedName>
    <definedName name="__________________________l8">#REF!</definedName>
    <definedName name="__________________________l9">#REF!</definedName>
    <definedName name="__________________________lj600">NA()</definedName>
    <definedName name="__________________________lj900">NA()</definedName>
    <definedName name="__________________________LL3">NA()</definedName>
    <definedName name="__________________________MA1">#REF!</definedName>
    <definedName name="__________________________MA2">NA()</definedName>
    <definedName name="__________________________Met22">#REF!</definedName>
    <definedName name="__________________________Met45">#REF!</definedName>
    <definedName name="__________________________MEt55">#REF!</definedName>
    <definedName name="__________________________Met63">#REF!</definedName>
    <definedName name="__________________________ML21">NA()</definedName>
    <definedName name="__________________________ML210">NA()</definedName>
    <definedName name="__________________________ML211">NA()</definedName>
    <definedName name="__________________________ML212">NA()</definedName>
    <definedName name="__________________________ML213">NA()</definedName>
    <definedName name="__________________________ML214">NA()</definedName>
    <definedName name="__________________________ML215">NA()</definedName>
    <definedName name="__________________________ML216">NA()</definedName>
    <definedName name="__________________________ML217">NA()</definedName>
    <definedName name="__________________________ML218">NA()</definedName>
    <definedName name="__________________________ML219">NA()</definedName>
    <definedName name="__________________________ML22">NA()</definedName>
    <definedName name="__________________________ML220">NA()</definedName>
    <definedName name="__________________________ML221">NA()</definedName>
    <definedName name="__________________________ML222">NA()</definedName>
    <definedName name="__________________________ML223">NA()</definedName>
    <definedName name="__________________________ML224">NA()</definedName>
    <definedName name="__________________________ML23">NA()</definedName>
    <definedName name="__________________________ML24">NA()</definedName>
    <definedName name="__________________________ML25">NA()</definedName>
    <definedName name="__________________________ML26">NA()</definedName>
    <definedName name="__________________________ML27">NA()</definedName>
    <definedName name="__________________________ML28">NA()</definedName>
    <definedName name="__________________________ML29">NA()</definedName>
    <definedName name="__________________________ML31">NA()</definedName>
    <definedName name="__________________________ML310">NA()</definedName>
    <definedName name="__________________________ML311">NA()</definedName>
    <definedName name="__________________________ML312">NA()</definedName>
    <definedName name="__________________________ML313">NA()</definedName>
    <definedName name="__________________________ML314">NA()</definedName>
    <definedName name="__________________________ML315">NA()</definedName>
    <definedName name="__________________________ML316">NA()</definedName>
    <definedName name="__________________________ML317">NA()</definedName>
    <definedName name="__________________________ML318">NA()</definedName>
    <definedName name="__________________________ML319">NA()</definedName>
    <definedName name="__________________________ML32">NA()</definedName>
    <definedName name="__________________________ML320">NA()</definedName>
    <definedName name="__________________________ML321">NA()</definedName>
    <definedName name="__________________________ML322">NA()</definedName>
    <definedName name="__________________________ML323">NA()</definedName>
    <definedName name="__________________________ML324">NA()</definedName>
    <definedName name="__________________________ML33">NA()</definedName>
    <definedName name="__________________________ML34">NA()</definedName>
    <definedName name="__________________________ML35">NA()</definedName>
    <definedName name="__________________________ML36">NA()</definedName>
    <definedName name="__________________________ML37">NA()</definedName>
    <definedName name="__________________________ML38">NA()</definedName>
    <definedName name="__________________________ML39">NA()</definedName>
    <definedName name="__________________________ML7">NA()</definedName>
    <definedName name="__________________________ML8">NA()</definedName>
    <definedName name="__________________________ML9">NA()</definedName>
    <definedName name="__________________________mm1">#REF!</definedName>
    <definedName name="__________________________mm1000">#REF!</definedName>
    <definedName name="__________________________mm11">#REF!</definedName>
    <definedName name="__________________________mm111">#REF!</definedName>
    <definedName name="__________________________mm600">#REF!</definedName>
    <definedName name="__________________________mm800">#REF!</definedName>
    <definedName name="__________________________PC1">NA()</definedName>
    <definedName name="__________________________PC10">NA()</definedName>
    <definedName name="__________________________PC11">NA()</definedName>
    <definedName name="__________________________PC12">NA()</definedName>
    <definedName name="__________________________PC13">NA()</definedName>
    <definedName name="__________________________PC14">NA()</definedName>
    <definedName name="__________________________PC15">NA()</definedName>
    <definedName name="__________________________PC16">NA()</definedName>
    <definedName name="__________________________PC17">NA()</definedName>
    <definedName name="__________________________PC18">NA()</definedName>
    <definedName name="__________________________PC19">NA()</definedName>
    <definedName name="__________________________pc2">#REF!</definedName>
    <definedName name="__________________________PC20">NA()</definedName>
    <definedName name="__________________________PC21">NA()</definedName>
    <definedName name="__________________________PC22">NA()</definedName>
    <definedName name="__________________________PC23">NA()</definedName>
    <definedName name="__________________________PC24">NA()</definedName>
    <definedName name="__________________________PC3">NA()</definedName>
    <definedName name="__________________________PC4">NA()</definedName>
    <definedName name="__________________________PC5">NA()</definedName>
    <definedName name="__________________________PC6">NA()</definedName>
    <definedName name="__________________________pc600">NA()</definedName>
    <definedName name="__________________________PC7">NA()</definedName>
    <definedName name="__________________________PC8">NA()</definedName>
    <definedName name="__________________________PC9">NA()</definedName>
    <definedName name="__________________________pc900">NA()</definedName>
    <definedName name="__________________________pv2">#REF!</definedName>
    <definedName name="__________________________rr3">#REF!</definedName>
    <definedName name="__________________________rrr1">#REF!</definedName>
    <definedName name="__________________________ss12">#REF!</definedName>
    <definedName name="__________________________ss20">#REF!</definedName>
    <definedName name="__________________________ss40">#REF!</definedName>
    <definedName name="__________________________var1">#REF!</definedName>
    <definedName name="__________________________var4">#REF!</definedName>
    <definedName name="__________________________vat1">NA()</definedName>
    <definedName name="_________________________bla1">#REF!</definedName>
    <definedName name="_________________________BSG100">#REF!</definedName>
    <definedName name="_________________________BSG150">#REF!</definedName>
    <definedName name="_________________________BSG5">#REF!</definedName>
    <definedName name="_________________________BSG75">#REF!</definedName>
    <definedName name="_________________________BTC1">NA()</definedName>
    <definedName name="_________________________BTC10">NA()</definedName>
    <definedName name="_________________________BTC11">NA()</definedName>
    <definedName name="_________________________BTC12">NA()</definedName>
    <definedName name="_________________________BTC13">#REF!</definedName>
    <definedName name="_________________________BTC14">#REF!</definedName>
    <definedName name="_________________________BTC15">#REF!</definedName>
    <definedName name="_________________________BTC16">#REF!</definedName>
    <definedName name="_________________________BTC17">#REF!</definedName>
    <definedName name="_________________________BTC18">#REF!</definedName>
    <definedName name="_________________________BTC19">#REF!</definedName>
    <definedName name="_________________________BTC2">NA()</definedName>
    <definedName name="_________________________BTC20">#REF!</definedName>
    <definedName name="_________________________BTC21">#REF!</definedName>
    <definedName name="_________________________BTC22">#REF!</definedName>
    <definedName name="_________________________BTC23">#REF!</definedName>
    <definedName name="_________________________BTC24">#REF!</definedName>
    <definedName name="_________________________BTC3">NA()</definedName>
    <definedName name="_________________________BTC4">NA()</definedName>
    <definedName name="_________________________BTC5">NA()</definedName>
    <definedName name="_________________________BTC6">NA()</definedName>
    <definedName name="_________________________BTC7">NA()</definedName>
    <definedName name="_________________________BTC8">NA()</definedName>
    <definedName name="_________________________BTC9">NA()</definedName>
    <definedName name="_________________________BTR1">NA()</definedName>
    <definedName name="_________________________BTR10">NA()</definedName>
    <definedName name="_________________________BTR11">NA()</definedName>
    <definedName name="_________________________BTR12">NA()</definedName>
    <definedName name="_________________________BTR13">#REF!</definedName>
    <definedName name="_________________________BTR14">#REF!</definedName>
    <definedName name="_________________________BTR15">#REF!</definedName>
    <definedName name="_________________________BTR16">#REF!</definedName>
    <definedName name="_________________________BTR17">#REF!</definedName>
    <definedName name="_________________________BTR18">#REF!</definedName>
    <definedName name="_________________________BTR19">#REF!</definedName>
    <definedName name="_________________________BTR2">NA()</definedName>
    <definedName name="_________________________BTR20">#REF!</definedName>
    <definedName name="_________________________BTR21">#REF!</definedName>
    <definedName name="_________________________BTR22">#REF!</definedName>
    <definedName name="_________________________BTR23">#REF!</definedName>
    <definedName name="_________________________BTR24">#REF!</definedName>
    <definedName name="_________________________BTR3">NA()</definedName>
    <definedName name="_________________________BTR4">NA()</definedName>
    <definedName name="_________________________BTR5">NA()</definedName>
    <definedName name="_________________________BTR6">NA()</definedName>
    <definedName name="_________________________BTR7">NA()</definedName>
    <definedName name="_________________________BTR8">NA()</definedName>
    <definedName name="_________________________BTR9">NA()</definedName>
    <definedName name="_________________________BTS1">NA()</definedName>
    <definedName name="_________________________BTS10">NA()</definedName>
    <definedName name="_________________________BTS11">NA()</definedName>
    <definedName name="_________________________BTS12">NA()</definedName>
    <definedName name="_________________________BTS13">#REF!</definedName>
    <definedName name="_________________________BTS14">#REF!</definedName>
    <definedName name="_________________________BTS15">#REF!</definedName>
    <definedName name="_________________________BTS16">#REF!</definedName>
    <definedName name="_________________________BTS17">#REF!</definedName>
    <definedName name="_________________________BTS18">#REF!</definedName>
    <definedName name="_________________________BTS19">#REF!</definedName>
    <definedName name="_________________________BTS2">NA()</definedName>
    <definedName name="_________________________BTS20">#REF!</definedName>
    <definedName name="_________________________BTS21">#REF!</definedName>
    <definedName name="_________________________BTS22">#REF!</definedName>
    <definedName name="_________________________BTS23">#REF!</definedName>
    <definedName name="_________________________BTS24">#REF!</definedName>
    <definedName name="_________________________BTS3">NA()</definedName>
    <definedName name="_________________________BTS4">NA()</definedName>
    <definedName name="_________________________BTS5">NA()</definedName>
    <definedName name="_________________________BTS6">NA()</definedName>
    <definedName name="_________________________BTS7">NA()</definedName>
    <definedName name="_________________________BTS8">NA()</definedName>
    <definedName name="_________________________BTS9">NA()</definedName>
    <definedName name="_________________________can430">40.73</definedName>
    <definedName name="_________________________can435">43.3</definedName>
    <definedName name="_________________________cur1">#REF!</definedName>
    <definedName name="_________________________GBS11">NA()</definedName>
    <definedName name="_________________________GBS110">NA()</definedName>
    <definedName name="_________________________GBS111">NA()</definedName>
    <definedName name="_________________________GBS112">NA()</definedName>
    <definedName name="_________________________GBS113">#REF!</definedName>
    <definedName name="_________________________GBS114">#REF!</definedName>
    <definedName name="_________________________GBS115">#REF!</definedName>
    <definedName name="_________________________GBS116">#REF!</definedName>
    <definedName name="_________________________GBS117">#REF!</definedName>
    <definedName name="_________________________GBS118">#REF!</definedName>
    <definedName name="_________________________GBS119">#REF!</definedName>
    <definedName name="_________________________GBS12">NA()</definedName>
    <definedName name="_________________________GBS120">#REF!</definedName>
    <definedName name="_________________________GBS121">#REF!</definedName>
    <definedName name="_________________________GBS122">#REF!</definedName>
    <definedName name="_________________________GBS123">#REF!</definedName>
    <definedName name="_________________________GBS124">#REF!</definedName>
    <definedName name="_________________________GBS13">NA()</definedName>
    <definedName name="_________________________GBS14">NA()</definedName>
    <definedName name="_________________________GBS15">NA()</definedName>
    <definedName name="_________________________GBS16">NA()</definedName>
    <definedName name="_________________________GBS17">NA()</definedName>
    <definedName name="_________________________GBS18">NA()</definedName>
    <definedName name="_________________________GBS19">NA()</definedName>
    <definedName name="_________________________GBS21">NA()</definedName>
    <definedName name="_________________________GBS210">NA()</definedName>
    <definedName name="_________________________GBS211">NA()</definedName>
    <definedName name="_________________________GBS212">NA()</definedName>
    <definedName name="_________________________GBS213">#REF!</definedName>
    <definedName name="_________________________GBS214">#REF!</definedName>
    <definedName name="_________________________GBS215">#REF!</definedName>
    <definedName name="_________________________GBS216">#REF!</definedName>
    <definedName name="_________________________GBS217">#REF!</definedName>
    <definedName name="_________________________GBS218">#REF!</definedName>
    <definedName name="_________________________GBS219">#REF!</definedName>
    <definedName name="_________________________GBS22">NA()</definedName>
    <definedName name="_________________________GBS220">#REF!</definedName>
    <definedName name="_________________________GBS221">#REF!</definedName>
    <definedName name="_________________________GBS222">#REF!</definedName>
    <definedName name="_________________________GBS223">#REF!</definedName>
    <definedName name="_________________________GBS224">#REF!</definedName>
    <definedName name="_________________________GBS23">NA()</definedName>
    <definedName name="_________________________GBS24">NA()</definedName>
    <definedName name="_________________________GBS25">NA()</definedName>
    <definedName name="_________________________GBS26">NA()</definedName>
    <definedName name="_________________________GBS27">NA()</definedName>
    <definedName name="_________________________GBS28">NA()</definedName>
    <definedName name="_________________________GBS29">NA()</definedName>
    <definedName name="_________________________knr2">#REF!</definedName>
    <definedName name="_________________________l1">#REF!</definedName>
    <definedName name="_________________________l12">#REF!</definedName>
    <definedName name="_________________________l2">#REF!</definedName>
    <definedName name="_________________________l3">#REF!</definedName>
    <definedName name="_________________________l4">#REF!</definedName>
    <definedName name="_________________________l5">#REF!</definedName>
    <definedName name="_________________________l6">#REF!</definedName>
    <definedName name="_________________________l7">#REF!</definedName>
    <definedName name="_________________________l8">#REF!</definedName>
    <definedName name="_________________________l9">#REF!</definedName>
    <definedName name="_________________________lj600">NA()</definedName>
    <definedName name="_________________________lj900">NA()</definedName>
    <definedName name="_________________________LL3">NA()</definedName>
    <definedName name="_________________________MA1">NA()</definedName>
    <definedName name="_________________________MA2">#REF!</definedName>
    <definedName name="_________________________Met22">#REF!</definedName>
    <definedName name="_________________________Met45">#REF!</definedName>
    <definedName name="_________________________MEt55">#REF!</definedName>
    <definedName name="_________________________Met63">#REF!</definedName>
    <definedName name="_________________________ML21">NA()</definedName>
    <definedName name="_________________________ML210">NA()</definedName>
    <definedName name="_________________________ML211">NA()</definedName>
    <definedName name="_________________________ML212">NA()</definedName>
    <definedName name="_________________________ML213">#REF!</definedName>
    <definedName name="_________________________ML214">#REF!</definedName>
    <definedName name="_________________________ML215">#REF!</definedName>
    <definedName name="_________________________ML216">#REF!</definedName>
    <definedName name="_________________________ML217">#REF!</definedName>
    <definedName name="_________________________ML218">#REF!</definedName>
    <definedName name="_________________________ML219">#REF!</definedName>
    <definedName name="_________________________ML22">NA()</definedName>
    <definedName name="_________________________ML220">#REF!</definedName>
    <definedName name="_________________________ML221">#REF!</definedName>
    <definedName name="_________________________ML222">#REF!</definedName>
    <definedName name="_________________________ML223">#REF!</definedName>
    <definedName name="_________________________ML224">#REF!</definedName>
    <definedName name="_________________________ML23">NA()</definedName>
    <definedName name="_________________________ML24">NA()</definedName>
    <definedName name="_________________________ML25">NA()</definedName>
    <definedName name="_________________________ML26">NA()</definedName>
    <definedName name="_________________________ML27">NA()</definedName>
    <definedName name="_________________________ML28">NA()</definedName>
    <definedName name="_________________________ML29">NA()</definedName>
    <definedName name="_________________________ML31">NA()</definedName>
    <definedName name="_________________________ML310">NA()</definedName>
    <definedName name="_________________________ML311">NA()</definedName>
    <definedName name="_________________________ML312">NA()</definedName>
    <definedName name="_________________________ML313">#REF!</definedName>
    <definedName name="_________________________ML314">#REF!</definedName>
    <definedName name="_________________________ML315">#REF!</definedName>
    <definedName name="_________________________ML316">#REF!</definedName>
    <definedName name="_________________________ML317">#REF!</definedName>
    <definedName name="_________________________ML318">#REF!</definedName>
    <definedName name="_________________________ML319">#REF!</definedName>
    <definedName name="_________________________ML32">NA()</definedName>
    <definedName name="_________________________ML320">#REF!</definedName>
    <definedName name="_________________________ML321">#REF!</definedName>
    <definedName name="_________________________ML322">#REF!</definedName>
    <definedName name="_________________________ML323">#REF!</definedName>
    <definedName name="_________________________ML324">#REF!</definedName>
    <definedName name="_________________________ML33">NA()</definedName>
    <definedName name="_________________________ML34">NA()</definedName>
    <definedName name="_________________________ML35">NA()</definedName>
    <definedName name="_________________________ML36">NA()</definedName>
    <definedName name="_________________________ML37">NA()</definedName>
    <definedName name="_________________________ML38">NA()</definedName>
    <definedName name="_________________________ML39">NA()</definedName>
    <definedName name="_________________________ML7">NA()</definedName>
    <definedName name="_________________________ML8">NA()</definedName>
    <definedName name="_________________________ML9">NA()</definedName>
    <definedName name="_________________________mm1">#REF!</definedName>
    <definedName name="_________________________mm1000">#REF!</definedName>
    <definedName name="_________________________mm11">#REF!</definedName>
    <definedName name="_________________________mm111">#REF!</definedName>
    <definedName name="_________________________mm600">#REF!</definedName>
    <definedName name="_________________________mm800">#REF!</definedName>
    <definedName name="_________________________PC1">NA()</definedName>
    <definedName name="_________________________PC10">NA()</definedName>
    <definedName name="_________________________PC11">NA()</definedName>
    <definedName name="_________________________PC12">NA()</definedName>
    <definedName name="_________________________PC13">#REF!</definedName>
    <definedName name="_________________________PC14">#REF!</definedName>
    <definedName name="_________________________PC15">#REF!</definedName>
    <definedName name="_________________________PC16">#REF!</definedName>
    <definedName name="_________________________PC17">#REF!</definedName>
    <definedName name="_________________________PC18">#REF!</definedName>
    <definedName name="_________________________PC19">#REF!</definedName>
    <definedName name="_________________________pc2">#REF!</definedName>
    <definedName name="_________________________PC20">NA()</definedName>
    <definedName name="_________________________PC21">#REF!</definedName>
    <definedName name="_________________________PC22">#REF!</definedName>
    <definedName name="_________________________PC23">#REF!</definedName>
    <definedName name="_________________________PC24">#REF!</definedName>
    <definedName name="_________________________PC3">NA()</definedName>
    <definedName name="_________________________PC4">NA()</definedName>
    <definedName name="_________________________PC5">NA()</definedName>
    <definedName name="_________________________PC6">NA()</definedName>
    <definedName name="_________________________pc600">NA()</definedName>
    <definedName name="_________________________PC7">NA()</definedName>
    <definedName name="_________________________PC8">NA()</definedName>
    <definedName name="_________________________PC9">NA()</definedName>
    <definedName name="_________________________pc900">NA()</definedName>
    <definedName name="_________________________pv2">#REF!</definedName>
    <definedName name="_________________________rr3">#REF!</definedName>
    <definedName name="_________________________rrr1">#REF!</definedName>
    <definedName name="_________________________ss12">#REF!</definedName>
    <definedName name="_________________________ss20">#REF!</definedName>
    <definedName name="_________________________ss40">#REF!</definedName>
    <definedName name="_________________________var1">#REF!</definedName>
    <definedName name="_________________________var4">#REF!</definedName>
    <definedName name="_________________________vat1">NA()</definedName>
    <definedName name="________________________bla1">#REF!</definedName>
    <definedName name="________________________BSG100">NA()</definedName>
    <definedName name="________________________BSG150">NA()</definedName>
    <definedName name="________________________BSG5">NA()</definedName>
    <definedName name="________________________BSG75">NA()</definedName>
    <definedName name="________________________BTC1">#REF!</definedName>
    <definedName name="________________________BTC10">#REF!</definedName>
    <definedName name="________________________BTC11">#REF!</definedName>
    <definedName name="________________________BTC12">#REF!</definedName>
    <definedName name="________________________BTC13">NA()</definedName>
    <definedName name="________________________BTC14">NA()</definedName>
    <definedName name="________________________BTC15">NA()</definedName>
    <definedName name="________________________BTC16">NA()</definedName>
    <definedName name="________________________BTC17">NA()</definedName>
    <definedName name="________________________BTC18">NA()</definedName>
    <definedName name="________________________BTC19">NA()</definedName>
    <definedName name="________________________BTC2">#REF!</definedName>
    <definedName name="________________________BTC20">NA()</definedName>
    <definedName name="________________________BTC21">NA()</definedName>
    <definedName name="________________________BTC22">NA()</definedName>
    <definedName name="________________________BTC23">NA()</definedName>
    <definedName name="________________________BTC24">NA()</definedName>
    <definedName name="________________________BTC3">#REF!</definedName>
    <definedName name="________________________BTC4">#REF!</definedName>
    <definedName name="________________________BTC5">#REF!</definedName>
    <definedName name="________________________BTC6">#REF!</definedName>
    <definedName name="________________________BTC7">#REF!</definedName>
    <definedName name="________________________BTC8">#REF!</definedName>
    <definedName name="________________________BTC9">#REF!</definedName>
    <definedName name="________________________BTR1">#REF!</definedName>
    <definedName name="________________________BTR10">#REF!</definedName>
    <definedName name="________________________BTR11">#REF!</definedName>
    <definedName name="________________________BTR12">#REF!</definedName>
    <definedName name="________________________BTR13">NA()</definedName>
    <definedName name="________________________BTR14">NA()</definedName>
    <definedName name="________________________BTR15">NA()</definedName>
    <definedName name="________________________BTR16">NA()</definedName>
    <definedName name="________________________BTR17">NA()</definedName>
    <definedName name="________________________BTR18">NA()</definedName>
    <definedName name="________________________BTR19">NA()</definedName>
    <definedName name="________________________BTR2">#REF!</definedName>
    <definedName name="________________________BTR20">NA()</definedName>
    <definedName name="________________________BTR21">NA()</definedName>
    <definedName name="________________________BTR22">NA()</definedName>
    <definedName name="________________________BTR23">NA()</definedName>
    <definedName name="________________________BTR24">NA()</definedName>
    <definedName name="________________________BTR3">#REF!</definedName>
    <definedName name="________________________BTR4">#REF!</definedName>
    <definedName name="________________________BTR5">#REF!</definedName>
    <definedName name="________________________BTR6">#REF!</definedName>
    <definedName name="________________________BTR7">#REF!</definedName>
    <definedName name="________________________BTR8">#REF!</definedName>
    <definedName name="________________________BTR9">#REF!</definedName>
    <definedName name="________________________BTS1">#REF!</definedName>
    <definedName name="________________________BTS10">#REF!</definedName>
    <definedName name="________________________BTS11">#REF!</definedName>
    <definedName name="________________________BTS12">#REF!</definedName>
    <definedName name="________________________BTS13">NA()</definedName>
    <definedName name="________________________BTS14">NA()</definedName>
    <definedName name="________________________BTS15">NA()</definedName>
    <definedName name="________________________BTS16">NA()</definedName>
    <definedName name="________________________BTS17">NA()</definedName>
    <definedName name="________________________BTS18">NA()</definedName>
    <definedName name="________________________BTS19">NA()</definedName>
    <definedName name="________________________BTS2">#REF!</definedName>
    <definedName name="________________________BTS20">NA()</definedName>
    <definedName name="________________________BTS21">NA()</definedName>
    <definedName name="________________________BTS22">NA()</definedName>
    <definedName name="________________________BTS23">NA()</definedName>
    <definedName name="________________________BTS24">NA()</definedName>
    <definedName name="________________________BTS3">#REF!</definedName>
    <definedName name="________________________BTS4">#REF!</definedName>
    <definedName name="________________________BTS5">#REF!</definedName>
    <definedName name="________________________BTS6">#REF!</definedName>
    <definedName name="________________________BTS7">#REF!</definedName>
    <definedName name="________________________BTS8">#REF!</definedName>
    <definedName name="________________________BTS9">#REF!</definedName>
    <definedName name="________________________can430">40.73</definedName>
    <definedName name="________________________can435">43.3</definedName>
    <definedName name="________________________CCW1">#REF!</definedName>
    <definedName name="________________________CCW2">#REF!</definedName>
    <definedName name="________________________cur1">#REF!</definedName>
    <definedName name="________________________GBS11">#REF!</definedName>
    <definedName name="________________________GBS110">#REF!</definedName>
    <definedName name="________________________GBS111">#REF!</definedName>
    <definedName name="________________________GBS112">#REF!</definedName>
    <definedName name="________________________GBS113">NA()</definedName>
    <definedName name="________________________GBS114">NA()</definedName>
    <definedName name="________________________GBS115">NA()</definedName>
    <definedName name="________________________GBS116">NA()</definedName>
    <definedName name="________________________GBS117">NA()</definedName>
    <definedName name="________________________GBS118">NA()</definedName>
    <definedName name="________________________GBS119">NA()</definedName>
    <definedName name="________________________GBS12">#REF!</definedName>
    <definedName name="________________________GBS120">NA()</definedName>
    <definedName name="________________________GBS121">NA()</definedName>
    <definedName name="________________________GBS122">NA()</definedName>
    <definedName name="________________________GBS123">NA()</definedName>
    <definedName name="________________________GBS124">NA()</definedName>
    <definedName name="________________________GBS13">#REF!</definedName>
    <definedName name="________________________GBS14">#REF!</definedName>
    <definedName name="________________________GBS15">#REF!</definedName>
    <definedName name="________________________GBS16">#REF!</definedName>
    <definedName name="________________________GBS17">#REF!</definedName>
    <definedName name="________________________GBS18">#REF!</definedName>
    <definedName name="________________________GBS19">#REF!</definedName>
    <definedName name="________________________GBS21">#REF!</definedName>
    <definedName name="________________________GBS210">#REF!</definedName>
    <definedName name="________________________GBS211">#REF!</definedName>
    <definedName name="________________________GBS212">#REF!</definedName>
    <definedName name="________________________GBS213">NA()</definedName>
    <definedName name="________________________GBS214">NA()</definedName>
    <definedName name="________________________GBS215">NA()</definedName>
    <definedName name="________________________GBS216">NA()</definedName>
    <definedName name="________________________GBS217">NA()</definedName>
    <definedName name="________________________GBS218">NA()</definedName>
    <definedName name="________________________GBS219">NA()</definedName>
    <definedName name="________________________GBS22">#REF!</definedName>
    <definedName name="________________________GBS220">NA()</definedName>
    <definedName name="________________________GBS221">NA()</definedName>
    <definedName name="________________________GBS222">NA()</definedName>
    <definedName name="________________________GBS223">NA()</definedName>
    <definedName name="________________________GBS224">NA()</definedName>
    <definedName name="________________________GBS23">#REF!</definedName>
    <definedName name="________________________GBS24">#REF!</definedName>
    <definedName name="________________________GBS25">#REF!</definedName>
    <definedName name="________________________GBS26">#REF!</definedName>
    <definedName name="________________________GBS27">#REF!</definedName>
    <definedName name="________________________GBS28">#REF!</definedName>
    <definedName name="________________________GBS29">#REF!</definedName>
    <definedName name="________________________knr2">NA()</definedName>
    <definedName name="________________________l1">#REF!</definedName>
    <definedName name="________________________l12">#REF!</definedName>
    <definedName name="________________________l2">#REF!</definedName>
    <definedName name="________________________l3">#REF!</definedName>
    <definedName name="________________________l4">#REF!</definedName>
    <definedName name="________________________l5">#REF!</definedName>
    <definedName name="________________________l6">#REF!</definedName>
    <definedName name="________________________l7">#REF!</definedName>
    <definedName name="________________________l8">#REF!</definedName>
    <definedName name="________________________l9">#REF!</definedName>
    <definedName name="________________________LJ6">#REF!</definedName>
    <definedName name="________________________lj600">#REF!</definedName>
    <definedName name="________________________lj900">#REF!</definedName>
    <definedName name="________________________LL3">#REF!</definedName>
    <definedName name="________________________MA1">#REF!</definedName>
    <definedName name="________________________MA2">#REF!</definedName>
    <definedName name="________________________Met22">#REF!</definedName>
    <definedName name="________________________Met45">#REF!</definedName>
    <definedName name="________________________MEt55">#REF!</definedName>
    <definedName name="________________________Met63">#REF!</definedName>
    <definedName name="________________________ML21">#REF!</definedName>
    <definedName name="________________________ML210">#REF!</definedName>
    <definedName name="________________________ML211">#REF!</definedName>
    <definedName name="________________________ML212">#REF!</definedName>
    <definedName name="________________________ML213">NA()</definedName>
    <definedName name="________________________ML214">NA()</definedName>
    <definedName name="________________________ML215">NA()</definedName>
    <definedName name="________________________ML216">NA()</definedName>
    <definedName name="________________________ML217">NA()</definedName>
    <definedName name="________________________ML218">NA()</definedName>
    <definedName name="________________________ML219">NA()</definedName>
    <definedName name="________________________ML22">#REF!</definedName>
    <definedName name="________________________ML220">NA()</definedName>
    <definedName name="________________________ML221">NA()</definedName>
    <definedName name="________________________ML222">NA()</definedName>
    <definedName name="________________________ML223">NA()</definedName>
    <definedName name="________________________ML224">NA()</definedName>
    <definedName name="________________________ML23">#REF!</definedName>
    <definedName name="________________________ML24">#REF!</definedName>
    <definedName name="________________________ML25">#REF!</definedName>
    <definedName name="________________________ML26">#REF!</definedName>
    <definedName name="________________________ML27">#REF!</definedName>
    <definedName name="________________________ML28">#REF!</definedName>
    <definedName name="________________________ML29">#REF!</definedName>
    <definedName name="________________________ML31">#REF!</definedName>
    <definedName name="________________________ML310">#REF!</definedName>
    <definedName name="________________________ML311">#REF!</definedName>
    <definedName name="________________________ML312">#REF!</definedName>
    <definedName name="________________________ML313">NA()</definedName>
    <definedName name="________________________ML314">NA()</definedName>
    <definedName name="________________________ML315">NA()</definedName>
    <definedName name="________________________ML316">NA()</definedName>
    <definedName name="________________________ML317">NA()</definedName>
    <definedName name="________________________ML318">NA()</definedName>
    <definedName name="________________________ML319">NA()</definedName>
    <definedName name="________________________ML32">#REF!</definedName>
    <definedName name="________________________ML320">NA()</definedName>
    <definedName name="________________________ML321">NA()</definedName>
    <definedName name="________________________ML322">NA()</definedName>
    <definedName name="________________________ML323">NA()</definedName>
    <definedName name="________________________ML324">NA()</definedName>
    <definedName name="________________________ML33">#REF!</definedName>
    <definedName name="________________________ML34">#REF!</definedName>
    <definedName name="________________________ML35">#REF!</definedName>
    <definedName name="________________________ML36">#REF!</definedName>
    <definedName name="________________________ML37">#REF!</definedName>
    <definedName name="________________________ML38">#REF!</definedName>
    <definedName name="________________________ML39">#REF!</definedName>
    <definedName name="________________________ML7">#REF!</definedName>
    <definedName name="________________________ML8">#REF!</definedName>
    <definedName name="________________________ML9">#REF!</definedName>
    <definedName name="________________________mm1">#REF!</definedName>
    <definedName name="________________________mm1000">#REF!</definedName>
    <definedName name="________________________mm11">#REF!</definedName>
    <definedName name="________________________mm111">#REF!</definedName>
    <definedName name="________________________mm600">#REF!</definedName>
    <definedName name="________________________mm800">#REF!</definedName>
    <definedName name="________________________PC1">#REF!</definedName>
    <definedName name="________________________PC10">#REF!</definedName>
    <definedName name="________________________PC11">#REF!</definedName>
    <definedName name="________________________PC12">#REF!</definedName>
    <definedName name="________________________PC13">NA()</definedName>
    <definedName name="________________________PC14">NA()</definedName>
    <definedName name="________________________PC15">NA()</definedName>
    <definedName name="________________________PC16">NA()</definedName>
    <definedName name="________________________PC17">NA()</definedName>
    <definedName name="________________________PC18">NA()</definedName>
    <definedName name="________________________PC19">NA()</definedName>
    <definedName name="________________________pc2">#REF!</definedName>
    <definedName name="________________________PC20">NA()</definedName>
    <definedName name="________________________PC21">NA()</definedName>
    <definedName name="________________________PC22">NA()</definedName>
    <definedName name="________________________PC23">NA()</definedName>
    <definedName name="________________________PC24">NA()</definedName>
    <definedName name="________________________PC3">NA()</definedName>
    <definedName name="________________________PC4">#REF!</definedName>
    <definedName name="________________________PC5">#REF!</definedName>
    <definedName name="________________________PC6">#REF!</definedName>
    <definedName name="________________________pc600">#REF!</definedName>
    <definedName name="________________________PC7">#REF!</definedName>
    <definedName name="________________________PC8">#REF!</definedName>
    <definedName name="________________________PC9">#REF!</definedName>
    <definedName name="________________________pc900">#REF!</definedName>
    <definedName name="________________________pv2">#REF!</definedName>
    <definedName name="________________________rr3">#REF!</definedName>
    <definedName name="________________________rrr1">#REF!</definedName>
    <definedName name="________________________ss12">#REF!</definedName>
    <definedName name="________________________ss20">#REF!</definedName>
    <definedName name="________________________ss40">#REF!</definedName>
    <definedName name="________________________var1">#REF!</definedName>
    <definedName name="________________________var4">#REF!</definedName>
    <definedName name="________________________vat1">NA()</definedName>
    <definedName name="_______________________bla1">#REF!</definedName>
    <definedName name="_______________________BSG100">#REF!</definedName>
    <definedName name="_______________________BSG150">#REF!</definedName>
    <definedName name="_______________________BSG5">#REF!</definedName>
    <definedName name="_______________________BSG75">#REF!</definedName>
    <definedName name="_______________________BTC1">NA()</definedName>
    <definedName name="_______________________BTC10">NA()</definedName>
    <definedName name="_______________________BTC11">NA()</definedName>
    <definedName name="_______________________BTC12">NA()</definedName>
    <definedName name="_______________________BTC13">#REF!</definedName>
    <definedName name="_______________________BTC14">#REF!</definedName>
    <definedName name="_______________________BTC15">#REF!</definedName>
    <definedName name="_______________________BTC16">#REF!</definedName>
    <definedName name="_______________________BTC17">#REF!</definedName>
    <definedName name="_______________________BTC18">#REF!</definedName>
    <definedName name="_______________________BTC19">#REF!</definedName>
    <definedName name="_______________________BTC2">NA()</definedName>
    <definedName name="_______________________BTC20">#REF!</definedName>
    <definedName name="_______________________BTC21">#REF!</definedName>
    <definedName name="_______________________BTC22">#REF!</definedName>
    <definedName name="_______________________BTC23">#REF!</definedName>
    <definedName name="_______________________BTC24">#REF!</definedName>
    <definedName name="_______________________BTC3">NA()</definedName>
    <definedName name="_______________________BTC4">NA()</definedName>
    <definedName name="_______________________BTC5">NA()</definedName>
    <definedName name="_______________________BTC6">NA()</definedName>
    <definedName name="_______________________BTC7">NA()</definedName>
    <definedName name="_______________________BTC8">NA()</definedName>
    <definedName name="_______________________BTC9">NA()</definedName>
    <definedName name="_______________________BTR1">NA()</definedName>
    <definedName name="_______________________BTR10">NA()</definedName>
    <definedName name="_______________________BTR11">NA()</definedName>
    <definedName name="_______________________BTR12">NA()</definedName>
    <definedName name="_______________________BTR13">#REF!</definedName>
    <definedName name="_______________________BTR14">#REF!</definedName>
    <definedName name="_______________________BTR15">#REF!</definedName>
    <definedName name="_______________________BTR16">#REF!</definedName>
    <definedName name="_______________________BTR17">#REF!</definedName>
    <definedName name="_______________________BTR18">#REF!</definedName>
    <definedName name="_______________________BTR19">#REF!</definedName>
    <definedName name="_______________________BTR2">NA()</definedName>
    <definedName name="_______________________BTR20">#REF!</definedName>
    <definedName name="_______________________BTR21">#REF!</definedName>
    <definedName name="_______________________BTR22">#REF!</definedName>
    <definedName name="_______________________BTR23">#REF!</definedName>
    <definedName name="_______________________BTR24">#REF!</definedName>
    <definedName name="_______________________BTR3">NA()</definedName>
    <definedName name="_______________________BTR4">NA()</definedName>
    <definedName name="_______________________BTR5">NA()</definedName>
    <definedName name="_______________________BTR6">NA()</definedName>
    <definedName name="_______________________BTR7">NA()</definedName>
    <definedName name="_______________________BTR8">NA()</definedName>
    <definedName name="_______________________BTR9">NA()</definedName>
    <definedName name="_______________________BTS1">NA()</definedName>
    <definedName name="_______________________BTS10">NA()</definedName>
    <definedName name="_______________________BTS11">NA()</definedName>
    <definedName name="_______________________BTS12">NA()</definedName>
    <definedName name="_______________________BTS13">#REF!</definedName>
    <definedName name="_______________________BTS14">#REF!</definedName>
    <definedName name="_______________________BTS15">#REF!</definedName>
    <definedName name="_______________________BTS16">#REF!</definedName>
    <definedName name="_______________________BTS17">#REF!</definedName>
    <definedName name="_______________________BTS18">#REF!</definedName>
    <definedName name="_______________________BTS19">#REF!</definedName>
    <definedName name="_______________________BTS2">NA()</definedName>
    <definedName name="_______________________BTS20">#REF!</definedName>
    <definedName name="_______________________BTS21">#REF!</definedName>
    <definedName name="_______________________BTS22">#REF!</definedName>
    <definedName name="_______________________BTS23">#REF!</definedName>
    <definedName name="_______________________BTS24">#REF!</definedName>
    <definedName name="_______________________BTS3">NA()</definedName>
    <definedName name="_______________________BTS4">NA()</definedName>
    <definedName name="_______________________BTS5">NA()</definedName>
    <definedName name="_______________________BTS6">NA()</definedName>
    <definedName name="_______________________BTS7">NA()</definedName>
    <definedName name="_______________________BTS8">NA()</definedName>
    <definedName name="_______________________BTS9">NA()</definedName>
    <definedName name="_______________________can430">40.73</definedName>
    <definedName name="_______________________can435">43.3</definedName>
    <definedName name="_______________________CCW1">#REF!</definedName>
    <definedName name="_______________________CCW2">#REF!</definedName>
    <definedName name="_______________________cur1">#REF!</definedName>
    <definedName name="_______________________GBS11">NA()</definedName>
    <definedName name="_______________________GBS110">NA()</definedName>
    <definedName name="_______________________GBS111">NA()</definedName>
    <definedName name="_______________________GBS112">NA()</definedName>
    <definedName name="_______________________GBS113">#REF!</definedName>
    <definedName name="_______________________GBS114">#REF!</definedName>
    <definedName name="_______________________GBS115">#REF!</definedName>
    <definedName name="_______________________GBS116">#REF!</definedName>
    <definedName name="_______________________GBS117">#REF!</definedName>
    <definedName name="_______________________GBS118">#REF!</definedName>
    <definedName name="_______________________GBS119">#REF!</definedName>
    <definedName name="_______________________GBS12">NA()</definedName>
    <definedName name="_______________________GBS120">#REF!</definedName>
    <definedName name="_______________________GBS121">#REF!</definedName>
    <definedName name="_______________________GBS122">#REF!</definedName>
    <definedName name="_______________________GBS123">#REF!</definedName>
    <definedName name="_______________________GBS124">#REF!</definedName>
    <definedName name="_______________________GBS13">NA()</definedName>
    <definedName name="_______________________GBS14">NA()</definedName>
    <definedName name="_______________________GBS15">NA()</definedName>
    <definedName name="_______________________GBS16">NA()</definedName>
    <definedName name="_______________________GBS17">NA()</definedName>
    <definedName name="_______________________GBS18">NA()</definedName>
    <definedName name="_______________________GBS19">NA()</definedName>
    <definedName name="_______________________GBS21">NA()</definedName>
    <definedName name="_______________________GBS210">NA()</definedName>
    <definedName name="_______________________GBS211">NA()</definedName>
    <definedName name="_______________________GBS212">NA()</definedName>
    <definedName name="_______________________GBS213">#REF!</definedName>
    <definedName name="_______________________GBS214">#REF!</definedName>
    <definedName name="_______________________GBS215">#REF!</definedName>
    <definedName name="_______________________GBS216">#REF!</definedName>
    <definedName name="_______________________GBS217">#REF!</definedName>
    <definedName name="_______________________GBS218">#REF!</definedName>
    <definedName name="_______________________GBS219">#REF!</definedName>
    <definedName name="_______________________GBS22">NA()</definedName>
    <definedName name="_______________________GBS220">#REF!</definedName>
    <definedName name="_______________________GBS221">#REF!</definedName>
    <definedName name="_______________________GBS222">#REF!</definedName>
    <definedName name="_______________________GBS223">#REF!</definedName>
    <definedName name="_______________________GBS224">#REF!</definedName>
    <definedName name="_______________________GBS23">NA()</definedName>
    <definedName name="_______________________GBS24">NA()</definedName>
    <definedName name="_______________________GBS25">NA()</definedName>
    <definedName name="_______________________GBS26">NA()</definedName>
    <definedName name="_______________________GBS27">NA()</definedName>
    <definedName name="_______________________GBS28">NA()</definedName>
    <definedName name="_______________________GBS29">NA()</definedName>
    <definedName name="_______________________knr2">NA()</definedName>
    <definedName name="_______________________l1">#REF!</definedName>
    <definedName name="_______________________l12">#REF!</definedName>
    <definedName name="_______________________l2">#REF!</definedName>
    <definedName name="_______________________l3">#REF!</definedName>
    <definedName name="_______________________l4">#REF!</definedName>
    <definedName name="_______________________l5">#REF!</definedName>
    <definedName name="_______________________l6">#REF!</definedName>
    <definedName name="_______________________l7">#REF!</definedName>
    <definedName name="_______________________l8">#REF!</definedName>
    <definedName name="_______________________l9">#REF!</definedName>
    <definedName name="_______________________LJ6">#REF!</definedName>
    <definedName name="_______________________lj600">NA()</definedName>
    <definedName name="_______________________lj900">NA()</definedName>
    <definedName name="_______________________LL3">NA()</definedName>
    <definedName name="_______________________LSO24">#REF!</definedName>
    <definedName name="_______________________MA1">#REF!</definedName>
    <definedName name="_______________________MA2">#REF!</definedName>
    <definedName name="_______________________Met22">#REF!</definedName>
    <definedName name="_______________________Met45">#REF!</definedName>
    <definedName name="_______________________MEt55">#REF!</definedName>
    <definedName name="_______________________Met63">#REF!</definedName>
    <definedName name="_______________________ML21">NA()</definedName>
    <definedName name="_______________________ML210">NA()</definedName>
    <definedName name="_______________________ML211">NA()</definedName>
    <definedName name="_______________________ML212">NA()</definedName>
    <definedName name="_______________________ML213">#REF!</definedName>
    <definedName name="_______________________ML214">#REF!</definedName>
    <definedName name="_______________________ML215">#REF!</definedName>
    <definedName name="_______________________ML216">#REF!</definedName>
    <definedName name="_______________________ML217">#REF!</definedName>
    <definedName name="_______________________ML218">#REF!</definedName>
    <definedName name="_______________________ML219">#REF!</definedName>
    <definedName name="_______________________ML22">NA()</definedName>
    <definedName name="_______________________ML220">#REF!</definedName>
    <definedName name="_______________________ML221">#REF!</definedName>
    <definedName name="_______________________ML222">#REF!</definedName>
    <definedName name="_______________________ML223">#REF!</definedName>
    <definedName name="_______________________ML224">#REF!</definedName>
    <definedName name="_______________________ML23">NA()</definedName>
    <definedName name="_______________________ML24">NA()</definedName>
    <definedName name="_______________________ML25">NA()</definedName>
    <definedName name="_______________________ML26">NA()</definedName>
    <definedName name="_______________________ML27">NA()</definedName>
    <definedName name="_______________________ML28">NA()</definedName>
    <definedName name="_______________________ML29">NA()</definedName>
    <definedName name="_______________________ML31">NA()</definedName>
    <definedName name="_______________________ML310">NA()</definedName>
    <definedName name="_______________________ML311">NA()</definedName>
    <definedName name="_______________________ML312">NA()</definedName>
    <definedName name="_______________________ML313">#REF!</definedName>
    <definedName name="_______________________ML314">#REF!</definedName>
    <definedName name="_______________________ML315">#REF!</definedName>
    <definedName name="_______________________ML316">#REF!</definedName>
    <definedName name="_______________________ML317">#REF!</definedName>
    <definedName name="_______________________ML318">#REF!</definedName>
    <definedName name="_______________________ML319">#REF!</definedName>
    <definedName name="_______________________ML32">NA()</definedName>
    <definedName name="_______________________ML320">#REF!</definedName>
    <definedName name="_______________________ML321">#REF!</definedName>
    <definedName name="_______________________ML322">#REF!</definedName>
    <definedName name="_______________________ML323">#REF!</definedName>
    <definedName name="_______________________ML324">#REF!</definedName>
    <definedName name="_______________________ML33">NA()</definedName>
    <definedName name="_______________________ML34">NA()</definedName>
    <definedName name="_______________________ML35">NA()</definedName>
    <definedName name="_______________________ML36">NA()</definedName>
    <definedName name="_______________________ML37">NA()</definedName>
    <definedName name="_______________________ML38">NA()</definedName>
    <definedName name="_______________________ML39">NA()</definedName>
    <definedName name="_______________________ML7">NA()</definedName>
    <definedName name="_______________________ML8">NA()</definedName>
    <definedName name="_______________________ML9">NA()</definedName>
    <definedName name="_______________________mm1">#REF!</definedName>
    <definedName name="_______________________mm1000">#REF!</definedName>
    <definedName name="_______________________mm11">#REF!</definedName>
    <definedName name="_______________________mm111">#REF!</definedName>
    <definedName name="_______________________mm600">#REF!</definedName>
    <definedName name="_______________________mm800">#REF!</definedName>
    <definedName name="_______________________PC1">NA()</definedName>
    <definedName name="_______________________PC10">NA()</definedName>
    <definedName name="_______________________PC11">NA()</definedName>
    <definedName name="_______________________PC12">NA()</definedName>
    <definedName name="_______________________PC13">#REF!</definedName>
    <definedName name="_______________________PC14">#REF!</definedName>
    <definedName name="_______________________PC15">#REF!</definedName>
    <definedName name="_______________________PC16">#REF!</definedName>
    <definedName name="_______________________PC17">#REF!</definedName>
    <definedName name="_______________________PC18">#REF!</definedName>
    <definedName name="_______________________PC19">#REF!</definedName>
    <definedName name="_______________________pc2">#REF!</definedName>
    <definedName name="_______________________PC20">NA()</definedName>
    <definedName name="_______________________PC21">#REF!</definedName>
    <definedName name="_______________________PC22">#REF!</definedName>
    <definedName name="_______________________PC23">#REF!</definedName>
    <definedName name="_______________________PC24">#REF!</definedName>
    <definedName name="_______________________PC3">NA()</definedName>
    <definedName name="_______________________PC4">NA()</definedName>
    <definedName name="_______________________PC5">NA()</definedName>
    <definedName name="_______________________PC6">NA()</definedName>
    <definedName name="_______________________pc600">NA()</definedName>
    <definedName name="_______________________PC7">NA()</definedName>
    <definedName name="_______________________PC8">NA()</definedName>
    <definedName name="_______________________PC9">NA()</definedName>
    <definedName name="_______________________pc900">NA()</definedName>
    <definedName name="_______________________pv2">#REF!</definedName>
    <definedName name="_______________________rr3">#REF!</definedName>
    <definedName name="_______________________rrr1">#REF!</definedName>
    <definedName name="_______________________ss12">#REF!</definedName>
    <definedName name="_______________________ss20">#REF!</definedName>
    <definedName name="_______________________ss40">#REF!</definedName>
    <definedName name="_______________________var1">#REF!</definedName>
    <definedName name="_______________________var4">#REF!</definedName>
    <definedName name="_______________________vat1">NA()</definedName>
    <definedName name="______________________bla1">#REF!</definedName>
    <definedName name="______________________BSG100">#REF!</definedName>
    <definedName name="______________________BSG150">#REF!</definedName>
    <definedName name="______________________BSG5">#REF!</definedName>
    <definedName name="______________________BSG75">#REF!</definedName>
    <definedName name="______________________BTC1">#REF!</definedName>
    <definedName name="______________________BTC10">#REF!</definedName>
    <definedName name="______________________BTC11">#REF!</definedName>
    <definedName name="______________________BTC12">#REF!</definedName>
    <definedName name="______________________BTC13">#REF!</definedName>
    <definedName name="______________________BTC14">#REF!</definedName>
    <definedName name="______________________BTC15">#REF!</definedName>
    <definedName name="______________________BTC16">#REF!</definedName>
    <definedName name="______________________BTC17">#REF!</definedName>
    <definedName name="______________________BTC18">#REF!</definedName>
    <definedName name="______________________BTC19">#REF!</definedName>
    <definedName name="______________________BTC2">#REF!</definedName>
    <definedName name="______________________BTC20">#REF!</definedName>
    <definedName name="______________________BTC21">#REF!</definedName>
    <definedName name="______________________BTC22">#REF!</definedName>
    <definedName name="______________________BTC23">#REF!</definedName>
    <definedName name="______________________BTC24">#REF!</definedName>
    <definedName name="______________________BTC3">#REF!</definedName>
    <definedName name="______________________BTC4">#REF!</definedName>
    <definedName name="______________________BTC5">#REF!</definedName>
    <definedName name="______________________BTC6">#REF!</definedName>
    <definedName name="______________________BTC7">#REF!</definedName>
    <definedName name="______________________BTC8">#REF!</definedName>
    <definedName name="______________________BTC9">#REF!</definedName>
    <definedName name="______________________BTR1">#REF!</definedName>
    <definedName name="______________________BTR10">#REF!</definedName>
    <definedName name="______________________BTR11">#REF!</definedName>
    <definedName name="______________________BTR12">#REF!</definedName>
    <definedName name="______________________BTR13">#REF!</definedName>
    <definedName name="______________________BTR14">#REF!</definedName>
    <definedName name="______________________BTR15">#REF!</definedName>
    <definedName name="______________________BTR16">#REF!</definedName>
    <definedName name="______________________BTR17">#REF!</definedName>
    <definedName name="______________________BTR18">#REF!</definedName>
    <definedName name="______________________BTR19">#REF!</definedName>
    <definedName name="______________________BTR2">#REF!</definedName>
    <definedName name="______________________BTR20">#REF!</definedName>
    <definedName name="______________________BTR21">#REF!</definedName>
    <definedName name="______________________BTR22">#REF!</definedName>
    <definedName name="______________________BTR23">#REF!</definedName>
    <definedName name="______________________BTR24">#REF!</definedName>
    <definedName name="______________________BTR3">#REF!</definedName>
    <definedName name="______________________BTR4">#REF!</definedName>
    <definedName name="______________________BTR5">#REF!</definedName>
    <definedName name="______________________BTR6">#REF!</definedName>
    <definedName name="______________________BTR7">#REF!</definedName>
    <definedName name="______________________BTR8">#REF!</definedName>
    <definedName name="______________________BTR9">#REF!</definedName>
    <definedName name="______________________BTS1">#REF!</definedName>
    <definedName name="______________________BTS10">#REF!</definedName>
    <definedName name="______________________BTS11">#REF!</definedName>
    <definedName name="______________________BTS12">#REF!</definedName>
    <definedName name="______________________BTS13">#REF!</definedName>
    <definedName name="______________________BTS14">#REF!</definedName>
    <definedName name="______________________BTS15">#REF!</definedName>
    <definedName name="______________________BTS16">#REF!</definedName>
    <definedName name="______________________BTS17">#REF!</definedName>
    <definedName name="______________________BTS18">#REF!</definedName>
    <definedName name="______________________BTS19">#REF!</definedName>
    <definedName name="______________________BTS2">#REF!</definedName>
    <definedName name="______________________BTS20">#REF!</definedName>
    <definedName name="______________________BTS21">#REF!</definedName>
    <definedName name="______________________BTS22">#REF!</definedName>
    <definedName name="______________________BTS23">#REF!</definedName>
    <definedName name="______________________BTS24">#REF!</definedName>
    <definedName name="______________________BTS3">#REF!</definedName>
    <definedName name="______________________BTS4">#REF!</definedName>
    <definedName name="______________________BTS5">#REF!</definedName>
    <definedName name="______________________BTS6">#REF!</definedName>
    <definedName name="______________________BTS7">#REF!</definedName>
    <definedName name="______________________BTS8">#REF!</definedName>
    <definedName name="______________________BTS9">#REF!</definedName>
    <definedName name="______________________can430">40.73</definedName>
    <definedName name="______________________can435">43.3</definedName>
    <definedName name="______________________CCW1">#REF!</definedName>
    <definedName name="______________________CCW2">#REF!</definedName>
    <definedName name="______________________cur1">#REF!</definedName>
    <definedName name="______________________GBS11">#REF!</definedName>
    <definedName name="______________________GBS110">#REF!</definedName>
    <definedName name="______________________GBS111">#REF!</definedName>
    <definedName name="______________________GBS112">#REF!</definedName>
    <definedName name="______________________GBS113">#REF!</definedName>
    <definedName name="______________________GBS114">#REF!</definedName>
    <definedName name="______________________GBS115">#REF!</definedName>
    <definedName name="______________________GBS116">#REF!</definedName>
    <definedName name="______________________GBS117">#REF!</definedName>
    <definedName name="______________________GBS118">#REF!</definedName>
    <definedName name="______________________GBS119">#REF!</definedName>
    <definedName name="______________________GBS12">#REF!</definedName>
    <definedName name="______________________GBS120">#REF!</definedName>
    <definedName name="______________________GBS121">#REF!</definedName>
    <definedName name="______________________GBS122">#REF!</definedName>
    <definedName name="______________________GBS123">#REF!</definedName>
    <definedName name="______________________GBS124">#REF!</definedName>
    <definedName name="______________________GBS13">#REF!</definedName>
    <definedName name="______________________GBS14">#REF!</definedName>
    <definedName name="______________________GBS15">#REF!</definedName>
    <definedName name="______________________GBS16">#REF!</definedName>
    <definedName name="______________________GBS17">#REF!</definedName>
    <definedName name="______________________GBS18">#REF!</definedName>
    <definedName name="______________________GBS19">#REF!</definedName>
    <definedName name="______________________GBS21">#REF!</definedName>
    <definedName name="______________________GBS210">#REF!</definedName>
    <definedName name="______________________GBS211">#REF!</definedName>
    <definedName name="______________________GBS212">#REF!</definedName>
    <definedName name="______________________GBS213">#REF!</definedName>
    <definedName name="______________________GBS214">#REF!</definedName>
    <definedName name="______________________GBS215">#REF!</definedName>
    <definedName name="______________________GBS216">#REF!</definedName>
    <definedName name="______________________GBS217">#REF!</definedName>
    <definedName name="______________________GBS218">#REF!</definedName>
    <definedName name="______________________GBS219">#REF!</definedName>
    <definedName name="______________________GBS22">#REF!</definedName>
    <definedName name="______________________GBS220">#REF!</definedName>
    <definedName name="______________________GBS221">#REF!</definedName>
    <definedName name="______________________GBS222">#REF!</definedName>
    <definedName name="______________________GBS223">#REF!</definedName>
    <definedName name="______________________GBS224">#REF!</definedName>
    <definedName name="______________________GBS23">#REF!</definedName>
    <definedName name="______________________GBS24">#REF!</definedName>
    <definedName name="______________________GBS25">#REF!</definedName>
    <definedName name="______________________GBS26">#REF!</definedName>
    <definedName name="______________________GBS27">#REF!</definedName>
    <definedName name="______________________GBS28">#REF!</definedName>
    <definedName name="______________________GBS29">#REF!</definedName>
    <definedName name="______________________imp1">#REF!</definedName>
    <definedName name="______________________knr2">NA()</definedName>
    <definedName name="______________________l1">#REF!</definedName>
    <definedName name="______________________l12">#REF!</definedName>
    <definedName name="______________________l2">#REF!</definedName>
    <definedName name="______________________l3">#REF!</definedName>
    <definedName name="______________________l4">#REF!</definedName>
    <definedName name="______________________l5">#REF!</definedName>
    <definedName name="______________________l6">#REF!</definedName>
    <definedName name="______________________l7">#REF!</definedName>
    <definedName name="______________________l8">#REF!</definedName>
    <definedName name="______________________l9">#REF!</definedName>
    <definedName name="______________________LJ6">#REF!</definedName>
    <definedName name="______________________lj600">#REF!</definedName>
    <definedName name="______________________lj900">#REF!</definedName>
    <definedName name="______________________LL3">#REF!</definedName>
    <definedName name="______________________LSO24">"[14]lead!#ref!"</definedName>
    <definedName name="______________________MA1">#REF!</definedName>
    <definedName name="______________________MA2">#REF!</definedName>
    <definedName name="______________________Met22">#REF!</definedName>
    <definedName name="______________________Met45">#REF!</definedName>
    <definedName name="______________________MEt55">#REF!</definedName>
    <definedName name="______________________Met63">#REF!</definedName>
    <definedName name="______________________ML21">#REF!</definedName>
    <definedName name="______________________ML210">#REF!</definedName>
    <definedName name="______________________ML211">#REF!</definedName>
    <definedName name="______________________ML212">#REF!</definedName>
    <definedName name="______________________ML213">#REF!</definedName>
    <definedName name="______________________ML214">#REF!</definedName>
    <definedName name="______________________ML215">#REF!</definedName>
    <definedName name="______________________ML216">#REF!</definedName>
    <definedName name="______________________ML217">#REF!</definedName>
    <definedName name="______________________ML218">#REF!</definedName>
    <definedName name="______________________ML219">#REF!</definedName>
    <definedName name="______________________ML22">#REF!</definedName>
    <definedName name="______________________ML220">#REF!</definedName>
    <definedName name="______________________ML221">#REF!</definedName>
    <definedName name="______________________ML222">#REF!</definedName>
    <definedName name="______________________ML223">#REF!</definedName>
    <definedName name="______________________ML224">#REF!</definedName>
    <definedName name="______________________ML23">#REF!</definedName>
    <definedName name="______________________ML24">#REF!</definedName>
    <definedName name="______________________ML25">#REF!</definedName>
    <definedName name="______________________ML26">#REF!</definedName>
    <definedName name="______________________ML27">#REF!</definedName>
    <definedName name="______________________ML28">#REF!</definedName>
    <definedName name="______________________ML29">#REF!</definedName>
    <definedName name="______________________ML31">#REF!</definedName>
    <definedName name="______________________ML310">#REF!</definedName>
    <definedName name="______________________ML311">#REF!</definedName>
    <definedName name="______________________ML312">#REF!</definedName>
    <definedName name="______________________ML313">#REF!</definedName>
    <definedName name="______________________ML314">#REF!</definedName>
    <definedName name="______________________ML315">#REF!</definedName>
    <definedName name="______________________ML316">#REF!</definedName>
    <definedName name="______________________ML317">#REF!</definedName>
    <definedName name="______________________ML318">#REF!</definedName>
    <definedName name="______________________ML319">#REF!</definedName>
    <definedName name="______________________ML32">#REF!</definedName>
    <definedName name="______________________ML320">#REF!</definedName>
    <definedName name="______________________ML321">#REF!</definedName>
    <definedName name="______________________ML322">#REF!</definedName>
    <definedName name="______________________ML323">#REF!</definedName>
    <definedName name="______________________ML324">#REF!</definedName>
    <definedName name="______________________ML33">#REF!</definedName>
    <definedName name="______________________ML34">#REF!</definedName>
    <definedName name="______________________ML35">#REF!</definedName>
    <definedName name="______________________ML36">#REF!</definedName>
    <definedName name="______________________ML37">#REF!</definedName>
    <definedName name="______________________ML38">#REF!</definedName>
    <definedName name="______________________ML39">#REF!</definedName>
    <definedName name="______________________ML7">#REF!</definedName>
    <definedName name="______________________ML8">#REF!</definedName>
    <definedName name="______________________ML9">#REF!</definedName>
    <definedName name="______________________mm1">#REF!</definedName>
    <definedName name="______________________mm1000">#REF!</definedName>
    <definedName name="______________________mm11">#REF!</definedName>
    <definedName name="______________________mm111">#REF!</definedName>
    <definedName name="______________________mm600">#REF!</definedName>
    <definedName name="______________________mm800">#REF!</definedName>
    <definedName name="______________________PC1">#REF!</definedName>
    <definedName name="______________________PC10">#REF!</definedName>
    <definedName name="______________________PC11">#REF!</definedName>
    <definedName name="______________________PC12">#REF!</definedName>
    <definedName name="______________________PC13">#REF!</definedName>
    <definedName name="______________________PC14">#REF!</definedName>
    <definedName name="______________________PC15">#REF!</definedName>
    <definedName name="______________________PC16">#REF!</definedName>
    <definedName name="______________________PC17">#REF!</definedName>
    <definedName name="______________________PC18">#REF!</definedName>
    <definedName name="______________________PC19">#REF!</definedName>
    <definedName name="______________________pc2">#REF!</definedName>
    <definedName name="______________________PC20">NA()</definedName>
    <definedName name="______________________PC21">#REF!</definedName>
    <definedName name="______________________PC22">#REF!</definedName>
    <definedName name="______________________PC23">#REF!</definedName>
    <definedName name="______________________PC24">#REF!</definedName>
    <definedName name="______________________PC3">#REF!</definedName>
    <definedName name="______________________PC4">#REF!</definedName>
    <definedName name="______________________PC5">#REF!</definedName>
    <definedName name="______________________PC6">#REF!</definedName>
    <definedName name="______________________pc600">#REF!</definedName>
    <definedName name="______________________PC7">#REF!</definedName>
    <definedName name="______________________PC8">#REF!</definedName>
    <definedName name="______________________PC9">#REF!</definedName>
    <definedName name="______________________pc900">#REF!</definedName>
    <definedName name="______________________pla4">#REF!</definedName>
    <definedName name="______________________pv2">#REF!</definedName>
    <definedName name="______________________rr3">#REF!</definedName>
    <definedName name="______________________rrr1">#REF!</definedName>
    <definedName name="______________________SP10">#REF!</definedName>
    <definedName name="______________________SP16">#REF!</definedName>
    <definedName name="______________________SP7">#REF!</definedName>
    <definedName name="______________________ss12">#REF!</definedName>
    <definedName name="______________________ss20">#REF!</definedName>
    <definedName name="______________________ss40">#REF!</definedName>
    <definedName name="______________________var1">#REF!</definedName>
    <definedName name="______________________var4">#REF!</definedName>
    <definedName name="______________________vat1">NA()</definedName>
    <definedName name="_____________________bla1">#REF!</definedName>
    <definedName name="_____________________BSG100">#REF!</definedName>
    <definedName name="_____________________BSG150">#REF!</definedName>
    <definedName name="_____________________BSG5">#REF!</definedName>
    <definedName name="_____________________BSG75">#REF!</definedName>
    <definedName name="_____________________BTC1">#REF!</definedName>
    <definedName name="_____________________BTC10">#REF!</definedName>
    <definedName name="_____________________BTC11">#REF!</definedName>
    <definedName name="_____________________BTC12">#REF!</definedName>
    <definedName name="_____________________BTC13">#REF!</definedName>
    <definedName name="_____________________BTC14">#REF!</definedName>
    <definedName name="_____________________BTC15">#REF!</definedName>
    <definedName name="_____________________BTC16">#REF!</definedName>
    <definedName name="_____________________BTC17">#REF!</definedName>
    <definedName name="_____________________BTC18">#REF!</definedName>
    <definedName name="_____________________BTC19">#REF!</definedName>
    <definedName name="_____________________BTC2">#REF!</definedName>
    <definedName name="_____________________BTC20">#REF!</definedName>
    <definedName name="_____________________BTC21">#REF!</definedName>
    <definedName name="_____________________BTC22">#REF!</definedName>
    <definedName name="_____________________BTC23">#REF!</definedName>
    <definedName name="_____________________BTC24">#REF!</definedName>
    <definedName name="_____________________BTC3">#REF!</definedName>
    <definedName name="_____________________BTC4">#REF!</definedName>
    <definedName name="_____________________BTC5">#REF!</definedName>
    <definedName name="_____________________BTC6">#REF!</definedName>
    <definedName name="_____________________BTC7">#REF!</definedName>
    <definedName name="_____________________BTC8">#REF!</definedName>
    <definedName name="_____________________BTC9">#REF!</definedName>
    <definedName name="_____________________BTR1">#REF!</definedName>
    <definedName name="_____________________BTR10">#REF!</definedName>
    <definedName name="_____________________BTR11">#REF!</definedName>
    <definedName name="_____________________BTR12">#REF!</definedName>
    <definedName name="_____________________BTR13">#REF!</definedName>
    <definedName name="_____________________BTR14">#REF!</definedName>
    <definedName name="_____________________BTR15">#REF!</definedName>
    <definedName name="_____________________BTR16">#REF!</definedName>
    <definedName name="_____________________BTR17">#REF!</definedName>
    <definedName name="_____________________BTR18">#REF!</definedName>
    <definedName name="_____________________BTR19">#REF!</definedName>
    <definedName name="_____________________BTR2">#REF!</definedName>
    <definedName name="_____________________BTR20">#REF!</definedName>
    <definedName name="_____________________BTR21">#REF!</definedName>
    <definedName name="_____________________BTR22">#REF!</definedName>
    <definedName name="_____________________BTR23">#REF!</definedName>
    <definedName name="_____________________BTR24">#REF!</definedName>
    <definedName name="_____________________BTR3">#REF!</definedName>
    <definedName name="_____________________BTR4">#REF!</definedName>
    <definedName name="_____________________BTR5">#REF!</definedName>
    <definedName name="_____________________BTR6">#REF!</definedName>
    <definedName name="_____________________BTR7">#REF!</definedName>
    <definedName name="_____________________BTR8">#REF!</definedName>
    <definedName name="_____________________BTR9">#REF!</definedName>
    <definedName name="_____________________BTS1">#REF!</definedName>
    <definedName name="_____________________BTS10">#REF!</definedName>
    <definedName name="_____________________BTS11">#REF!</definedName>
    <definedName name="_____________________BTS12">#REF!</definedName>
    <definedName name="_____________________BTS13">#REF!</definedName>
    <definedName name="_____________________BTS14">#REF!</definedName>
    <definedName name="_____________________BTS15">#REF!</definedName>
    <definedName name="_____________________BTS16">#REF!</definedName>
    <definedName name="_____________________BTS17">#REF!</definedName>
    <definedName name="_____________________BTS18">#REF!</definedName>
    <definedName name="_____________________BTS19">#REF!</definedName>
    <definedName name="_____________________BTS2">#REF!</definedName>
    <definedName name="_____________________BTS20">#REF!</definedName>
    <definedName name="_____________________BTS21">#REF!</definedName>
    <definedName name="_____________________BTS22">#REF!</definedName>
    <definedName name="_____________________BTS23">#REF!</definedName>
    <definedName name="_____________________BTS24">#REF!</definedName>
    <definedName name="_____________________BTS3">#REF!</definedName>
    <definedName name="_____________________BTS4">#REF!</definedName>
    <definedName name="_____________________BTS5">#REF!</definedName>
    <definedName name="_____________________BTS6">#REF!</definedName>
    <definedName name="_____________________BTS7">#REF!</definedName>
    <definedName name="_____________________BTS8">#REF!</definedName>
    <definedName name="_____________________BTS9">#REF!</definedName>
    <definedName name="_____________________can430">40.73</definedName>
    <definedName name="_____________________can435">43.3</definedName>
    <definedName name="_____________________CCW1">#REF!</definedName>
    <definedName name="_____________________CCW2">#REF!</definedName>
    <definedName name="_____________________cur1">#REF!</definedName>
    <definedName name="_____________________GBS11">#REF!</definedName>
    <definedName name="_____________________GBS110">#REF!</definedName>
    <definedName name="_____________________GBS111">#REF!</definedName>
    <definedName name="_____________________GBS112">#REF!</definedName>
    <definedName name="_____________________GBS113">#REF!</definedName>
    <definedName name="_____________________GBS114">#REF!</definedName>
    <definedName name="_____________________GBS115">#REF!</definedName>
    <definedName name="_____________________GBS116">#REF!</definedName>
    <definedName name="_____________________GBS117">#REF!</definedName>
    <definedName name="_____________________GBS118">#REF!</definedName>
    <definedName name="_____________________GBS119">#REF!</definedName>
    <definedName name="_____________________GBS12">#REF!</definedName>
    <definedName name="_____________________GBS120">#REF!</definedName>
    <definedName name="_____________________GBS121">#REF!</definedName>
    <definedName name="_____________________GBS122">#REF!</definedName>
    <definedName name="_____________________GBS123">#REF!</definedName>
    <definedName name="_____________________GBS124">#REF!</definedName>
    <definedName name="_____________________GBS13">#REF!</definedName>
    <definedName name="_____________________GBS14">#REF!</definedName>
    <definedName name="_____________________GBS15">#REF!</definedName>
    <definedName name="_____________________GBS16">#REF!</definedName>
    <definedName name="_____________________GBS17">#REF!</definedName>
    <definedName name="_____________________GBS18">#REF!</definedName>
    <definedName name="_____________________GBS19">#REF!</definedName>
    <definedName name="_____________________GBS21">#REF!</definedName>
    <definedName name="_____________________GBS210">#REF!</definedName>
    <definedName name="_____________________GBS211">#REF!</definedName>
    <definedName name="_____________________GBS212">#REF!</definedName>
    <definedName name="_____________________GBS213">#REF!</definedName>
    <definedName name="_____________________GBS214">#REF!</definedName>
    <definedName name="_____________________GBS215">#REF!</definedName>
    <definedName name="_____________________GBS216">#REF!</definedName>
    <definedName name="_____________________GBS217">#REF!</definedName>
    <definedName name="_____________________GBS218">#REF!</definedName>
    <definedName name="_____________________GBS219">#REF!</definedName>
    <definedName name="_____________________GBS22">#REF!</definedName>
    <definedName name="_____________________GBS220">#REF!</definedName>
    <definedName name="_____________________GBS221">#REF!</definedName>
    <definedName name="_____________________GBS222">#REF!</definedName>
    <definedName name="_____________________GBS223">#REF!</definedName>
    <definedName name="_____________________GBS224">#REF!</definedName>
    <definedName name="_____________________GBS23">#REF!</definedName>
    <definedName name="_____________________GBS24">#REF!</definedName>
    <definedName name="_____________________GBS25">#REF!</definedName>
    <definedName name="_____________________GBS26">#REF!</definedName>
    <definedName name="_____________________GBS27">#REF!</definedName>
    <definedName name="_____________________GBS28">#REF!</definedName>
    <definedName name="_____________________GBS29">#REF!</definedName>
    <definedName name="_____________________imp1">#REF!</definedName>
    <definedName name="_____________________knr2">NA()</definedName>
    <definedName name="_____________________l1">#REF!</definedName>
    <definedName name="_____________________l12">#REF!</definedName>
    <definedName name="_____________________l2">#REF!</definedName>
    <definedName name="_____________________l3">#REF!</definedName>
    <definedName name="_____________________l4">#REF!</definedName>
    <definedName name="_____________________l5">#REF!</definedName>
    <definedName name="_____________________l6">#REF!</definedName>
    <definedName name="_____________________l7">#REF!</definedName>
    <definedName name="_____________________l8">#REF!</definedName>
    <definedName name="_____________________l9">#REF!</definedName>
    <definedName name="_____________________LJ6">#REF!</definedName>
    <definedName name="_____________________lj600">#REF!</definedName>
    <definedName name="_____________________lj900">#REF!</definedName>
    <definedName name="_____________________LL3">#REF!</definedName>
    <definedName name="_____________________LSO24">#REF!</definedName>
    <definedName name="_____________________MA1">#REF!</definedName>
    <definedName name="_____________________MA2">#REF!</definedName>
    <definedName name="_____________________Met22">#REF!</definedName>
    <definedName name="_____________________Met45">#REF!</definedName>
    <definedName name="_____________________MEt55">#REF!</definedName>
    <definedName name="_____________________Met63">#REF!</definedName>
    <definedName name="_____________________ML21">#REF!</definedName>
    <definedName name="_____________________ML210">#REF!</definedName>
    <definedName name="_____________________ML211">#REF!</definedName>
    <definedName name="_____________________ML212">#REF!</definedName>
    <definedName name="_____________________ML213">#REF!</definedName>
    <definedName name="_____________________ML214">#REF!</definedName>
    <definedName name="_____________________ML215">#REF!</definedName>
    <definedName name="_____________________ML216">#REF!</definedName>
    <definedName name="_____________________ML217">#REF!</definedName>
    <definedName name="_____________________ML218">#REF!</definedName>
    <definedName name="_____________________ML219">#REF!</definedName>
    <definedName name="_____________________ML22">#REF!</definedName>
    <definedName name="_____________________ML220">#REF!</definedName>
    <definedName name="_____________________ML221">#REF!</definedName>
    <definedName name="_____________________ML222">#REF!</definedName>
    <definedName name="_____________________ML223">#REF!</definedName>
    <definedName name="_____________________ML224">#REF!</definedName>
    <definedName name="_____________________ML23">#REF!</definedName>
    <definedName name="_____________________ML24">#REF!</definedName>
    <definedName name="_____________________ML25">#REF!</definedName>
    <definedName name="_____________________ML26">#REF!</definedName>
    <definedName name="_____________________ML27">#REF!</definedName>
    <definedName name="_____________________ML28">#REF!</definedName>
    <definedName name="_____________________ML29">#REF!</definedName>
    <definedName name="_____________________ML31">#REF!</definedName>
    <definedName name="_____________________ML310">#REF!</definedName>
    <definedName name="_____________________ML311">#REF!</definedName>
    <definedName name="_____________________ML312">#REF!</definedName>
    <definedName name="_____________________ML313">#REF!</definedName>
    <definedName name="_____________________ML314">#REF!</definedName>
    <definedName name="_____________________ML315">#REF!</definedName>
    <definedName name="_____________________ML316">#REF!</definedName>
    <definedName name="_____________________ML317">#REF!</definedName>
    <definedName name="_____________________ML318">#REF!</definedName>
    <definedName name="_____________________ML319">#REF!</definedName>
    <definedName name="_____________________ML32">#REF!</definedName>
    <definedName name="_____________________ML320">#REF!</definedName>
    <definedName name="_____________________ML321">#REF!</definedName>
    <definedName name="_____________________ML322">#REF!</definedName>
    <definedName name="_____________________ML323">#REF!</definedName>
    <definedName name="_____________________ML324">#REF!</definedName>
    <definedName name="_____________________ML33">#REF!</definedName>
    <definedName name="_____________________ML34">#REF!</definedName>
    <definedName name="_____________________ML35">#REF!</definedName>
    <definedName name="_____________________ML36">#REF!</definedName>
    <definedName name="_____________________ML37">#REF!</definedName>
    <definedName name="_____________________ML38">#REF!</definedName>
    <definedName name="_____________________ML39">#REF!</definedName>
    <definedName name="_____________________ML7">#REF!</definedName>
    <definedName name="_____________________ML8">#REF!</definedName>
    <definedName name="_____________________ML9">#REF!</definedName>
    <definedName name="_____________________mm1">#REF!</definedName>
    <definedName name="_____________________mm1000">#REF!</definedName>
    <definedName name="_____________________mm11">#REF!</definedName>
    <definedName name="_____________________mm111">#REF!</definedName>
    <definedName name="_____________________mm600">#REF!</definedName>
    <definedName name="_____________________mm800">#REF!</definedName>
    <definedName name="_____________________PC1">#REF!</definedName>
    <definedName name="_____________________PC10">#REF!</definedName>
    <definedName name="_____________________PC11">#REF!</definedName>
    <definedName name="_____________________PC12">#REF!</definedName>
    <definedName name="_____________________PC13">#REF!</definedName>
    <definedName name="_____________________PC14">#REF!</definedName>
    <definedName name="_____________________PC15">#REF!</definedName>
    <definedName name="_____________________PC16">#REF!</definedName>
    <definedName name="_____________________PC17">#REF!</definedName>
    <definedName name="_____________________PC18">#REF!</definedName>
    <definedName name="_____________________PC19">#REF!</definedName>
    <definedName name="_____________________pc2">#REF!</definedName>
    <definedName name="_____________________PC20">NA()</definedName>
    <definedName name="_____________________PC21">#REF!</definedName>
    <definedName name="_____________________PC22">#REF!</definedName>
    <definedName name="_____________________PC23">#REF!</definedName>
    <definedName name="_____________________PC24">#REF!</definedName>
    <definedName name="_____________________PC3">#REF!</definedName>
    <definedName name="_____________________PC4">#REF!</definedName>
    <definedName name="_____________________PC5">#REF!</definedName>
    <definedName name="_____________________PC6">#REF!</definedName>
    <definedName name="_____________________pc600">#REF!</definedName>
    <definedName name="_____________________PC7">#REF!</definedName>
    <definedName name="_____________________PC8">#REF!</definedName>
    <definedName name="_____________________PC9">#REF!</definedName>
    <definedName name="_____________________pc900">#REF!</definedName>
    <definedName name="_____________________pla4">#REF!</definedName>
    <definedName name="_____________________pv2">#REF!</definedName>
    <definedName name="_____________________rr3">#REF!</definedName>
    <definedName name="_____________________rrr1">#REF!</definedName>
    <definedName name="_____________________SP10">#REF!</definedName>
    <definedName name="_____________________SP16">#REF!</definedName>
    <definedName name="_____________________SP7">#REF!</definedName>
    <definedName name="_____________________ss12">#REF!</definedName>
    <definedName name="_____________________ss20">#REF!</definedName>
    <definedName name="_____________________ss40">#REF!</definedName>
    <definedName name="_____________________var1">#REF!</definedName>
    <definedName name="_____________________var4">#REF!</definedName>
    <definedName name="_____________________vat1">NA()</definedName>
    <definedName name="____________________bla1">#REF!</definedName>
    <definedName name="____________________BSG100">#REF!</definedName>
    <definedName name="____________________BSG150">#REF!</definedName>
    <definedName name="____________________BSG5">#REF!</definedName>
    <definedName name="____________________BSG75">#REF!</definedName>
    <definedName name="____________________BTC1">#REF!</definedName>
    <definedName name="____________________BTC10">#REF!</definedName>
    <definedName name="____________________BTC11">#REF!</definedName>
    <definedName name="____________________BTC12">#REF!</definedName>
    <definedName name="____________________BTC13">#REF!</definedName>
    <definedName name="____________________BTC14">#REF!</definedName>
    <definedName name="____________________BTC15">#REF!</definedName>
    <definedName name="____________________BTC16">#REF!</definedName>
    <definedName name="____________________BTC17">#REF!</definedName>
    <definedName name="____________________BTC18">#REF!</definedName>
    <definedName name="____________________BTC19">#REF!</definedName>
    <definedName name="____________________BTC2">#REF!</definedName>
    <definedName name="____________________BTC20">#REF!</definedName>
    <definedName name="____________________BTC21">#REF!</definedName>
    <definedName name="____________________BTC22">#REF!</definedName>
    <definedName name="____________________BTC23">#REF!</definedName>
    <definedName name="____________________BTC24">#REF!</definedName>
    <definedName name="____________________BTC3">#REF!</definedName>
    <definedName name="____________________BTC4">#REF!</definedName>
    <definedName name="____________________BTC5">#REF!</definedName>
    <definedName name="____________________BTC6">#REF!</definedName>
    <definedName name="____________________BTC7">#REF!</definedName>
    <definedName name="____________________BTC8">#REF!</definedName>
    <definedName name="____________________BTC9">#REF!</definedName>
    <definedName name="____________________BTR1">#REF!</definedName>
    <definedName name="____________________BTR10">#REF!</definedName>
    <definedName name="____________________BTR11">#REF!</definedName>
    <definedName name="____________________BTR12">#REF!</definedName>
    <definedName name="____________________BTR13">#REF!</definedName>
    <definedName name="____________________BTR14">#REF!</definedName>
    <definedName name="____________________BTR15">#REF!</definedName>
    <definedName name="____________________BTR16">#REF!</definedName>
    <definedName name="____________________BTR17">#REF!</definedName>
    <definedName name="____________________BTR18">#REF!</definedName>
    <definedName name="____________________BTR19">#REF!</definedName>
    <definedName name="____________________BTR2">#REF!</definedName>
    <definedName name="____________________BTR20">#REF!</definedName>
    <definedName name="____________________BTR21">#REF!</definedName>
    <definedName name="____________________BTR22">#REF!</definedName>
    <definedName name="____________________BTR23">#REF!</definedName>
    <definedName name="____________________BTR24">#REF!</definedName>
    <definedName name="____________________BTR3">#REF!</definedName>
    <definedName name="____________________BTR4">#REF!</definedName>
    <definedName name="____________________BTR5">#REF!</definedName>
    <definedName name="____________________BTR6">#REF!</definedName>
    <definedName name="____________________BTR7">#REF!</definedName>
    <definedName name="____________________BTR8">#REF!</definedName>
    <definedName name="____________________BTR9">#REF!</definedName>
    <definedName name="____________________BTS1">#REF!</definedName>
    <definedName name="____________________BTS10">#REF!</definedName>
    <definedName name="____________________BTS11">#REF!</definedName>
    <definedName name="____________________BTS12">#REF!</definedName>
    <definedName name="____________________BTS13">#REF!</definedName>
    <definedName name="____________________BTS14">#REF!</definedName>
    <definedName name="____________________BTS15">#REF!</definedName>
    <definedName name="____________________BTS16">#REF!</definedName>
    <definedName name="____________________BTS17">#REF!</definedName>
    <definedName name="____________________BTS18">#REF!</definedName>
    <definedName name="____________________BTS19">#REF!</definedName>
    <definedName name="____________________BTS2">#REF!</definedName>
    <definedName name="____________________BTS20">#REF!</definedName>
    <definedName name="____________________BTS21">#REF!</definedName>
    <definedName name="____________________BTS22">#REF!</definedName>
    <definedName name="____________________BTS23">#REF!</definedName>
    <definedName name="____________________BTS24">#REF!</definedName>
    <definedName name="____________________BTS3">#REF!</definedName>
    <definedName name="____________________BTS4">#REF!</definedName>
    <definedName name="____________________BTS5">#REF!</definedName>
    <definedName name="____________________BTS6">#REF!</definedName>
    <definedName name="____________________BTS7">#REF!</definedName>
    <definedName name="____________________BTS8">#REF!</definedName>
    <definedName name="____________________BTS9">#REF!</definedName>
    <definedName name="____________________can430">40.73</definedName>
    <definedName name="____________________can435">43.3</definedName>
    <definedName name="____________________CCW1">#REF!</definedName>
    <definedName name="____________________CCW2">#REF!</definedName>
    <definedName name="____________________cur1">#REF!</definedName>
    <definedName name="____________________GBS11">#REF!</definedName>
    <definedName name="____________________GBS110">#REF!</definedName>
    <definedName name="____________________GBS111">#REF!</definedName>
    <definedName name="____________________GBS112">#REF!</definedName>
    <definedName name="____________________GBS113">#REF!</definedName>
    <definedName name="____________________GBS114">#REF!</definedName>
    <definedName name="____________________GBS115">#REF!</definedName>
    <definedName name="____________________GBS116">#REF!</definedName>
    <definedName name="____________________GBS117">#REF!</definedName>
    <definedName name="____________________GBS118">#REF!</definedName>
    <definedName name="____________________GBS119">#REF!</definedName>
    <definedName name="____________________GBS12">#REF!</definedName>
    <definedName name="____________________GBS120">#REF!</definedName>
    <definedName name="____________________GBS121">#REF!</definedName>
    <definedName name="____________________GBS122">#REF!</definedName>
    <definedName name="____________________GBS123">#REF!</definedName>
    <definedName name="____________________GBS124">#REF!</definedName>
    <definedName name="____________________GBS13">#REF!</definedName>
    <definedName name="____________________GBS14">#REF!</definedName>
    <definedName name="____________________GBS15">#REF!</definedName>
    <definedName name="____________________GBS16">#REF!</definedName>
    <definedName name="____________________GBS17">#REF!</definedName>
    <definedName name="____________________GBS18">#REF!</definedName>
    <definedName name="____________________GBS19">#REF!</definedName>
    <definedName name="____________________GBS21">#REF!</definedName>
    <definedName name="____________________GBS210">#REF!</definedName>
    <definedName name="____________________GBS211">#REF!</definedName>
    <definedName name="____________________GBS212">#REF!</definedName>
    <definedName name="____________________GBS213">#REF!</definedName>
    <definedName name="____________________GBS214">#REF!</definedName>
    <definedName name="____________________GBS215">#REF!</definedName>
    <definedName name="____________________GBS216">#REF!</definedName>
    <definedName name="____________________GBS217">#REF!</definedName>
    <definedName name="____________________GBS218">#REF!</definedName>
    <definedName name="____________________GBS219">#REF!</definedName>
    <definedName name="____________________GBS22">#REF!</definedName>
    <definedName name="____________________GBS220">#REF!</definedName>
    <definedName name="____________________GBS221">#REF!</definedName>
    <definedName name="____________________GBS222">#REF!</definedName>
    <definedName name="____________________GBS223">#REF!</definedName>
    <definedName name="____________________GBS224">#REF!</definedName>
    <definedName name="____________________GBS23">#REF!</definedName>
    <definedName name="____________________GBS24">#REF!</definedName>
    <definedName name="____________________GBS25">#REF!</definedName>
    <definedName name="____________________GBS26">#REF!</definedName>
    <definedName name="____________________GBS27">#REF!</definedName>
    <definedName name="____________________GBS28">#REF!</definedName>
    <definedName name="____________________GBS29">#REF!</definedName>
    <definedName name="____________________imp1">#REF!</definedName>
    <definedName name="____________________knr2">#REF!</definedName>
    <definedName name="____________________l1">#REF!</definedName>
    <definedName name="____________________l12">#REF!</definedName>
    <definedName name="____________________l2">#REF!</definedName>
    <definedName name="____________________l3">#REF!</definedName>
    <definedName name="____________________l4">#REF!</definedName>
    <definedName name="____________________l5">#REF!</definedName>
    <definedName name="____________________l6">#REF!</definedName>
    <definedName name="____________________l7">#REF!</definedName>
    <definedName name="____________________l8">#REF!</definedName>
    <definedName name="____________________l9">#REF!</definedName>
    <definedName name="____________________LJ6">#REF!</definedName>
    <definedName name="____________________lj600">#REF!</definedName>
    <definedName name="____________________lj900">#REF!</definedName>
    <definedName name="____________________LL3">#REF!</definedName>
    <definedName name="____________________LSO24">#REF!</definedName>
    <definedName name="____________________MA1">#REF!</definedName>
    <definedName name="____________________MA2">#REF!</definedName>
    <definedName name="____________________Met22">#REF!</definedName>
    <definedName name="____________________Met45">#REF!</definedName>
    <definedName name="____________________MEt55">#REF!</definedName>
    <definedName name="____________________Met63">#REF!</definedName>
    <definedName name="____________________ML21">#REF!</definedName>
    <definedName name="____________________ML210">#REF!</definedName>
    <definedName name="____________________ML211">#REF!</definedName>
    <definedName name="____________________ML212">#REF!</definedName>
    <definedName name="____________________ML213">#REF!</definedName>
    <definedName name="____________________ML214">#REF!</definedName>
    <definedName name="____________________ML215">#REF!</definedName>
    <definedName name="____________________ML216">#REF!</definedName>
    <definedName name="____________________ML217">#REF!</definedName>
    <definedName name="____________________ML218">#REF!</definedName>
    <definedName name="____________________ML219">#REF!</definedName>
    <definedName name="____________________ML22">#REF!</definedName>
    <definedName name="____________________ML220">#REF!</definedName>
    <definedName name="____________________ML221">#REF!</definedName>
    <definedName name="____________________ML222">#REF!</definedName>
    <definedName name="____________________ML223">#REF!</definedName>
    <definedName name="____________________ML224">#REF!</definedName>
    <definedName name="____________________ML23">#REF!</definedName>
    <definedName name="____________________ML24">#REF!</definedName>
    <definedName name="____________________ML25">#REF!</definedName>
    <definedName name="____________________ML26">#REF!</definedName>
    <definedName name="____________________ML27">#REF!</definedName>
    <definedName name="____________________ML28">#REF!</definedName>
    <definedName name="____________________ML29">#REF!</definedName>
    <definedName name="____________________ML31">#REF!</definedName>
    <definedName name="____________________ML310">#REF!</definedName>
    <definedName name="____________________ML311">#REF!</definedName>
    <definedName name="____________________ML312">#REF!</definedName>
    <definedName name="____________________ML313">#REF!</definedName>
    <definedName name="____________________ML314">#REF!</definedName>
    <definedName name="____________________ML315">#REF!</definedName>
    <definedName name="____________________ML316">#REF!</definedName>
    <definedName name="____________________ML317">#REF!</definedName>
    <definedName name="____________________ML318">#REF!</definedName>
    <definedName name="____________________ML319">#REF!</definedName>
    <definedName name="____________________ML32">#REF!</definedName>
    <definedName name="____________________ML320">#REF!</definedName>
    <definedName name="____________________ML321">#REF!</definedName>
    <definedName name="____________________ML322">#REF!</definedName>
    <definedName name="____________________ML323">#REF!</definedName>
    <definedName name="____________________ML324">#REF!</definedName>
    <definedName name="____________________ML33">#REF!</definedName>
    <definedName name="____________________ML34">#REF!</definedName>
    <definedName name="____________________ML35">#REF!</definedName>
    <definedName name="____________________ML36">#REF!</definedName>
    <definedName name="____________________ML37">#REF!</definedName>
    <definedName name="____________________ML38">#REF!</definedName>
    <definedName name="____________________ML39">#REF!</definedName>
    <definedName name="____________________ML7">#REF!</definedName>
    <definedName name="____________________ML8">#REF!</definedName>
    <definedName name="____________________ML9">#REF!</definedName>
    <definedName name="____________________mm1">#REF!</definedName>
    <definedName name="____________________mm1000">#REF!</definedName>
    <definedName name="____________________mm11">#REF!</definedName>
    <definedName name="____________________mm111">#REF!</definedName>
    <definedName name="____________________mm600">#REF!</definedName>
    <definedName name="____________________mm800">#REF!</definedName>
    <definedName name="____________________PC1">#REF!</definedName>
    <definedName name="____________________PC10">#REF!</definedName>
    <definedName name="____________________PC11">#REF!</definedName>
    <definedName name="____________________PC12">#REF!</definedName>
    <definedName name="____________________PC13">#REF!</definedName>
    <definedName name="____________________PC14">#REF!</definedName>
    <definedName name="____________________PC15">#REF!</definedName>
    <definedName name="____________________PC16">#REF!</definedName>
    <definedName name="____________________PC17">#REF!</definedName>
    <definedName name="____________________PC18">#REF!</definedName>
    <definedName name="____________________PC19">#REF!</definedName>
    <definedName name="____________________pc2">#REF!</definedName>
    <definedName name="____________________PC20">NA()</definedName>
    <definedName name="____________________PC21">#REF!</definedName>
    <definedName name="____________________PC22">#REF!</definedName>
    <definedName name="____________________PC23">#REF!</definedName>
    <definedName name="____________________PC24">#REF!</definedName>
    <definedName name="____________________PC3">#REF!</definedName>
    <definedName name="____________________PC4">#REF!</definedName>
    <definedName name="____________________PC5">#REF!</definedName>
    <definedName name="____________________PC6">#REF!</definedName>
    <definedName name="____________________pc600">#REF!</definedName>
    <definedName name="____________________PC7">#REF!</definedName>
    <definedName name="____________________PC8">#REF!</definedName>
    <definedName name="____________________PC9">#REF!</definedName>
    <definedName name="____________________pc900">#REF!</definedName>
    <definedName name="____________________pla4">#REF!</definedName>
    <definedName name="____________________pv2">#REF!</definedName>
    <definedName name="____________________rr3">#REF!</definedName>
    <definedName name="____________________rrr1">#REF!</definedName>
    <definedName name="____________________SP10">#REF!</definedName>
    <definedName name="____________________SP16">#REF!</definedName>
    <definedName name="____________________SP7">#REF!</definedName>
    <definedName name="____________________ss12">#REF!</definedName>
    <definedName name="____________________ss20">#REF!</definedName>
    <definedName name="____________________ss40">#REF!</definedName>
    <definedName name="____________________var1">#REF!</definedName>
    <definedName name="____________________var4">#REF!</definedName>
    <definedName name="____________________vat1">NA()</definedName>
    <definedName name="___________________bla1">#REF!</definedName>
    <definedName name="___________________BSG100">#REF!</definedName>
    <definedName name="___________________BSG150">#REF!</definedName>
    <definedName name="___________________BSG5">#REF!</definedName>
    <definedName name="___________________BSG75">#REF!</definedName>
    <definedName name="___________________BTC1">#REF!</definedName>
    <definedName name="___________________BTC10">#REF!</definedName>
    <definedName name="___________________BTC11">#REF!</definedName>
    <definedName name="___________________BTC12">#REF!</definedName>
    <definedName name="___________________BTC13">#REF!</definedName>
    <definedName name="___________________BTC14">#REF!</definedName>
    <definedName name="___________________BTC15">#REF!</definedName>
    <definedName name="___________________BTC16">#REF!</definedName>
    <definedName name="___________________BTC17">#REF!</definedName>
    <definedName name="___________________BTC18">#REF!</definedName>
    <definedName name="___________________BTC19">#REF!</definedName>
    <definedName name="___________________BTC2">#REF!</definedName>
    <definedName name="___________________BTC20">#REF!</definedName>
    <definedName name="___________________BTC21">#REF!</definedName>
    <definedName name="___________________BTC22">#REF!</definedName>
    <definedName name="___________________BTC23">#REF!</definedName>
    <definedName name="___________________BTC24">#REF!</definedName>
    <definedName name="___________________BTC3">#REF!</definedName>
    <definedName name="___________________BTC4">#REF!</definedName>
    <definedName name="___________________BTC5">#REF!</definedName>
    <definedName name="___________________BTC6">#REF!</definedName>
    <definedName name="___________________BTC7">#REF!</definedName>
    <definedName name="___________________BTC8">#REF!</definedName>
    <definedName name="___________________BTC9">#REF!</definedName>
    <definedName name="___________________BTR1">#REF!</definedName>
    <definedName name="___________________BTR10">#REF!</definedName>
    <definedName name="___________________BTR11">#REF!</definedName>
    <definedName name="___________________BTR12">#REF!</definedName>
    <definedName name="___________________BTR13">#REF!</definedName>
    <definedName name="___________________BTR14">#REF!</definedName>
    <definedName name="___________________BTR15">#REF!</definedName>
    <definedName name="___________________BTR16">#REF!</definedName>
    <definedName name="___________________BTR17">#REF!</definedName>
    <definedName name="___________________BTR18">#REF!</definedName>
    <definedName name="___________________BTR19">#REF!</definedName>
    <definedName name="___________________BTR2">#REF!</definedName>
    <definedName name="___________________BTR20">#REF!</definedName>
    <definedName name="___________________BTR21">#REF!</definedName>
    <definedName name="___________________BTR22">#REF!</definedName>
    <definedName name="___________________BTR23">#REF!</definedName>
    <definedName name="___________________BTR24">#REF!</definedName>
    <definedName name="___________________BTR3">#REF!</definedName>
    <definedName name="___________________BTR4">#REF!</definedName>
    <definedName name="___________________BTR5">#REF!</definedName>
    <definedName name="___________________BTR6">#REF!</definedName>
    <definedName name="___________________BTR7">#REF!</definedName>
    <definedName name="___________________BTR8">#REF!</definedName>
    <definedName name="___________________BTR9">#REF!</definedName>
    <definedName name="___________________BTS1">#REF!</definedName>
    <definedName name="___________________BTS10">#REF!</definedName>
    <definedName name="___________________BTS11">#REF!</definedName>
    <definedName name="___________________BTS12">#REF!</definedName>
    <definedName name="___________________BTS13">#REF!</definedName>
    <definedName name="___________________BTS14">#REF!</definedName>
    <definedName name="___________________BTS15">#REF!</definedName>
    <definedName name="___________________BTS16">#REF!</definedName>
    <definedName name="___________________BTS17">#REF!</definedName>
    <definedName name="___________________BTS18">#REF!</definedName>
    <definedName name="___________________BTS19">#REF!</definedName>
    <definedName name="___________________BTS2">#REF!</definedName>
    <definedName name="___________________BTS20">#REF!</definedName>
    <definedName name="___________________BTS21">#REF!</definedName>
    <definedName name="___________________BTS22">#REF!</definedName>
    <definedName name="___________________BTS23">#REF!</definedName>
    <definedName name="___________________BTS24">#REF!</definedName>
    <definedName name="___________________BTS3">#REF!</definedName>
    <definedName name="___________________BTS4">#REF!</definedName>
    <definedName name="___________________BTS5">#REF!</definedName>
    <definedName name="___________________BTS6">#REF!</definedName>
    <definedName name="___________________BTS7">#REF!</definedName>
    <definedName name="___________________BTS8">#REF!</definedName>
    <definedName name="___________________BTS9">#REF!</definedName>
    <definedName name="___________________can430">40.73</definedName>
    <definedName name="___________________can435">43.3</definedName>
    <definedName name="___________________CCW1">#REF!</definedName>
    <definedName name="___________________CCW2">#REF!</definedName>
    <definedName name="___________________cur1">#REF!</definedName>
    <definedName name="___________________GBS11">#REF!</definedName>
    <definedName name="___________________GBS110">#REF!</definedName>
    <definedName name="___________________GBS111">#REF!</definedName>
    <definedName name="___________________GBS112">#REF!</definedName>
    <definedName name="___________________GBS113">#REF!</definedName>
    <definedName name="___________________GBS114">#REF!</definedName>
    <definedName name="___________________GBS115">#REF!</definedName>
    <definedName name="___________________GBS116">#REF!</definedName>
    <definedName name="___________________GBS117">#REF!</definedName>
    <definedName name="___________________GBS118">#REF!</definedName>
    <definedName name="___________________GBS119">#REF!</definedName>
    <definedName name="___________________GBS12">#REF!</definedName>
    <definedName name="___________________GBS120">#REF!</definedName>
    <definedName name="___________________GBS121">#REF!</definedName>
    <definedName name="___________________GBS122">#REF!</definedName>
    <definedName name="___________________GBS123">#REF!</definedName>
    <definedName name="___________________GBS124">#REF!</definedName>
    <definedName name="___________________GBS13">#REF!</definedName>
    <definedName name="___________________GBS14">#REF!</definedName>
    <definedName name="___________________GBS15">#REF!</definedName>
    <definedName name="___________________GBS16">#REF!</definedName>
    <definedName name="___________________GBS17">#REF!</definedName>
    <definedName name="___________________GBS18">#REF!</definedName>
    <definedName name="___________________GBS19">#REF!</definedName>
    <definedName name="___________________GBS21">#REF!</definedName>
    <definedName name="___________________GBS210">#REF!</definedName>
    <definedName name="___________________GBS211">#REF!</definedName>
    <definedName name="___________________GBS212">#REF!</definedName>
    <definedName name="___________________GBS213">#REF!</definedName>
    <definedName name="___________________GBS214">#REF!</definedName>
    <definedName name="___________________GBS215">#REF!</definedName>
    <definedName name="___________________GBS216">#REF!</definedName>
    <definedName name="___________________GBS217">#REF!</definedName>
    <definedName name="___________________GBS218">#REF!</definedName>
    <definedName name="___________________GBS219">#REF!</definedName>
    <definedName name="___________________GBS22">#REF!</definedName>
    <definedName name="___________________GBS220">#REF!</definedName>
    <definedName name="___________________GBS221">#REF!</definedName>
    <definedName name="___________________GBS222">#REF!</definedName>
    <definedName name="___________________GBS223">#REF!</definedName>
    <definedName name="___________________GBS224">#REF!</definedName>
    <definedName name="___________________GBS23">#REF!</definedName>
    <definedName name="___________________GBS24">#REF!</definedName>
    <definedName name="___________________GBS25">#REF!</definedName>
    <definedName name="___________________GBS26">#REF!</definedName>
    <definedName name="___________________GBS27">#REF!</definedName>
    <definedName name="___________________GBS28">#REF!</definedName>
    <definedName name="___________________GBS29">#REF!</definedName>
    <definedName name="___________________imp1">#REF!</definedName>
    <definedName name="___________________knr2">NA()</definedName>
    <definedName name="___________________l1">#REF!</definedName>
    <definedName name="___________________l12">#REF!</definedName>
    <definedName name="___________________l2">#REF!</definedName>
    <definedName name="___________________l3">#REF!</definedName>
    <definedName name="___________________l4">#REF!</definedName>
    <definedName name="___________________l5">#REF!</definedName>
    <definedName name="___________________l6">#REF!</definedName>
    <definedName name="___________________l7">#REF!</definedName>
    <definedName name="___________________l8">#REF!</definedName>
    <definedName name="___________________l9">#REF!</definedName>
    <definedName name="___________________LJ6">#REF!</definedName>
    <definedName name="___________________lj600">#REF!</definedName>
    <definedName name="___________________lj900">#REF!</definedName>
    <definedName name="___________________LL3">#REF!</definedName>
    <definedName name="___________________LSO24">#REF!</definedName>
    <definedName name="___________________MA1">#REF!</definedName>
    <definedName name="___________________MA2">#REF!</definedName>
    <definedName name="___________________Met22">#REF!</definedName>
    <definedName name="___________________Met45">#REF!</definedName>
    <definedName name="___________________MEt55">#REF!</definedName>
    <definedName name="___________________Met63">#REF!</definedName>
    <definedName name="___________________ML21">#REF!</definedName>
    <definedName name="___________________ML210">#REF!</definedName>
    <definedName name="___________________ML211">#REF!</definedName>
    <definedName name="___________________ML212">#REF!</definedName>
    <definedName name="___________________ML213">#REF!</definedName>
    <definedName name="___________________ML214">#REF!</definedName>
    <definedName name="___________________ML215">#REF!</definedName>
    <definedName name="___________________ML216">#REF!</definedName>
    <definedName name="___________________ML217">#REF!</definedName>
    <definedName name="___________________ML218">#REF!</definedName>
    <definedName name="___________________ML219">#REF!</definedName>
    <definedName name="___________________ML22">#REF!</definedName>
    <definedName name="___________________ML220">#REF!</definedName>
    <definedName name="___________________ML221">#REF!</definedName>
    <definedName name="___________________ML222">#REF!</definedName>
    <definedName name="___________________ML223">#REF!</definedName>
    <definedName name="___________________ML224">#REF!</definedName>
    <definedName name="___________________ML23">#REF!</definedName>
    <definedName name="___________________ML24">#REF!</definedName>
    <definedName name="___________________ML25">#REF!</definedName>
    <definedName name="___________________ML26">#REF!</definedName>
    <definedName name="___________________ML27">#REF!</definedName>
    <definedName name="___________________ML28">#REF!</definedName>
    <definedName name="___________________ML29">#REF!</definedName>
    <definedName name="___________________ML31">#REF!</definedName>
    <definedName name="___________________ML310">#REF!</definedName>
    <definedName name="___________________ML311">#REF!</definedName>
    <definedName name="___________________ML312">#REF!</definedName>
    <definedName name="___________________ML313">#REF!</definedName>
    <definedName name="___________________ML314">#REF!</definedName>
    <definedName name="___________________ML315">#REF!</definedName>
    <definedName name="___________________ML316">#REF!</definedName>
    <definedName name="___________________ML317">#REF!</definedName>
    <definedName name="___________________ML318">#REF!</definedName>
    <definedName name="___________________ML319">#REF!</definedName>
    <definedName name="___________________ML32">#REF!</definedName>
    <definedName name="___________________ML320">#REF!</definedName>
    <definedName name="___________________ML321">#REF!</definedName>
    <definedName name="___________________ML322">#REF!</definedName>
    <definedName name="___________________ML323">#REF!</definedName>
    <definedName name="___________________ML324">#REF!</definedName>
    <definedName name="___________________ML33">#REF!</definedName>
    <definedName name="___________________ML34">#REF!</definedName>
    <definedName name="___________________ML35">#REF!</definedName>
    <definedName name="___________________ML36">#REF!</definedName>
    <definedName name="___________________ML37">#REF!</definedName>
    <definedName name="___________________ML38">#REF!</definedName>
    <definedName name="___________________ML39">#REF!</definedName>
    <definedName name="___________________ML7">#REF!</definedName>
    <definedName name="___________________ML8">#REF!</definedName>
    <definedName name="___________________ML9">#REF!</definedName>
    <definedName name="___________________mm1">#REF!</definedName>
    <definedName name="___________________mm1000">#REF!</definedName>
    <definedName name="___________________mm11">#REF!</definedName>
    <definedName name="___________________mm111">#REF!</definedName>
    <definedName name="___________________mm600">#REF!</definedName>
    <definedName name="___________________mm800">#REF!</definedName>
    <definedName name="___________________PC1">#REF!</definedName>
    <definedName name="___________________PC10">#REF!</definedName>
    <definedName name="___________________PC11">#REF!</definedName>
    <definedName name="___________________PC12">#REF!</definedName>
    <definedName name="___________________PC13">#REF!</definedName>
    <definedName name="___________________PC14">#REF!</definedName>
    <definedName name="___________________PC15">#REF!</definedName>
    <definedName name="___________________PC16">#REF!</definedName>
    <definedName name="___________________PC17">#REF!</definedName>
    <definedName name="___________________PC18">#REF!</definedName>
    <definedName name="___________________PC19">#REF!</definedName>
    <definedName name="___________________pc2">#REF!</definedName>
    <definedName name="___________________PC20">NA()</definedName>
    <definedName name="___________________PC21">#REF!</definedName>
    <definedName name="___________________PC22">#REF!</definedName>
    <definedName name="___________________PC23">#REF!</definedName>
    <definedName name="___________________PC24">#REF!</definedName>
    <definedName name="___________________PC3">#REF!</definedName>
    <definedName name="___________________PC4">#REF!</definedName>
    <definedName name="___________________PC5">#REF!</definedName>
    <definedName name="___________________PC6">#REF!</definedName>
    <definedName name="___________________pc600">#REF!</definedName>
    <definedName name="___________________PC7">#REF!</definedName>
    <definedName name="___________________PC8">#REF!</definedName>
    <definedName name="___________________PC9">#REF!</definedName>
    <definedName name="___________________pc900">#REF!</definedName>
    <definedName name="___________________pla4">#REF!</definedName>
    <definedName name="___________________pv2">#REF!</definedName>
    <definedName name="___________________rr3">#REF!</definedName>
    <definedName name="___________________rrr1">#REF!</definedName>
    <definedName name="___________________SP10">#REF!</definedName>
    <definedName name="___________________SP16">#REF!</definedName>
    <definedName name="___________________SP7">#REF!</definedName>
    <definedName name="___________________ss12">#REF!</definedName>
    <definedName name="___________________ss20">#REF!</definedName>
    <definedName name="___________________ss40">#REF!</definedName>
    <definedName name="___________________var1">#REF!</definedName>
    <definedName name="___________________var4">#REF!</definedName>
    <definedName name="___________________vat1">NA()</definedName>
    <definedName name="__________________bla1">#REF!</definedName>
    <definedName name="__________________BSG100">#REF!</definedName>
    <definedName name="__________________BSG150">#REF!</definedName>
    <definedName name="__________________BSG5">#REF!</definedName>
    <definedName name="__________________BSG75">#REF!</definedName>
    <definedName name="__________________BTC1">#REF!</definedName>
    <definedName name="__________________BTC10">#REF!</definedName>
    <definedName name="__________________BTC11">#REF!</definedName>
    <definedName name="__________________BTC12">#REF!</definedName>
    <definedName name="__________________BTC13">#REF!</definedName>
    <definedName name="__________________BTC14">#REF!</definedName>
    <definedName name="__________________BTC15">#REF!</definedName>
    <definedName name="__________________BTC16">#REF!</definedName>
    <definedName name="__________________BTC17">#REF!</definedName>
    <definedName name="__________________BTC18">#REF!</definedName>
    <definedName name="__________________BTC19">#REF!</definedName>
    <definedName name="__________________BTC2">#REF!</definedName>
    <definedName name="__________________BTC20">#REF!</definedName>
    <definedName name="__________________BTC21">#REF!</definedName>
    <definedName name="__________________BTC22">#REF!</definedName>
    <definedName name="__________________BTC23">#REF!</definedName>
    <definedName name="__________________BTC24">#REF!</definedName>
    <definedName name="__________________BTC3">#REF!</definedName>
    <definedName name="__________________BTC4">#REF!</definedName>
    <definedName name="__________________BTC5">#REF!</definedName>
    <definedName name="__________________BTC6">#REF!</definedName>
    <definedName name="__________________BTC7">#REF!</definedName>
    <definedName name="__________________BTC8">#REF!</definedName>
    <definedName name="__________________BTC9">#REF!</definedName>
    <definedName name="__________________BTR1">#REF!</definedName>
    <definedName name="__________________BTR10">#REF!</definedName>
    <definedName name="__________________BTR11">#REF!</definedName>
    <definedName name="__________________BTR12">#REF!</definedName>
    <definedName name="__________________BTR13">#REF!</definedName>
    <definedName name="__________________BTR14">#REF!</definedName>
    <definedName name="__________________BTR15">#REF!</definedName>
    <definedName name="__________________BTR16">#REF!</definedName>
    <definedName name="__________________BTR17">#REF!</definedName>
    <definedName name="__________________BTR18">#REF!</definedName>
    <definedName name="__________________BTR19">#REF!</definedName>
    <definedName name="__________________BTR2">#REF!</definedName>
    <definedName name="__________________BTR20">#REF!</definedName>
    <definedName name="__________________BTR21">#REF!</definedName>
    <definedName name="__________________BTR22">#REF!</definedName>
    <definedName name="__________________BTR23">#REF!</definedName>
    <definedName name="__________________BTR24">#REF!</definedName>
    <definedName name="__________________BTR3">#REF!</definedName>
    <definedName name="__________________BTR4">#REF!</definedName>
    <definedName name="__________________BTR5">#REF!</definedName>
    <definedName name="__________________BTR6">#REF!</definedName>
    <definedName name="__________________BTR7">#REF!</definedName>
    <definedName name="__________________BTR8">#REF!</definedName>
    <definedName name="__________________BTR9">#REF!</definedName>
    <definedName name="__________________BTS1">#REF!</definedName>
    <definedName name="__________________BTS10">#REF!</definedName>
    <definedName name="__________________BTS11">#REF!</definedName>
    <definedName name="__________________BTS12">#REF!</definedName>
    <definedName name="__________________BTS13">#REF!</definedName>
    <definedName name="__________________BTS14">#REF!</definedName>
    <definedName name="__________________BTS15">#REF!</definedName>
    <definedName name="__________________BTS16">#REF!</definedName>
    <definedName name="__________________BTS17">#REF!</definedName>
    <definedName name="__________________BTS18">#REF!</definedName>
    <definedName name="__________________BTS19">#REF!</definedName>
    <definedName name="__________________BTS2">#REF!</definedName>
    <definedName name="__________________BTS20">#REF!</definedName>
    <definedName name="__________________BTS21">#REF!</definedName>
    <definedName name="__________________BTS22">#REF!</definedName>
    <definedName name="__________________BTS23">#REF!</definedName>
    <definedName name="__________________BTS24">#REF!</definedName>
    <definedName name="__________________BTS3">#REF!</definedName>
    <definedName name="__________________BTS4">#REF!</definedName>
    <definedName name="__________________BTS5">#REF!</definedName>
    <definedName name="__________________BTS6">#REF!</definedName>
    <definedName name="__________________BTS7">#REF!</definedName>
    <definedName name="__________________BTS8">#REF!</definedName>
    <definedName name="__________________BTS9">#REF!</definedName>
    <definedName name="__________________can430">40.73</definedName>
    <definedName name="__________________can435">43.3</definedName>
    <definedName name="__________________CCW1">#REF!</definedName>
    <definedName name="__________________CCW2">#REF!</definedName>
    <definedName name="__________________cur1">#REF!</definedName>
    <definedName name="__________________GBS11">#REF!</definedName>
    <definedName name="__________________GBS110">#REF!</definedName>
    <definedName name="__________________GBS111">#REF!</definedName>
    <definedName name="__________________GBS112">#REF!</definedName>
    <definedName name="__________________GBS113">#REF!</definedName>
    <definedName name="__________________GBS114">#REF!</definedName>
    <definedName name="__________________GBS115">#REF!</definedName>
    <definedName name="__________________GBS116">#REF!</definedName>
    <definedName name="__________________GBS117">#REF!</definedName>
    <definedName name="__________________GBS118">#REF!</definedName>
    <definedName name="__________________GBS119">#REF!</definedName>
    <definedName name="__________________GBS12">#REF!</definedName>
    <definedName name="__________________GBS120">#REF!</definedName>
    <definedName name="__________________GBS121">#REF!</definedName>
    <definedName name="__________________GBS122">#REF!</definedName>
    <definedName name="__________________GBS123">#REF!</definedName>
    <definedName name="__________________GBS124">#REF!</definedName>
    <definedName name="__________________GBS13">#REF!</definedName>
    <definedName name="__________________GBS14">#REF!</definedName>
    <definedName name="__________________GBS15">#REF!</definedName>
    <definedName name="__________________GBS16">#REF!</definedName>
    <definedName name="__________________GBS17">#REF!</definedName>
    <definedName name="__________________GBS18">#REF!</definedName>
    <definedName name="__________________GBS19">#REF!</definedName>
    <definedName name="__________________GBS21">#REF!</definedName>
    <definedName name="__________________GBS210">#REF!</definedName>
    <definedName name="__________________GBS211">#REF!</definedName>
    <definedName name="__________________GBS212">#REF!</definedName>
    <definedName name="__________________GBS213">#REF!</definedName>
    <definedName name="__________________GBS214">#REF!</definedName>
    <definedName name="__________________GBS215">#REF!</definedName>
    <definedName name="__________________GBS216">#REF!</definedName>
    <definedName name="__________________GBS217">#REF!</definedName>
    <definedName name="__________________GBS218">#REF!</definedName>
    <definedName name="__________________GBS219">#REF!</definedName>
    <definedName name="__________________GBS22">#REF!</definedName>
    <definedName name="__________________GBS220">#REF!</definedName>
    <definedName name="__________________GBS221">#REF!</definedName>
    <definedName name="__________________GBS222">#REF!</definedName>
    <definedName name="__________________GBS223">#REF!</definedName>
    <definedName name="__________________GBS224">#REF!</definedName>
    <definedName name="__________________GBS23">#REF!</definedName>
    <definedName name="__________________GBS24">#REF!</definedName>
    <definedName name="__________________GBS25">#REF!</definedName>
    <definedName name="__________________GBS26">#REF!</definedName>
    <definedName name="__________________GBS27">#REF!</definedName>
    <definedName name="__________________GBS28">#REF!</definedName>
    <definedName name="__________________GBS29">#REF!</definedName>
    <definedName name="__________________imp1">#REF!</definedName>
    <definedName name="__________________knr2">#REF!</definedName>
    <definedName name="__________________l1">#REF!</definedName>
    <definedName name="__________________l12">#REF!</definedName>
    <definedName name="__________________l2">#REF!</definedName>
    <definedName name="__________________l3">#REF!</definedName>
    <definedName name="__________________l4">#REF!</definedName>
    <definedName name="__________________l5">#REF!</definedName>
    <definedName name="__________________l6">#REF!</definedName>
    <definedName name="__________________l7">#REF!</definedName>
    <definedName name="__________________l8">#REF!</definedName>
    <definedName name="__________________l9">#REF!</definedName>
    <definedName name="__________________LJ6">#REF!</definedName>
    <definedName name="__________________lj600">#REF!</definedName>
    <definedName name="__________________lj900">#REF!</definedName>
    <definedName name="__________________LL3">#REF!</definedName>
    <definedName name="__________________LSO24">#REF!</definedName>
    <definedName name="__________________MA1">#REF!</definedName>
    <definedName name="__________________MA2">#REF!</definedName>
    <definedName name="__________________Met22">#REF!</definedName>
    <definedName name="__________________Met45">#REF!</definedName>
    <definedName name="__________________MEt55">#REF!</definedName>
    <definedName name="__________________Met63">#REF!</definedName>
    <definedName name="__________________ML21">#REF!</definedName>
    <definedName name="__________________ML210">#REF!</definedName>
    <definedName name="__________________ML211">#REF!</definedName>
    <definedName name="__________________ML212">#REF!</definedName>
    <definedName name="__________________ML213">#REF!</definedName>
    <definedName name="__________________ML214">#REF!</definedName>
    <definedName name="__________________ML215">#REF!</definedName>
    <definedName name="__________________ML216">#REF!</definedName>
    <definedName name="__________________ML217">#REF!</definedName>
    <definedName name="__________________ML218">#REF!</definedName>
    <definedName name="__________________ML219">#REF!</definedName>
    <definedName name="__________________ML22">#REF!</definedName>
    <definedName name="__________________ML220">#REF!</definedName>
    <definedName name="__________________ML221">#REF!</definedName>
    <definedName name="__________________ML222">#REF!</definedName>
    <definedName name="__________________ML223">#REF!</definedName>
    <definedName name="__________________ML224">#REF!</definedName>
    <definedName name="__________________ML23">#REF!</definedName>
    <definedName name="__________________ML24">#REF!</definedName>
    <definedName name="__________________ML25">#REF!</definedName>
    <definedName name="__________________ML26">#REF!</definedName>
    <definedName name="__________________ML27">#REF!</definedName>
    <definedName name="__________________ML28">#REF!</definedName>
    <definedName name="__________________ML29">#REF!</definedName>
    <definedName name="__________________ML31">#REF!</definedName>
    <definedName name="__________________ML310">#REF!</definedName>
    <definedName name="__________________ML311">#REF!</definedName>
    <definedName name="__________________ML312">#REF!</definedName>
    <definedName name="__________________ML313">#REF!</definedName>
    <definedName name="__________________ML314">#REF!</definedName>
    <definedName name="__________________ML315">#REF!</definedName>
    <definedName name="__________________ML316">#REF!</definedName>
    <definedName name="__________________ML317">#REF!</definedName>
    <definedName name="__________________ML318">#REF!</definedName>
    <definedName name="__________________ML319">#REF!</definedName>
    <definedName name="__________________ML32">#REF!</definedName>
    <definedName name="__________________ML320">#REF!</definedName>
    <definedName name="__________________ML321">#REF!</definedName>
    <definedName name="__________________ML322">#REF!</definedName>
    <definedName name="__________________ML323">#REF!</definedName>
    <definedName name="__________________ML324">#REF!</definedName>
    <definedName name="__________________ML33">#REF!</definedName>
    <definedName name="__________________ML34">#REF!</definedName>
    <definedName name="__________________ML35">#REF!</definedName>
    <definedName name="__________________ML36">#REF!</definedName>
    <definedName name="__________________ML37">#REF!</definedName>
    <definedName name="__________________ML38">#REF!</definedName>
    <definedName name="__________________ML39">#REF!</definedName>
    <definedName name="__________________ML7">#REF!</definedName>
    <definedName name="__________________ML8">#REF!</definedName>
    <definedName name="__________________ML9">#REF!</definedName>
    <definedName name="__________________mm1">#REF!</definedName>
    <definedName name="__________________mm1000">#REF!</definedName>
    <definedName name="__________________mm11">#REF!</definedName>
    <definedName name="__________________mm111">#REF!</definedName>
    <definedName name="__________________mm600">#REF!</definedName>
    <definedName name="__________________mm800">#REF!</definedName>
    <definedName name="__________________PC1">#REF!</definedName>
    <definedName name="__________________PC10">#REF!</definedName>
    <definedName name="__________________PC11">#REF!</definedName>
    <definedName name="__________________PC12">#REF!</definedName>
    <definedName name="__________________PC13">#REF!</definedName>
    <definedName name="__________________PC14">#REF!</definedName>
    <definedName name="__________________PC15">#REF!</definedName>
    <definedName name="__________________PC16">#REF!</definedName>
    <definedName name="__________________PC17">#REF!</definedName>
    <definedName name="__________________PC18">#REF!</definedName>
    <definedName name="__________________PC19">#REF!</definedName>
    <definedName name="__________________pc2">#REF!</definedName>
    <definedName name="__________________PC20">NA()</definedName>
    <definedName name="__________________PC21">#REF!</definedName>
    <definedName name="__________________PC22">#REF!</definedName>
    <definedName name="__________________PC23">#REF!</definedName>
    <definedName name="__________________PC24">#REF!</definedName>
    <definedName name="__________________PC3">#REF!</definedName>
    <definedName name="__________________PC4">#REF!</definedName>
    <definedName name="__________________PC5">#REF!</definedName>
    <definedName name="__________________PC6">#REF!</definedName>
    <definedName name="__________________pc600">#REF!</definedName>
    <definedName name="__________________PC7">#REF!</definedName>
    <definedName name="__________________PC8">#REF!</definedName>
    <definedName name="__________________PC9">#REF!</definedName>
    <definedName name="__________________pc900">#REF!</definedName>
    <definedName name="__________________pla4">#REF!</definedName>
    <definedName name="__________________pv2">#REF!</definedName>
    <definedName name="__________________rr3">#REF!</definedName>
    <definedName name="__________________rrr1">#REF!</definedName>
    <definedName name="__________________SP10">#REF!</definedName>
    <definedName name="__________________SP16">#REF!</definedName>
    <definedName name="__________________SP7">#REF!</definedName>
    <definedName name="__________________ss12">#REF!</definedName>
    <definedName name="__________________ss20">#REF!</definedName>
    <definedName name="__________________ss40">#REF!</definedName>
    <definedName name="__________________var1">#REF!</definedName>
    <definedName name="__________________var4">#REF!</definedName>
    <definedName name="__________________vat1">NA()</definedName>
    <definedName name="_________________bla1">#REF!</definedName>
    <definedName name="_________________BSG100">#REF!</definedName>
    <definedName name="_________________BSG150">#REF!</definedName>
    <definedName name="_________________BSG5">#REF!</definedName>
    <definedName name="_________________BSG75">#REF!</definedName>
    <definedName name="_________________BTC1">#REF!</definedName>
    <definedName name="_________________BTC10">#REF!</definedName>
    <definedName name="_________________BTC11">#REF!</definedName>
    <definedName name="_________________BTC12">#REF!</definedName>
    <definedName name="_________________BTC13">#REF!</definedName>
    <definedName name="_________________BTC14">#REF!</definedName>
    <definedName name="_________________BTC15">#REF!</definedName>
    <definedName name="_________________BTC16">#REF!</definedName>
    <definedName name="_________________BTC17">#REF!</definedName>
    <definedName name="_________________BTC18">#REF!</definedName>
    <definedName name="_________________BTC19">#REF!</definedName>
    <definedName name="_________________BTC2">#REF!</definedName>
    <definedName name="_________________BTC20">#REF!</definedName>
    <definedName name="_________________BTC21">#REF!</definedName>
    <definedName name="_________________BTC22">#REF!</definedName>
    <definedName name="_________________BTC23">#REF!</definedName>
    <definedName name="_________________BTC24">#REF!</definedName>
    <definedName name="_________________BTC3">#REF!</definedName>
    <definedName name="_________________BTC4">#REF!</definedName>
    <definedName name="_________________BTC5">#REF!</definedName>
    <definedName name="_________________BTC6">#REF!</definedName>
    <definedName name="_________________BTC7">#REF!</definedName>
    <definedName name="_________________BTC8">#REF!</definedName>
    <definedName name="_________________BTC9">#REF!</definedName>
    <definedName name="_________________BTR1">#REF!</definedName>
    <definedName name="_________________BTR10">#REF!</definedName>
    <definedName name="_________________BTR11">#REF!</definedName>
    <definedName name="_________________BTR12">#REF!</definedName>
    <definedName name="_________________BTR13">#REF!</definedName>
    <definedName name="_________________BTR14">#REF!</definedName>
    <definedName name="_________________BTR15">#REF!</definedName>
    <definedName name="_________________BTR16">#REF!</definedName>
    <definedName name="_________________BTR17">#REF!</definedName>
    <definedName name="_________________BTR18">#REF!</definedName>
    <definedName name="_________________BTR19">#REF!</definedName>
    <definedName name="_________________BTR2">#REF!</definedName>
    <definedName name="_________________BTR20">#REF!</definedName>
    <definedName name="_________________BTR21">#REF!</definedName>
    <definedName name="_________________BTR22">#REF!</definedName>
    <definedName name="_________________BTR23">#REF!</definedName>
    <definedName name="_________________BTR24">#REF!</definedName>
    <definedName name="_________________BTR3">#REF!</definedName>
    <definedName name="_________________BTR4">#REF!</definedName>
    <definedName name="_________________BTR5">#REF!</definedName>
    <definedName name="_________________BTR6">#REF!</definedName>
    <definedName name="_________________BTR7">#REF!</definedName>
    <definedName name="_________________BTR8">#REF!</definedName>
    <definedName name="_________________BTR9">#REF!</definedName>
    <definedName name="_________________BTS1">#REF!</definedName>
    <definedName name="_________________BTS10">#REF!</definedName>
    <definedName name="_________________BTS11">#REF!</definedName>
    <definedName name="_________________BTS12">#REF!</definedName>
    <definedName name="_________________BTS13">#REF!</definedName>
    <definedName name="_________________BTS14">#REF!</definedName>
    <definedName name="_________________BTS15">#REF!</definedName>
    <definedName name="_________________BTS16">#REF!</definedName>
    <definedName name="_________________BTS17">#REF!</definedName>
    <definedName name="_________________BTS18">#REF!</definedName>
    <definedName name="_________________BTS19">#REF!</definedName>
    <definedName name="_________________BTS2">#REF!</definedName>
    <definedName name="_________________BTS20">#REF!</definedName>
    <definedName name="_________________BTS21">#REF!</definedName>
    <definedName name="_________________BTS22">#REF!</definedName>
    <definedName name="_________________BTS23">#REF!</definedName>
    <definedName name="_________________BTS24">#REF!</definedName>
    <definedName name="_________________BTS3">#REF!</definedName>
    <definedName name="_________________BTS4">#REF!</definedName>
    <definedName name="_________________BTS5">#REF!</definedName>
    <definedName name="_________________BTS6">#REF!</definedName>
    <definedName name="_________________BTS7">#REF!</definedName>
    <definedName name="_________________BTS8">#REF!</definedName>
    <definedName name="_________________BTS9">#REF!</definedName>
    <definedName name="_________________can430">40.73</definedName>
    <definedName name="_________________can435">43.3</definedName>
    <definedName name="_________________CCW1">#REF!</definedName>
    <definedName name="_________________CCW2">#REF!</definedName>
    <definedName name="_________________cur1">#REF!</definedName>
    <definedName name="_________________GBS11">#REF!</definedName>
    <definedName name="_________________GBS110">#REF!</definedName>
    <definedName name="_________________GBS111">#REF!</definedName>
    <definedName name="_________________GBS112">#REF!</definedName>
    <definedName name="_________________GBS113">#REF!</definedName>
    <definedName name="_________________GBS114">#REF!</definedName>
    <definedName name="_________________GBS115">#REF!</definedName>
    <definedName name="_________________GBS116">#REF!</definedName>
    <definedName name="_________________GBS117">#REF!</definedName>
    <definedName name="_________________GBS118">#REF!</definedName>
    <definedName name="_________________GBS119">#REF!</definedName>
    <definedName name="_________________GBS12">#REF!</definedName>
    <definedName name="_________________GBS120">#REF!</definedName>
    <definedName name="_________________GBS121">#REF!</definedName>
    <definedName name="_________________GBS122">#REF!</definedName>
    <definedName name="_________________GBS123">#REF!</definedName>
    <definedName name="_________________GBS124">#REF!</definedName>
    <definedName name="_________________GBS13">#REF!</definedName>
    <definedName name="_________________GBS14">#REF!</definedName>
    <definedName name="_________________GBS15">#REF!</definedName>
    <definedName name="_________________GBS16">#REF!</definedName>
    <definedName name="_________________GBS17">#REF!</definedName>
    <definedName name="_________________GBS18">#REF!</definedName>
    <definedName name="_________________GBS19">#REF!</definedName>
    <definedName name="_________________GBS21">#REF!</definedName>
    <definedName name="_________________GBS210">#REF!</definedName>
    <definedName name="_________________GBS211">#REF!</definedName>
    <definedName name="_________________GBS212">#REF!</definedName>
    <definedName name="_________________GBS213">#REF!</definedName>
    <definedName name="_________________GBS214">#REF!</definedName>
    <definedName name="_________________GBS215">#REF!</definedName>
    <definedName name="_________________GBS216">#REF!</definedName>
    <definedName name="_________________GBS217">#REF!</definedName>
    <definedName name="_________________GBS218">#REF!</definedName>
    <definedName name="_________________GBS219">#REF!</definedName>
    <definedName name="_________________GBS22">#REF!</definedName>
    <definedName name="_________________GBS220">#REF!</definedName>
    <definedName name="_________________GBS221">#REF!</definedName>
    <definedName name="_________________GBS222">#REF!</definedName>
    <definedName name="_________________GBS223">#REF!</definedName>
    <definedName name="_________________GBS224">#REF!</definedName>
    <definedName name="_________________GBS23">#REF!</definedName>
    <definedName name="_________________GBS24">#REF!</definedName>
    <definedName name="_________________GBS25">#REF!</definedName>
    <definedName name="_________________GBS26">#REF!</definedName>
    <definedName name="_________________GBS27">#REF!</definedName>
    <definedName name="_________________GBS28">#REF!</definedName>
    <definedName name="_________________GBS29">#REF!</definedName>
    <definedName name="_________________imp1">#REF!</definedName>
    <definedName name="_________________knr2">#REF!</definedName>
    <definedName name="_________________l1">#REF!</definedName>
    <definedName name="_________________l12">#REF!</definedName>
    <definedName name="_________________l2">#REF!</definedName>
    <definedName name="_________________l3">#REF!</definedName>
    <definedName name="_________________l4">#REF!</definedName>
    <definedName name="_________________l5">#REF!</definedName>
    <definedName name="_________________l6">#REF!</definedName>
    <definedName name="_________________l7">#REF!</definedName>
    <definedName name="_________________l8">#REF!</definedName>
    <definedName name="_________________l9">#REF!</definedName>
    <definedName name="_________________LJ6">#REF!</definedName>
    <definedName name="_________________lj600">#REF!</definedName>
    <definedName name="_________________lj900">#REF!</definedName>
    <definedName name="_________________LL3">#REF!</definedName>
    <definedName name="_________________LSO24">#REF!</definedName>
    <definedName name="_________________MA1">#REF!</definedName>
    <definedName name="_________________MA2">#REF!</definedName>
    <definedName name="_________________Met22">#REF!</definedName>
    <definedName name="_________________Met45">#REF!</definedName>
    <definedName name="_________________MEt55">#REF!</definedName>
    <definedName name="_________________Met63">#REF!</definedName>
    <definedName name="_________________ML21">#REF!</definedName>
    <definedName name="_________________ML210">#REF!</definedName>
    <definedName name="_________________ML211">#REF!</definedName>
    <definedName name="_________________ML212">#REF!</definedName>
    <definedName name="_________________ML213">#REF!</definedName>
    <definedName name="_________________ML214">#REF!</definedName>
    <definedName name="_________________ML215">#REF!</definedName>
    <definedName name="_________________ML216">#REF!</definedName>
    <definedName name="_________________ML217">#REF!</definedName>
    <definedName name="_________________ML218">#REF!</definedName>
    <definedName name="_________________ML219">#REF!</definedName>
    <definedName name="_________________ML22">#REF!</definedName>
    <definedName name="_________________ML220">#REF!</definedName>
    <definedName name="_________________ML221">#REF!</definedName>
    <definedName name="_________________ML222">#REF!</definedName>
    <definedName name="_________________ML223">#REF!</definedName>
    <definedName name="_________________ML224">#REF!</definedName>
    <definedName name="_________________ML23">#REF!</definedName>
    <definedName name="_________________ML24">#REF!</definedName>
    <definedName name="_________________ML25">#REF!</definedName>
    <definedName name="_________________ML26">#REF!</definedName>
    <definedName name="_________________ML27">#REF!</definedName>
    <definedName name="_________________ML28">#REF!</definedName>
    <definedName name="_________________ML29">#REF!</definedName>
    <definedName name="_________________ML31">#REF!</definedName>
    <definedName name="_________________ML310">#REF!</definedName>
    <definedName name="_________________ML311">#REF!</definedName>
    <definedName name="_________________ML312">#REF!</definedName>
    <definedName name="_________________ML313">#REF!</definedName>
    <definedName name="_________________ML314">#REF!</definedName>
    <definedName name="_________________ML315">#REF!</definedName>
    <definedName name="_________________ML316">#REF!</definedName>
    <definedName name="_________________ML317">#REF!</definedName>
    <definedName name="_________________ML318">#REF!</definedName>
    <definedName name="_________________ML319">#REF!</definedName>
    <definedName name="_________________ML32">#REF!</definedName>
    <definedName name="_________________ML320">#REF!</definedName>
    <definedName name="_________________ML321">#REF!</definedName>
    <definedName name="_________________ML322">#REF!</definedName>
    <definedName name="_________________ML323">#REF!</definedName>
    <definedName name="_________________ML324">#REF!</definedName>
    <definedName name="_________________ML33">#REF!</definedName>
    <definedName name="_________________ML34">#REF!</definedName>
    <definedName name="_________________ML35">#REF!</definedName>
    <definedName name="_________________ML36">#REF!</definedName>
    <definedName name="_________________ML37">#REF!</definedName>
    <definedName name="_________________ML38">#REF!</definedName>
    <definedName name="_________________ML39">#REF!</definedName>
    <definedName name="_________________ML7">#REF!</definedName>
    <definedName name="_________________ML8">#REF!</definedName>
    <definedName name="_________________ML9">#REF!</definedName>
    <definedName name="_________________mm1">#REF!</definedName>
    <definedName name="_________________mm1000">#REF!</definedName>
    <definedName name="_________________mm11">#REF!</definedName>
    <definedName name="_________________mm111">#REF!</definedName>
    <definedName name="_________________mm600">#REF!</definedName>
    <definedName name="_________________mm800">#REF!</definedName>
    <definedName name="_________________PC1">#REF!</definedName>
    <definedName name="_________________PC10">#REF!</definedName>
    <definedName name="_________________PC11">#REF!</definedName>
    <definedName name="_________________PC12">#REF!</definedName>
    <definedName name="_________________PC13">#REF!</definedName>
    <definedName name="_________________PC14">#REF!</definedName>
    <definedName name="_________________PC15">#REF!</definedName>
    <definedName name="_________________PC16">#REF!</definedName>
    <definedName name="_________________PC17">#REF!</definedName>
    <definedName name="_________________PC18">#REF!</definedName>
    <definedName name="_________________PC19">#REF!</definedName>
    <definedName name="_________________pc2">#REF!</definedName>
    <definedName name="_________________PC20">NA()</definedName>
    <definedName name="_________________PC21">#REF!</definedName>
    <definedName name="_________________PC22">#REF!</definedName>
    <definedName name="_________________PC23">#REF!</definedName>
    <definedName name="_________________PC24">#REF!</definedName>
    <definedName name="_________________PC3">#REF!</definedName>
    <definedName name="_________________PC4">#REF!</definedName>
    <definedName name="_________________PC5">#REF!</definedName>
    <definedName name="_________________PC6">#REF!</definedName>
    <definedName name="_________________pc600">#REF!</definedName>
    <definedName name="_________________PC7">#REF!</definedName>
    <definedName name="_________________PC8">#REF!</definedName>
    <definedName name="_________________PC9">#REF!</definedName>
    <definedName name="_________________pc900">#REF!</definedName>
    <definedName name="_________________pla4">#REF!</definedName>
    <definedName name="_________________pv2">#REF!</definedName>
    <definedName name="_________________rr3">#REF!</definedName>
    <definedName name="_________________rrr1">#REF!</definedName>
    <definedName name="_________________SP10">#REF!</definedName>
    <definedName name="_________________SP16">#REF!</definedName>
    <definedName name="_________________SP7">#REF!</definedName>
    <definedName name="_________________ss12">#REF!</definedName>
    <definedName name="_________________ss20">#REF!</definedName>
    <definedName name="_________________ss40">#REF!</definedName>
    <definedName name="_________________var1">#REF!</definedName>
    <definedName name="_________________var4">#REF!</definedName>
    <definedName name="_________________vat1">NA()</definedName>
    <definedName name="________________bla1">#REF!</definedName>
    <definedName name="________________BSG100">#REF!</definedName>
    <definedName name="________________BSG150">#REF!</definedName>
    <definedName name="________________BSG5">#REF!</definedName>
    <definedName name="________________BSG75">#REF!</definedName>
    <definedName name="________________BTC1">#REF!</definedName>
    <definedName name="________________BTC10">#REF!</definedName>
    <definedName name="________________BTC11">#REF!</definedName>
    <definedName name="________________BTC12">#REF!</definedName>
    <definedName name="________________BTC13">#REF!</definedName>
    <definedName name="________________BTC14">#REF!</definedName>
    <definedName name="________________BTC15">#REF!</definedName>
    <definedName name="________________BTC16">#REF!</definedName>
    <definedName name="________________BTC17">#REF!</definedName>
    <definedName name="________________BTC18">#REF!</definedName>
    <definedName name="________________BTC19">#REF!</definedName>
    <definedName name="________________BTC2">#REF!</definedName>
    <definedName name="________________BTC20">#REF!</definedName>
    <definedName name="________________BTC21">#REF!</definedName>
    <definedName name="________________BTC22">#REF!</definedName>
    <definedName name="________________BTC23">#REF!</definedName>
    <definedName name="________________BTC24">#REF!</definedName>
    <definedName name="________________BTC3">#REF!</definedName>
    <definedName name="________________BTC4">#REF!</definedName>
    <definedName name="________________BTC5">#REF!</definedName>
    <definedName name="________________BTC6">#REF!</definedName>
    <definedName name="________________BTC7">#REF!</definedName>
    <definedName name="________________BTC8">#REF!</definedName>
    <definedName name="________________BTC9">#REF!</definedName>
    <definedName name="________________BTR1">#REF!</definedName>
    <definedName name="________________BTR10">#REF!</definedName>
    <definedName name="________________BTR11">#REF!</definedName>
    <definedName name="________________BTR12">#REF!</definedName>
    <definedName name="________________BTR13">#REF!</definedName>
    <definedName name="________________BTR14">#REF!</definedName>
    <definedName name="________________BTR15">#REF!</definedName>
    <definedName name="________________BTR16">#REF!</definedName>
    <definedName name="________________BTR17">#REF!</definedName>
    <definedName name="________________BTR18">#REF!</definedName>
    <definedName name="________________BTR19">#REF!</definedName>
    <definedName name="________________BTR2">#REF!</definedName>
    <definedName name="________________BTR20">#REF!</definedName>
    <definedName name="________________BTR21">#REF!</definedName>
    <definedName name="________________BTR22">#REF!</definedName>
    <definedName name="________________BTR23">#REF!</definedName>
    <definedName name="________________BTR24">#REF!</definedName>
    <definedName name="________________BTR3">#REF!</definedName>
    <definedName name="________________BTR4">#REF!</definedName>
    <definedName name="________________BTR5">#REF!</definedName>
    <definedName name="________________BTR6">#REF!</definedName>
    <definedName name="________________BTR7">#REF!</definedName>
    <definedName name="________________BTR8">#REF!</definedName>
    <definedName name="________________BTR9">#REF!</definedName>
    <definedName name="________________BTS1">#REF!</definedName>
    <definedName name="________________BTS10">#REF!</definedName>
    <definedName name="________________BTS11">#REF!</definedName>
    <definedName name="________________BTS12">#REF!</definedName>
    <definedName name="________________BTS13">#REF!</definedName>
    <definedName name="________________BTS14">#REF!</definedName>
    <definedName name="________________BTS15">#REF!</definedName>
    <definedName name="________________BTS16">#REF!</definedName>
    <definedName name="________________BTS17">#REF!</definedName>
    <definedName name="________________BTS18">#REF!</definedName>
    <definedName name="________________BTS19">#REF!</definedName>
    <definedName name="________________BTS2">#REF!</definedName>
    <definedName name="________________BTS20">#REF!</definedName>
    <definedName name="________________BTS21">#REF!</definedName>
    <definedName name="________________BTS22">#REF!</definedName>
    <definedName name="________________BTS23">#REF!</definedName>
    <definedName name="________________BTS24">#REF!</definedName>
    <definedName name="________________BTS3">#REF!</definedName>
    <definedName name="________________BTS4">#REF!</definedName>
    <definedName name="________________BTS5">#REF!</definedName>
    <definedName name="________________BTS6">#REF!</definedName>
    <definedName name="________________BTS7">#REF!</definedName>
    <definedName name="________________BTS8">#REF!</definedName>
    <definedName name="________________BTS9">#REF!</definedName>
    <definedName name="________________can430">40.73</definedName>
    <definedName name="________________can435">43.3</definedName>
    <definedName name="________________CCW1">#REF!</definedName>
    <definedName name="________________CCW2">#REF!</definedName>
    <definedName name="________________cur1">#REF!</definedName>
    <definedName name="________________GBS11">#REF!</definedName>
    <definedName name="________________GBS110">#REF!</definedName>
    <definedName name="________________GBS111">#REF!</definedName>
    <definedName name="________________GBS112">#REF!</definedName>
    <definedName name="________________GBS113">#REF!</definedName>
    <definedName name="________________GBS114">#REF!</definedName>
    <definedName name="________________GBS115">#REF!</definedName>
    <definedName name="________________GBS116">#REF!</definedName>
    <definedName name="________________GBS117">#REF!</definedName>
    <definedName name="________________GBS118">#REF!</definedName>
    <definedName name="________________GBS119">#REF!</definedName>
    <definedName name="________________GBS12">#REF!</definedName>
    <definedName name="________________GBS120">#REF!</definedName>
    <definedName name="________________GBS121">#REF!</definedName>
    <definedName name="________________GBS122">#REF!</definedName>
    <definedName name="________________GBS123">#REF!</definedName>
    <definedName name="________________GBS124">#REF!</definedName>
    <definedName name="________________GBS13">#REF!</definedName>
    <definedName name="________________GBS14">#REF!</definedName>
    <definedName name="________________GBS15">#REF!</definedName>
    <definedName name="________________GBS16">#REF!</definedName>
    <definedName name="________________GBS17">#REF!</definedName>
    <definedName name="________________GBS18">#REF!</definedName>
    <definedName name="________________GBS19">#REF!</definedName>
    <definedName name="________________GBS21">#REF!</definedName>
    <definedName name="________________GBS210">#REF!</definedName>
    <definedName name="________________GBS211">#REF!</definedName>
    <definedName name="________________GBS212">#REF!</definedName>
    <definedName name="________________GBS213">#REF!</definedName>
    <definedName name="________________GBS214">#REF!</definedName>
    <definedName name="________________GBS215">#REF!</definedName>
    <definedName name="________________GBS216">#REF!</definedName>
    <definedName name="________________GBS217">#REF!</definedName>
    <definedName name="________________GBS218">#REF!</definedName>
    <definedName name="________________GBS219">#REF!</definedName>
    <definedName name="________________GBS22">#REF!</definedName>
    <definedName name="________________GBS220">#REF!</definedName>
    <definedName name="________________GBS221">#REF!</definedName>
    <definedName name="________________GBS222">#REF!</definedName>
    <definedName name="________________GBS223">#REF!</definedName>
    <definedName name="________________GBS224">#REF!</definedName>
    <definedName name="________________GBS23">#REF!</definedName>
    <definedName name="________________GBS24">#REF!</definedName>
    <definedName name="________________GBS25">#REF!</definedName>
    <definedName name="________________GBS26">#REF!</definedName>
    <definedName name="________________GBS27">#REF!</definedName>
    <definedName name="________________GBS28">#REF!</definedName>
    <definedName name="________________GBS29">#REF!</definedName>
    <definedName name="________________imp1">#REF!</definedName>
    <definedName name="________________knr2">#REF!</definedName>
    <definedName name="________________l1">#REF!</definedName>
    <definedName name="________________l12">#REF!</definedName>
    <definedName name="________________l2">#REF!</definedName>
    <definedName name="________________l3">#REF!</definedName>
    <definedName name="________________l4">#REF!</definedName>
    <definedName name="________________l5">#REF!</definedName>
    <definedName name="________________l6">#REF!</definedName>
    <definedName name="________________l7">#REF!</definedName>
    <definedName name="________________l8">#REF!</definedName>
    <definedName name="________________l9">#REF!</definedName>
    <definedName name="________________LJ6">#REF!</definedName>
    <definedName name="________________lj600">#REF!</definedName>
    <definedName name="________________lj900">#REF!</definedName>
    <definedName name="________________LL3">#REF!</definedName>
    <definedName name="________________LSO24">#REF!</definedName>
    <definedName name="________________MA1">#REF!</definedName>
    <definedName name="________________MA2">#REF!</definedName>
    <definedName name="________________me12">NA()</definedName>
    <definedName name="________________Met22">#REF!</definedName>
    <definedName name="________________Met45">#REF!</definedName>
    <definedName name="________________MEt55">#REF!</definedName>
    <definedName name="________________Met63">#REF!</definedName>
    <definedName name="________________ML21">#REF!</definedName>
    <definedName name="________________ML210">#REF!</definedName>
    <definedName name="________________ML211">#REF!</definedName>
    <definedName name="________________ML212">#REF!</definedName>
    <definedName name="________________ML213">#REF!</definedName>
    <definedName name="________________ML214">#REF!</definedName>
    <definedName name="________________ML215">#REF!</definedName>
    <definedName name="________________ML216">#REF!</definedName>
    <definedName name="________________ML217">#REF!</definedName>
    <definedName name="________________ML218">#REF!</definedName>
    <definedName name="________________ML219">#REF!</definedName>
    <definedName name="________________ML22">#REF!</definedName>
    <definedName name="________________ML220">#REF!</definedName>
    <definedName name="________________ML221">#REF!</definedName>
    <definedName name="________________ML222">#REF!</definedName>
    <definedName name="________________ML223">#REF!</definedName>
    <definedName name="________________ML224">#REF!</definedName>
    <definedName name="________________ML23">#REF!</definedName>
    <definedName name="________________ML24">#REF!</definedName>
    <definedName name="________________ML25">#REF!</definedName>
    <definedName name="________________ML26">#REF!</definedName>
    <definedName name="________________ML27">#REF!</definedName>
    <definedName name="________________ML28">#REF!</definedName>
    <definedName name="________________ML29">#REF!</definedName>
    <definedName name="________________ML31">#REF!</definedName>
    <definedName name="________________ML310">#REF!</definedName>
    <definedName name="________________ML311">#REF!</definedName>
    <definedName name="________________ML312">#REF!</definedName>
    <definedName name="________________ML313">#REF!</definedName>
    <definedName name="________________ML314">#REF!</definedName>
    <definedName name="________________ML315">#REF!</definedName>
    <definedName name="________________ML316">#REF!</definedName>
    <definedName name="________________ML317">#REF!</definedName>
    <definedName name="________________ML318">#REF!</definedName>
    <definedName name="________________ML319">#REF!</definedName>
    <definedName name="________________ML32">#REF!</definedName>
    <definedName name="________________ML320">#REF!</definedName>
    <definedName name="________________ML321">#REF!</definedName>
    <definedName name="________________ML322">#REF!</definedName>
    <definedName name="________________ML323">#REF!</definedName>
    <definedName name="________________ML324">#REF!</definedName>
    <definedName name="________________ML33">#REF!</definedName>
    <definedName name="________________ML34">#REF!</definedName>
    <definedName name="________________ML35">#REF!</definedName>
    <definedName name="________________ML36">#REF!</definedName>
    <definedName name="________________ML37">#REF!</definedName>
    <definedName name="________________ML38">#REF!</definedName>
    <definedName name="________________ML39">#REF!</definedName>
    <definedName name="________________ML7">#REF!</definedName>
    <definedName name="________________ML8">#REF!</definedName>
    <definedName name="________________ML9">#REF!</definedName>
    <definedName name="________________mm1">#REF!</definedName>
    <definedName name="________________mm1000">#REF!</definedName>
    <definedName name="________________mm11">#REF!</definedName>
    <definedName name="________________mm111">#REF!</definedName>
    <definedName name="________________mm600">#REF!</definedName>
    <definedName name="________________mm800">#REF!</definedName>
    <definedName name="________________PC1">#REF!</definedName>
    <definedName name="________________PC10">#REF!</definedName>
    <definedName name="________________PC11">#REF!</definedName>
    <definedName name="________________PC12">#REF!</definedName>
    <definedName name="________________PC13">#REF!</definedName>
    <definedName name="________________PC14">#REF!</definedName>
    <definedName name="________________PC15">#REF!</definedName>
    <definedName name="________________PC16">#REF!</definedName>
    <definedName name="________________PC17">#REF!</definedName>
    <definedName name="________________PC18">#REF!</definedName>
    <definedName name="________________PC19">#REF!</definedName>
    <definedName name="________________pc2">#REF!</definedName>
    <definedName name="________________PC20">NA()</definedName>
    <definedName name="________________PC21">#REF!</definedName>
    <definedName name="________________PC22">#REF!</definedName>
    <definedName name="________________PC23">#REF!</definedName>
    <definedName name="________________PC24">#REF!</definedName>
    <definedName name="________________PC3">#REF!</definedName>
    <definedName name="________________PC4">#REF!</definedName>
    <definedName name="________________PC5">#REF!</definedName>
    <definedName name="________________PC6">#REF!</definedName>
    <definedName name="________________pc600">#REF!</definedName>
    <definedName name="________________PC7">#REF!</definedName>
    <definedName name="________________PC8">#REF!</definedName>
    <definedName name="________________PC9">#REF!</definedName>
    <definedName name="________________pc900">#REF!</definedName>
    <definedName name="________________pla4">#REF!</definedName>
    <definedName name="________________pv2">#REF!</definedName>
    <definedName name="________________rr3">#REF!</definedName>
    <definedName name="________________rrr1">#REF!</definedName>
    <definedName name="________________SP10">#REF!</definedName>
    <definedName name="________________SP16">#REF!</definedName>
    <definedName name="________________SP7">#REF!</definedName>
    <definedName name="________________ss12">#REF!</definedName>
    <definedName name="________________ss20">#REF!</definedName>
    <definedName name="________________ss40">#REF!</definedName>
    <definedName name="________________var1">#REF!</definedName>
    <definedName name="________________var4">#REF!</definedName>
    <definedName name="________________vat1">NA()</definedName>
    <definedName name="_______________bla1">#REF!</definedName>
    <definedName name="_______________BSG100">#REF!</definedName>
    <definedName name="_______________BSG150">#REF!</definedName>
    <definedName name="_______________BSG5">#REF!</definedName>
    <definedName name="_______________BSG75">#REF!</definedName>
    <definedName name="_______________BTC1">#REF!</definedName>
    <definedName name="_______________BTC10">#REF!</definedName>
    <definedName name="_______________BTC11">#REF!</definedName>
    <definedName name="_______________BTC12">#REF!</definedName>
    <definedName name="_______________BTC13">#REF!</definedName>
    <definedName name="_______________BTC14">#REF!</definedName>
    <definedName name="_______________BTC15">#REF!</definedName>
    <definedName name="_______________BTC16">#REF!</definedName>
    <definedName name="_______________BTC17">#REF!</definedName>
    <definedName name="_______________BTC18">#REF!</definedName>
    <definedName name="_______________BTC19">#REF!</definedName>
    <definedName name="_______________BTC2">#REF!</definedName>
    <definedName name="_______________BTC20">#REF!</definedName>
    <definedName name="_______________BTC21">#REF!</definedName>
    <definedName name="_______________BTC22">#REF!</definedName>
    <definedName name="_______________BTC23">#REF!</definedName>
    <definedName name="_______________BTC24">#REF!</definedName>
    <definedName name="_______________BTC3">#REF!</definedName>
    <definedName name="_______________BTC4">#REF!</definedName>
    <definedName name="_______________BTC5">#REF!</definedName>
    <definedName name="_______________BTC6">#REF!</definedName>
    <definedName name="_______________BTC7">#REF!</definedName>
    <definedName name="_______________BTC8">#REF!</definedName>
    <definedName name="_______________BTC9">#REF!</definedName>
    <definedName name="_______________BTR1">#REF!</definedName>
    <definedName name="_______________BTR10">#REF!</definedName>
    <definedName name="_______________BTR11">#REF!</definedName>
    <definedName name="_______________BTR12">#REF!</definedName>
    <definedName name="_______________BTR13">#REF!</definedName>
    <definedName name="_______________BTR14">#REF!</definedName>
    <definedName name="_______________BTR15">#REF!</definedName>
    <definedName name="_______________BTR16">#REF!</definedName>
    <definedName name="_______________BTR17">#REF!</definedName>
    <definedName name="_______________BTR18">#REF!</definedName>
    <definedName name="_______________BTR19">#REF!</definedName>
    <definedName name="_______________BTR2">#REF!</definedName>
    <definedName name="_______________BTR20">#REF!</definedName>
    <definedName name="_______________BTR21">#REF!</definedName>
    <definedName name="_______________BTR22">#REF!</definedName>
    <definedName name="_______________BTR23">#REF!</definedName>
    <definedName name="_______________BTR24">#REF!</definedName>
    <definedName name="_______________BTR3">#REF!</definedName>
    <definedName name="_______________BTR4">#REF!</definedName>
    <definedName name="_______________BTR5">#REF!</definedName>
    <definedName name="_______________BTR6">#REF!</definedName>
    <definedName name="_______________BTR7">#REF!</definedName>
    <definedName name="_______________BTR8">#REF!</definedName>
    <definedName name="_______________BTR9">#REF!</definedName>
    <definedName name="_______________BTS1">#REF!</definedName>
    <definedName name="_______________BTS10">#REF!</definedName>
    <definedName name="_______________BTS11">#REF!</definedName>
    <definedName name="_______________BTS12">#REF!</definedName>
    <definedName name="_______________BTS13">#REF!</definedName>
    <definedName name="_______________BTS14">#REF!</definedName>
    <definedName name="_______________BTS15">#REF!</definedName>
    <definedName name="_______________BTS16">#REF!</definedName>
    <definedName name="_______________BTS17">#REF!</definedName>
    <definedName name="_______________BTS18">#REF!</definedName>
    <definedName name="_______________BTS19">#REF!</definedName>
    <definedName name="_______________BTS2">#REF!</definedName>
    <definedName name="_______________BTS20">#REF!</definedName>
    <definedName name="_______________BTS21">#REF!</definedName>
    <definedName name="_______________BTS22">#REF!</definedName>
    <definedName name="_______________BTS23">#REF!</definedName>
    <definedName name="_______________BTS24">#REF!</definedName>
    <definedName name="_______________BTS3">#REF!</definedName>
    <definedName name="_______________BTS4">#REF!</definedName>
    <definedName name="_______________BTS5">#REF!</definedName>
    <definedName name="_______________BTS6">#REF!</definedName>
    <definedName name="_______________BTS7">#REF!</definedName>
    <definedName name="_______________BTS8">#REF!</definedName>
    <definedName name="_______________BTS9">#REF!</definedName>
    <definedName name="_______________can430">40.73</definedName>
    <definedName name="_______________can435">43.3</definedName>
    <definedName name="_______________CCW1">#REF!</definedName>
    <definedName name="_______________CCW2">#REF!</definedName>
    <definedName name="_______________cur1">#REF!</definedName>
    <definedName name="_______________G120907">#REF!</definedName>
    <definedName name="_______________GBS11">NA()</definedName>
    <definedName name="_______________GBS110">#REF!</definedName>
    <definedName name="_______________GBS111">#REF!</definedName>
    <definedName name="_______________GBS112">#REF!</definedName>
    <definedName name="_______________GBS113">#REF!</definedName>
    <definedName name="_______________GBS114">#REF!</definedName>
    <definedName name="_______________GBS115">#REF!</definedName>
    <definedName name="_______________GBS116">#REF!</definedName>
    <definedName name="_______________GBS117">#REF!</definedName>
    <definedName name="_______________GBS118">#REF!</definedName>
    <definedName name="_______________GBS119">#REF!</definedName>
    <definedName name="_______________GBS12">#REF!</definedName>
    <definedName name="_______________GBS120">#REF!</definedName>
    <definedName name="_______________GBS121">#REF!</definedName>
    <definedName name="_______________GBS122">#REF!</definedName>
    <definedName name="_______________GBS123">#REF!</definedName>
    <definedName name="_______________GBS124">#REF!</definedName>
    <definedName name="_______________GBS13">#REF!</definedName>
    <definedName name="_______________GBS14">#REF!</definedName>
    <definedName name="_______________GBS15">#REF!</definedName>
    <definedName name="_______________GBS16">#REF!</definedName>
    <definedName name="_______________GBS17">#REF!</definedName>
    <definedName name="_______________GBS18">#REF!</definedName>
    <definedName name="_______________GBS19">#REF!</definedName>
    <definedName name="_______________GBS21">#REF!</definedName>
    <definedName name="_______________GBS210">#REF!</definedName>
    <definedName name="_______________GBS211">#REF!</definedName>
    <definedName name="_______________GBS212">#REF!</definedName>
    <definedName name="_______________GBS213">#REF!</definedName>
    <definedName name="_______________GBS214">#REF!</definedName>
    <definedName name="_______________GBS215">#REF!</definedName>
    <definedName name="_______________GBS216">#REF!</definedName>
    <definedName name="_______________GBS217">#REF!</definedName>
    <definedName name="_______________GBS218">#REF!</definedName>
    <definedName name="_______________GBS219">#REF!</definedName>
    <definedName name="_______________GBS22">#REF!</definedName>
    <definedName name="_______________GBS220">#REF!</definedName>
    <definedName name="_______________GBS221">#REF!</definedName>
    <definedName name="_______________GBS222">#REF!</definedName>
    <definedName name="_______________GBS223">#REF!</definedName>
    <definedName name="_______________GBS224">#REF!</definedName>
    <definedName name="_______________GBS23">#REF!</definedName>
    <definedName name="_______________GBS24">#REF!</definedName>
    <definedName name="_______________GBS25">#REF!</definedName>
    <definedName name="_______________GBS26">#REF!</definedName>
    <definedName name="_______________GBS27">#REF!</definedName>
    <definedName name="_______________GBS28">#REF!</definedName>
    <definedName name="_______________GBS29">#REF!</definedName>
    <definedName name="_______________imp1">#REF!</definedName>
    <definedName name="_______________knr2">#REF!</definedName>
    <definedName name="_______________l1">#REF!</definedName>
    <definedName name="_______________l12">#REF!</definedName>
    <definedName name="_______________l2">#REF!</definedName>
    <definedName name="_______________l3">#REF!</definedName>
    <definedName name="_______________l4">#REF!</definedName>
    <definedName name="_______________l5">#REF!</definedName>
    <definedName name="_______________l6">#REF!</definedName>
    <definedName name="_______________l7">#REF!</definedName>
    <definedName name="_______________l8">#REF!</definedName>
    <definedName name="_______________l9">#REF!</definedName>
    <definedName name="_______________LJ6">#REF!</definedName>
    <definedName name="_______________lj600">#REF!</definedName>
    <definedName name="_______________lj900">#REF!</definedName>
    <definedName name="_______________LL3">#REF!</definedName>
    <definedName name="_______________LSO24">#REF!</definedName>
    <definedName name="_______________MA1">#REF!</definedName>
    <definedName name="_______________MA2">#REF!</definedName>
    <definedName name="_______________Met22">#REF!</definedName>
    <definedName name="_______________Met45">#REF!</definedName>
    <definedName name="_______________MEt55">#REF!</definedName>
    <definedName name="_______________Met63">#REF!</definedName>
    <definedName name="_______________ML21">#REF!</definedName>
    <definedName name="_______________ML210">#REF!</definedName>
    <definedName name="_______________ML211">#REF!</definedName>
    <definedName name="_______________ML212">#REF!</definedName>
    <definedName name="_______________ML213">#REF!</definedName>
    <definedName name="_______________ML214">#REF!</definedName>
    <definedName name="_______________ML215">#REF!</definedName>
    <definedName name="_______________ML216">#REF!</definedName>
    <definedName name="_______________ML217">#REF!</definedName>
    <definedName name="_______________ML218">#REF!</definedName>
    <definedName name="_______________ML219">#REF!</definedName>
    <definedName name="_______________ML22">#REF!</definedName>
    <definedName name="_______________ML220">#REF!</definedName>
    <definedName name="_______________ML221">#REF!</definedName>
    <definedName name="_______________ML222">#REF!</definedName>
    <definedName name="_______________ML223">#REF!</definedName>
    <definedName name="_______________ML224">#REF!</definedName>
    <definedName name="_______________ML23">#REF!</definedName>
    <definedName name="_______________ML24">#REF!</definedName>
    <definedName name="_______________ML25">#REF!</definedName>
    <definedName name="_______________ML26">#REF!</definedName>
    <definedName name="_______________ML27">#REF!</definedName>
    <definedName name="_______________ML28">#REF!</definedName>
    <definedName name="_______________ML29">#REF!</definedName>
    <definedName name="_______________ML31">#REF!</definedName>
    <definedName name="_______________ML310">#REF!</definedName>
    <definedName name="_______________ML311">#REF!</definedName>
    <definedName name="_______________ML312">#REF!</definedName>
    <definedName name="_______________ML313">#REF!</definedName>
    <definedName name="_______________ML314">#REF!</definedName>
    <definedName name="_______________ML315">#REF!</definedName>
    <definedName name="_______________ML316">#REF!</definedName>
    <definedName name="_______________ML317">#REF!</definedName>
    <definedName name="_______________ML318">#REF!</definedName>
    <definedName name="_______________ML319">#REF!</definedName>
    <definedName name="_______________ML32">#REF!</definedName>
    <definedName name="_______________ML320">#REF!</definedName>
    <definedName name="_______________ML321">#REF!</definedName>
    <definedName name="_______________ML322">#REF!</definedName>
    <definedName name="_______________ML323">#REF!</definedName>
    <definedName name="_______________ML324">#REF!</definedName>
    <definedName name="_______________ML33">#REF!</definedName>
    <definedName name="_______________ML34">#REF!</definedName>
    <definedName name="_______________ML35">#REF!</definedName>
    <definedName name="_______________ML36">#REF!</definedName>
    <definedName name="_______________ML37">#REF!</definedName>
    <definedName name="_______________ML38">#REF!</definedName>
    <definedName name="_______________ML39">#REF!</definedName>
    <definedName name="_______________ML7">#REF!</definedName>
    <definedName name="_______________ML8">#REF!</definedName>
    <definedName name="_______________ML9">#REF!</definedName>
    <definedName name="_______________mm1">#REF!</definedName>
    <definedName name="_______________mm1000">#REF!</definedName>
    <definedName name="_______________mm11">#REF!</definedName>
    <definedName name="_______________mm111">#REF!</definedName>
    <definedName name="_______________mm600">#REF!</definedName>
    <definedName name="_______________mm800">#REF!</definedName>
    <definedName name="_______________PC1">#REF!</definedName>
    <definedName name="_______________PC10">#REF!</definedName>
    <definedName name="_______________PC11">#REF!</definedName>
    <definedName name="_______________PC12">#REF!</definedName>
    <definedName name="_______________PC13">#REF!</definedName>
    <definedName name="_______________PC14">#REF!</definedName>
    <definedName name="_______________PC15">#REF!</definedName>
    <definedName name="_______________PC16">#REF!</definedName>
    <definedName name="_______________PC17">#REF!</definedName>
    <definedName name="_______________PC18">#REF!</definedName>
    <definedName name="_______________PC19">#REF!</definedName>
    <definedName name="_______________pc2">#REF!</definedName>
    <definedName name="_______________PC20">NA()</definedName>
    <definedName name="_______________PC21">#REF!</definedName>
    <definedName name="_______________PC22">#REF!</definedName>
    <definedName name="_______________PC23">#REF!</definedName>
    <definedName name="_______________PC24">#REF!</definedName>
    <definedName name="_______________PC3">#REF!</definedName>
    <definedName name="_______________PC4">#REF!</definedName>
    <definedName name="_______________PC5">#REF!</definedName>
    <definedName name="_______________PC6">#REF!</definedName>
    <definedName name="_______________pc600">#REF!</definedName>
    <definedName name="_______________PC7">#REF!</definedName>
    <definedName name="_______________PC8">#REF!</definedName>
    <definedName name="_______________PC9">#REF!</definedName>
    <definedName name="_______________pc900">#REF!</definedName>
    <definedName name="_______________pla4">#REF!</definedName>
    <definedName name="_______________pv2">#REF!</definedName>
    <definedName name="_______________rr3">#REF!</definedName>
    <definedName name="_______________rrr1">#REF!</definedName>
    <definedName name="_______________SP10">#REF!</definedName>
    <definedName name="_______________SP16">#REF!</definedName>
    <definedName name="_______________SP7">#REF!</definedName>
    <definedName name="_______________ss12">#REF!</definedName>
    <definedName name="_______________ss20">#REF!</definedName>
    <definedName name="_______________ss40">#REF!</definedName>
    <definedName name="_______________var1">#REF!</definedName>
    <definedName name="_______________var4">#REF!</definedName>
    <definedName name="_______________vat1">NA()</definedName>
    <definedName name="______________bla1">#REF!</definedName>
    <definedName name="______________BSG100">#REF!</definedName>
    <definedName name="______________BSG150">#REF!</definedName>
    <definedName name="______________BSG5">#REF!</definedName>
    <definedName name="______________BSG75">#REF!</definedName>
    <definedName name="______________BTC1">#REF!</definedName>
    <definedName name="______________BTC10">#REF!</definedName>
    <definedName name="______________BTC11">#REF!</definedName>
    <definedName name="______________BTC12">#REF!</definedName>
    <definedName name="______________BTC13">#REF!</definedName>
    <definedName name="______________BTC14">#REF!</definedName>
    <definedName name="______________BTC15">#REF!</definedName>
    <definedName name="______________BTC16">#REF!</definedName>
    <definedName name="______________BTC17">#REF!</definedName>
    <definedName name="______________BTC18">#REF!</definedName>
    <definedName name="______________BTC19">#REF!</definedName>
    <definedName name="______________BTC2">#REF!</definedName>
    <definedName name="______________BTC20">#REF!</definedName>
    <definedName name="______________BTC21">#REF!</definedName>
    <definedName name="______________BTC22">#REF!</definedName>
    <definedName name="______________BTC23">#REF!</definedName>
    <definedName name="______________BTC24">#REF!</definedName>
    <definedName name="______________BTC3">#REF!</definedName>
    <definedName name="______________BTC4">#REF!</definedName>
    <definedName name="______________BTC5">#REF!</definedName>
    <definedName name="______________BTC6">#REF!</definedName>
    <definedName name="______________BTC7">#REF!</definedName>
    <definedName name="______________BTC8">#REF!</definedName>
    <definedName name="______________BTC9">#REF!</definedName>
    <definedName name="______________BTR1">#REF!</definedName>
    <definedName name="______________BTR10">#REF!</definedName>
    <definedName name="______________BTR11">#REF!</definedName>
    <definedName name="______________BTR12">#REF!</definedName>
    <definedName name="______________BTR13">#REF!</definedName>
    <definedName name="______________BTR14">#REF!</definedName>
    <definedName name="______________BTR15">#REF!</definedName>
    <definedName name="______________BTR16">#REF!</definedName>
    <definedName name="______________BTR17">#REF!</definedName>
    <definedName name="______________BTR18">#REF!</definedName>
    <definedName name="______________BTR19">#REF!</definedName>
    <definedName name="______________BTR2">#REF!</definedName>
    <definedName name="______________BTR20">#REF!</definedName>
    <definedName name="______________BTR21">#REF!</definedName>
    <definedName name="______________BTR22">#REF!</definedName>
    <definedName name="______________BTR23">#REF!</definedName>
    <definedName name="______________BTR24">#REF!</definedName>
    <definedName name="______________BTR3">#REF!</definedName>
    <definedName name="______________BTR4">#REF!</definedName>
    <definedName name="______________BTR5">#REF!</definedName>
    <definedName name="______________BTR6">#REF!</definedName>
    <definedName name="______________BTR7">#REF!</definedName>
    <definedName name="______________BTR8">#REF!</definedName>
    <definedName name="______________BTR9">#REF!</definedName>
    <definedName name="______________BTS1">#REF!</definedName>
    <definedName name="______________BTS10">#REF!</definedName>
    <definedName name="______________BTS11">#REF!</definedName>
    <definedName name="______________BTS12">#REF!</definedName>
    <definedName name="______________BTS13">#REF!</definedName>
    <definedName name="______________BTS14">#REF!</definedName>
    <definedName name="______________BTS15">#REF!</definedName>
    <definedName name="______________BTS16">#REF!</definedName>
    <definedName name="______________BTS17">#REF!</definedName>
    <definedName name="______________BTS18">#REF!</definedName>
    <definedName name="______________BTS19">#REF!</definedName>
    <definedName name="______________BTS2">#REF!</definedName>
    <definedName name="______________BTS20">#REF!</definedName>
    <definedName name="______________BTS21">#REF!</definedName>
    <definedName name="______________BTS22">#REF!</definedName>
    <definedName name="______________BTS23">#REF!</definedName>
    <definedName name="______________BTS24">#REF!</definedName>
    <definedName name="______________BTS3">#REF!</definedName>
    <definedName name="______________BTS4">#REF!</definedName>
    <definedName name="______________BTS5">#REF!</definedName>
    <definedName name="______________BTS6">#REF!</definedName>
    <definedName name="______________BTS7">#REF!</definedName>
    <definedName name="______________BTS8">#REF!</definedName>
    <definedName name="______________BTS9">#REF!</definedName>
    <definedName name="______________can430">40.73</definedName>
    <definedName name="______________can435">43.3</definedName>
    <definedName name="______________CCW1">#REF!</definedName>
    <definedName name="______________CCW2">#REF!</definedName>
    <definedName name="______________cur1">#REF!</definedName>
    <definedName name="______________G120907">#REF!</definedName>
    <definedName name="______________GBS11">NA()</definedName>
    <definedName name="______________GBS110">#REF!</definedName>
    <definedName name="______________GBS111">#REF!</definedName>
    <definedName name="______________GBS112">#REF!</definedName>
    <definedName name="______________GBS113">#REF!</definedName>
    <definedName name="______________GBS114">#REF!</definedName>
    <definedName name="______________GBS115">#REF!</definedName>
    <definedName name="______________GBS116">#REF!</definedName>
    <definedName name="______________GBS117">#REF!</definedName>
    <definedName name="______________GBS118">#REF!</definedName>
    <definedName name="______________GBS119">#REF!</definedName>
    <definedName name="______________GBS12">#REF!</definedName>
    <definedName name="______________GBS120">#REF!</definedName>
    <definedName name="______________GBS121">#REF!</definedName>
    <definedName name="______________GBS122">#REF!</definedName>
    <definedName name="______________GBS123">#REF!</definedName>
    <definedName name="______________GBS124">#REF!</definedName>
    <definedName name="______________GBS13">#REF!</definedName>
    <definedName name="______________GBS14">#REF!</definedName>
    <definedName name="______________GBS15">#REF!</definedName>
    <definedName name="______________GBS16">#REF!</definedName>
    <definedName name="______________GBS17">#REF!</definedName>
    <definedName name="______________GBS18">#REF!</definedName>
    <definedName name="______________GBS19">#REF!</definedName>
    <definedName name="______________GBS21">#REF!</definedName>
    <definedName name="______________GBS210">#REF!</definedName>
    <definedName name="______________GBS211">#REF!</definedName>
    <definedName name="______________GBS212">#REF!</definedName>
    <definedName name="______________GBS213">#REF!</definedName>
    <definedName name="______________GBS214">#REF!</definedName>
    <definedName name="______________GBS215">#REF!</definedName>
    <definedName name="______________GBS216">#REF!</definedName>
    <definedName name="______________GBS217">#REF!</definedName>
    <definedName name="______________GBS218">#REF!</definedName>
    <definedName name="______________GBS219">#REF!</definedName>
    <definedName name="______________GBS22">#REF!</definedName>
    <definedName name="______________GBS220">#REF!</definedName>
    <definedName name="______________GBS221">#REF!</definedName>
    <definedName name="______________GBS222">#REF!</definedName>
    <definedName name="______________GBS223">#REF!</definedName>
    <definedName name="______________GBS224">#REF!</definedName>
    <definedName name="______________GBS23">#REF!</definedName>
    <definedName name="______________GBS24">#REF!</definedName>
    <definedName name="______________GBS25">#REF!</definedName>
    <definedName name="______________GBS26">#REF!</definedName>
    <definedName name="______________GBS27">#REF!</definedName>
    <definedName name="______________GBS28">#REF!</definedName>
    <definedName name="______________GBS29">#REF!</definedName>
    <definedName name="______________imp1">#REF!</definedName>
    <definedName name="______________knr2">#REF!</definedName>
    <definedName name="______________l1">#REF!</definedName>
    <definedName name="______________l12">#REF!</definedName>
    <definedName name="______________l2">#REF!</definedName>
    <definedName name="______________l3">#REF!</definedName>
    <definedName name="______________l4">#REF!</definedName>
    <definedName name="______________l5">#REF!</definedName>
    <definedName name="______________l6">#REF!</definedName>
    <definedName name="______________l7">#REF!</definedName>
    <definedName name="______________l8">#REF!</definedName>
    <definedName name="______________l9">#REF!</definedName>
    <definedName name="______________LJ6">#REF!</definedName>
    <definedName name="______________lj600">#REF!</definedName>
    <definedName name="______________lj900">#REF!</definedName>
    <definedName name="______________LL3">#REF!</definedName>
    <definedName name="______________LSO24">#REF!</definedName>
    <definedName name="______________MA1">#REF!</definedName>
    <definedName name="______________MA2">#REF!</definedName>
    <definedName name="______________me12">NA()</definedName>
    <definedName name="______________Met22">#REF!</definedName>
    <definedName name="______________Met45">#REF!</definedName>
    <definedName name="______________MEt55">#REF!</definedName>
    <definedName name="______________Met63">#REF!</definedName>
    <definedName name="______________ML21">#REF!</definedName>
    <definedName name="______________ML210">#REF!</definedName>
    <definedName name="______________ML211">#REF!</definedName>
    <definedName name="______________ML212">#REF!</definedName>
    <definedName name="______________ML213">#REF!</definedName>
    <definedName name="______________ML214">#REF!</definedName>
    <definedName name="______________ML215">#REF!</definedName>
    <definedName name="______________ML216">#REF!</definedName>
    <definedName name="______________ML217">#REF!</definedName>
    <definedName name="______________ML218">#REF!</definedName>
    <definedName name="______________ML219">#REF!</definedName>
    <definedName name="______________ML22">#REF!</definedName>
    <definedName name="______________ML220">#REF!</definedName>
    <definedName name="______________ML221">#REF!</definedName>
    <definedName name="______________ML222">#REF!</definedName>
    <definedName name="______________ML223">#REF!</definedName>
    <definedName name="______________ML224">#REF!</definedName>
    <definedName name="______________ML23">#REF!</definedName>
    <definedName name="______________ML24">#REF!</definedName>
    <definedName name="______________ML25">#REF!</definedName>
    <definedName name="______________ML26">#REF!</definedName>
    <definedName name="______________ML27">#REF!</definedName>
    <definedName name="______________ML28">#REF!</definedName>
    <definedName name="______________ML29">#REF!</definedName>
    <definedName name="______________ML31">#REF!</definedName>
    <definedName name="______________ML310">#REF!</definedName>
    <definedName name="______________ML311">#REF!</definedName>
    <definedName name="______________ML312">#REF!</definedName>
    <definedName name="______________ML313">#REF!</definedName>
    <definedName name="______________ML314">#REF!</definedName>
    <definedName name="______________ML315">#REF!</definedName>
    <definedName name="______________ML316">#REF!</definedName>
    <definedName name="______________ML317">#REF!</definedName>
    <definedName name="______________ML318">#REF!</definedName>
    <definedName name="______________ML319">#REF!</definedName>
    <definedName name="______________ML32">#REF!</definedName>
    <definedName name="______________ML320">#REF!</definedName>
    <definedName name="______________ML321">#REF!</definedName>
    <definedName name="______________ML322">#REF!</definedName>
    <definedName name="______________ML323">#REF!</definedName>
    <definedName name="______________ML324">#REF!</definedName>
    <definedName name="______________ML33">#REF!</definedName>
    <definedName name="______________ML34">#REF!</definedName>
    <definedName name="______________ML35">#REF!</definedName>
    <definedName name="______________ML36">#REF!</definedName>
    <definedName name="______________ML37">#REF!</definedName>
    <definedName name="______________ML38">#REF!</definedName>
    <definedName name="______________ML39">#REF!</definedName>
    <definedName name="______________ML7">#REF!</definedName>
    <definedName name="______________ML8">#REF!</definedName>
    <definedName name="______________ML9">#REF!</definedName>
    <definedName name="______________mm1">#REF!</definedName>
    <definedName name="______________mm1000">#REF!</definedName>
    <definedName name="______________mm11">#REF!</definedName>
    <definedName name="______________mm111">#REF!</definedName>
    <definedName name="______________mm600">#REF!</definedName>
    <definedName name="______________mm800">#REF!</definedName>
    <definedName name="______________PC1">#REF!</definedName>
    <definedName name="______________PC10">#REF!</definedName>
    <definedName name="______________PC11">#REF!</definedName>
    <definedName name="______________PC12">#REF!</definedName>
    <definedName name="______________PC13">#REF!</definedName>
    <definedName name="______________PC14">#REF!</definedName>
    <definedName name="______________PC15">#REF!</definedName>
    <definedName name="______________PC16">#REF!</definedName>
    <definedName name="______________PC17">#REF!</definedName>
    <definedName name="______________PC18">#REF!</definedName>
    <definedName name="______________PC19">#REF!</definedName>
    <definedName name="______________pc2">#REF!</definedName>
    <definedName name="______________PC20">NA()</definedName>
    <definedName name="______________PC21">#REF!</definedName>
    <definedName name="______________PC22">#REF!</definedName>
    <definedName name="______________PC23">#REF!</definedName>
    <definedName name="______________PC24">#REF!</definedName>
    <definedName name="______________PC3">#REF!</definedName>
    <definedName name="______________PC4">#REF!</definedName>
    <definedName name="______________PC5">#REF!</definedName>
    <definedName name="______________PC6">#REF!</definedName>
    <definedName name="______________pc600">#REF!</definedName>
    <definedName name="______________PC7">#REF!</definedName>
    <definedName name="______________PC8">#REF!</definedName>
    <definedName name="______________PC9">#REF!</definedName>
    <definedName name="______________pc900">#REF!</definedName>
    <definedName name="______________pla4">#REF!</definedName>
    <definedName name="______________pv2">#REF!</definedName>
    <definedName name="______________rr3">#REF!</definedName>
    <definedName name="______________rrr1">#REF!</definedName>
    <definedName name="______________SP10">#REF!</definedName>
    <definedName name="______________SP16">#REF!</definedName>
    <definedName name="______________SP7">#REF!</definedName>
    <definedName name="______________ss12">#REF!</definedName>
    <definedName name="______________ss20">#REF!</definedName>
    <definedName name="______________ss40">#REF!</definedName>
    <definedName name="______________var1">#REF!</definedName>
    <definedName name="______________var4">#REF!</definedName>
    <definedName name="______________vat1">NA()</definedName>
    <definedName name="_____________bla1">#REF!</definedName>
    <definedName name="_____________BSG100">#REF!</definedName>
    <definedName name="_____________BSG150">#REF!</definedName>
    <definedName name="_____________BSG5">#REF!</definedName>
    <definedName name="_____________BSG75">#REF!</definedName>
    <definedName name="_____________BTC1">#REF!</definedName>
    <definedName name="_____________BTC10">#REF!</definedName>
    <definedName name="_____________BTC11">#REF!</definedName>
    <definedName name="_____________BTC12">#REF!</definedName>
    <definedName name="_____________BTC13">#REF!</definedName>
    <definedName name="_____________BTC14">#REF!</definedName>
    <definedName name="_____________BTC15">#REF!</definedName>
    <definedName name="_____________BTC16">#REF!</definedName>
    <definedName name="_____________BTC17">#REF!</definedName>
    <definedName name="_____________BTC18">#REF!</definedName>
    <definedName name="_____________BTC19">#REF!</definedName>
    <definedName name="_____________BTC2">#REF!</definedName>
    <definedName name="_____________BTC20">#REF!</definedName>
    <definedName name="_____________BTC21">#REF!</definedName>
    <definedName name="_____________BTC22">#REF!</definedName>
    <definedName name="_____________BTC23">#REF!</definedName>
    <definedName name="_____________BTC24">#REF!</definedName>
    <definedName name="_____________BTC3">#REF!</definedName>
    <definedName name="_____________BTC4">#REF!</definedName>
    <definedName name="_____________BTC5">#REF!</definedName>
    <definedName name="_____________BTC6">#REF!</definedName>
    <definedName name="_____________BTC7">#REF!</definedName>
    <definedName name="_____________BTC8">#REF!</definedName>
    <definedName name="_____________BTC9">#REF!</definedName>
    <definedName name="_____________BTR1">#REF!</definedName>
    <definedName name="_____________BTR10">#REF!</definedName>
    <definedName name="_____________BTR11">#REF!</definedName>
    <definedName name="_____________BTR12">#REF!</definedName>
    <definedName name="_____________BTR13">#REF!</definedName>
    <definedName name="_____________BTR14">#REF!</definedName>
    <definedName name="_____________BTR15">#REF!</definedName>
    <definedName name="_____________BTR16">#REF!</definedName>
    <definedName name="_____________BTR17">#REF!</definedName>
    <definedName name="_____________BTR18">#REF!</definedName>
    <definedName name="_____________BTR19">#REF!</definedName>
    <definedName name="_____________BTR2">#REF!</definedName>
    <definedName name="_____________BTR20">#REF!</definedName>
    <definedName name="_____________BTR21">#REF!</definedName>
    <definedName name="_____________BTR22">#REF!</definedName>
    <definedName name="_____________BTR23">#REF!</definedName>
    <definedName name="_____________BTR24">#REF!</definedName>
    <definedName name="_____________BTR3">#REF!</definedName>
    <definedName name="_____________BTR4">#REF!</definedName>
    <definedName name="_____________BTR5">#REF!</definedName>
    <definedName name="_____________BTR6">#REF!</definedName>
    <definedName name="_____________BTR7">#REF!</definedName>
    <definedName name="_____________BTR8">#REF!</definedName>
    <definedName name="_____________BTR9">#REF!</definedName>
    <definedName name="_____________BTS1">#REF!</definedName>
    <definedName name="_____________BTS10">#REF!</definedName>
    <definedName name="_____________BTS11">#REF!</definedName>
    <definedName name="_____________BTS12">#REF!</definedName>
    <definedName name="_____________BTS13">#REF!</definedName>
    <definedName name="_____________BTS14">#REF!</definedName>
    <definedName name="_____________BTS15">#REF!</definedName>
    <definedName name="_____________BTS16">#REF!</definedName>
    <definedName name="_____________BTS17">#REF!</definedName>
    <definedName name="_____________BTS18">#REF!</definedName>
    <definedName name="_____________BTS19">#REF!</definedName>
    <definedName name="_____________BTS2">#REF!</definedName>
    <definedName name="_____________BTS20">#REF!</definedName>
    <definedName name="_____________BTS21">#REF!</definedName>
    <definedName name="_____________BTS22">#REF!</definedName>
    <definedName name="_____________BTS23">#REF!</definedName>
    <definedName name="_____________BTS24">#REF!</definedName>
    <definedName name="_____________BTS3">#REF!</definedName>
    <definedName name="_____________BTS4">#REF!</definedName>
    <definedName name="_____________BTS5">#REF!</definedName>
    <definedName name="_____________BTS6">#REF!</definedName>
    <definedName name="_____________BTS7">#REF!</definedName>
    <definedName name="_____________BTS8">#REF!</definedName>
    <definedName name="_____________BTS9">#REF!</definedName>
    <definedName name="_____________can430">40.73</definedName>
    <definedName name="_____________can435">43.3</definedName>
    <definedName name="_____________CCW1">#REF!</definedName>
    <definedName name="_____________CCW2">#REF!</definedName>
    <definedName name="_____________cur1">#REF!</definedName>
    <definedName name="_____________G120907">#REF!</definedName>
    <definedName name="_____________GBS11">NA()</definedName>
    <definedName name="_____________GBS110">#REF!</definedName>
    <definedName name="_____________GBS111">#REF!</definedName>
    <definedName name="_____________GBS112">#REF!</definedName>
    <definedName name="_____________GBS113">#REF!</definedName>
    <definedName name="_____________GBS114">#REF!</definedName>
    <definedName name="_____________GBS115">#REF!</definedName>
    <definedName name="_____________GBS116">#REF!</definedName>
    <definedName name="_____________GBS117">#REF!</definedName>
    <definedName name="_____________GBS118">#REF!</definedName>
    <definedName name="_____________GBS119">#REF!</definedName>
    <definedName name="_____________GBS12">#REF!</definedName>
    <definedName name="_____________GBS120">#REF!</definedName>
    <definedName name="_____________GBS121">#REF!</definedName>
    <definedName name="_____________GBS122">#REF!</definedName>
    <definedName name="_____________GBS123">#REF!</definedName>
    <definedName name="_____________GBS124">#REF!</definedName>
    <definedName name="_____________GBS13">#REF!</definedName>
    <definedName name="_____________GBS14">#REF!</definedName>
    <definedName name="_____________GBS15">#REF!</definedName>
    <definedName name="_____________GBS16">#REF!</definedName>
    <definedName name="_____________GBS17">#REF!</definedName>
    <definedName name="_____________GBS18">#REF!</definedName>
    <definedName name="_____________GBS19">#REF!</definedName>
    <definedName name="_____________GBS21">#REF!</definedName>
    <definedName name="_____________GBS210">#REF!</definedName>
    <definedName name="_____________GBS211">#REF!</definedName>
    <definedName name="_____________GBS212">#REF!</definedName>
    <definedName name="_____________GBS213">#REF!</definedName>
    <definedName name="_____________GBS214">#REF!</definedName>
    <definedName name="_____________GBS215">#REF!</definedName>
    <definedName name="_____________GBS216">#REF!</definedName>
    <definedName name="_____________GBS217">#REF!</definedName>
    <definedName name="_____________GBS218">#REF!</definedName>
    <definedName name="_____________GBS219">#REF!</definedName>
    <definedName name="_____________GBS22">#REF!</definedName>
    <definedName name="_____________GBS220">#REF!</definedName>
    <definedName name="_____________GBS221">#REF!</definedName>
    <definedName name="_____________GBS222">#REF!</definedName>
    <definedName name="_____________GBS223">#REF!</definedName>
    <definedName name="_____________GBS224">#REF!</definedName>
    <definedName name="_____________GBS23">#REF!</definedName>
    <definedName name="_____________GBS24">#REF!</definedName>
    <definedName name="_____________GBS25">#REF!</definedName>
    <definedName name="_____________GBS26">#REF!</definedName>
    <definedName name="_____________GBS27">#REF!</definedName>
    <definedName name="_____________GBS28">#REF!</definedName>
    <definedName name="_____________GBS29">#REF!</definedName>
    <definedName name="_____________imp1">#REF!</definedName>
    <definedName name="_____________knr2">#REF!</definedName>
    <definedName name="_____________l1">#REF!</definedName>
    <definedName name="_____________l12">#REF!</definedName>
    <definedName name="_____________l2">#REF!</definedName>
    <definedName name="_____________l3">#REF!</definedName>
    <definedName name="_____________l4">#REF!</definedName>
    <definedName name="_____________l5">#REF!</definedName>
    <definedName name="_____________l6">#REF!</definedName>
    <definedName name="_____________l7">#REF!</definedName>
    <definedName name="_____________l8">#REF!</definedName>
    <definedName name="_____________l9">#REF!</definedName>
    <definedName name="_____________LJ6">#REF!</definedName>
    <definedName name="_____________lj600">#REF!</definedName>
    <definedName name="_____________lj900">#REF!</definedName>
    <definedName name="_____________LL3">#REF!</definedName>
    <definedName name="_____________LSO24">#REF!</definedName>
    <definedName name="_____________MA1">#REF!</definedName>
    <definedName name="_____________MA2">#REF!</definedName>
    <definedName name="_____________me12">NA()</definedName>
    <definedName name="_____________Met22">#REF!</definedName>
    <definedName name="_____________Met45">#REF!</definedName>
    <definedName name="_____________MEt55">#REF!</definedName>
    <definedName name="_____________Met63">#REF!</definedName>
    <definedName name="_____________ML21">#REF!</definedName>
    <definedName name="_____________ML210">#REF!</definedName>
    <definedName name="_____________ML211">#REF!</definedName>
    <definedName name="_____________ML212">#REF!</definedName>
    <definedName name="_____________ML213">#REF!</definedName>
    <definedName name="_____________ML214">#REF!</definedName>
    <definedName name="_____________ML215">#REF!</definedName>
    <definedName name="_____________ML216">#REF!</definedName>
    <definedName name="_____________ML217">#REF!</definedName>
    <definedName name="_____________ML218">#REF!</definedName>
    <definedName name="_____________ML219">#REF!</definedName>
    <definedName name="_____________ML22">#REF!</definedName>
    <definedName name="_____________ML220">#REF!</definedName>
    <definedName name="_____________ML221">#REF!</definedName>
    <definedName name="_____________ML222">#REF!</definedName>
    <definedName name="_____________ML223">#REF!</definedName>
    <definedName name="_____________ML224">#REF!</definedName>
    <definedName name="_____________ML23">#REF!</definedName>
    <definedName name="_____________ML24">#REF!</definedName>
    <definedName name="_____________ML25">#REF!</definedName>
    <definedName name="_____________ML26">#REF!</definedName>
    <definedName name="_____________ML27">#REF!</definedName>
    <definedName name="_____________ML28">#REF!</definedName>
    <definedName name="_____________ML29">#REF!</definedName>
    <definedName name="_____________ML31">#REF!</definedName>
    <definedName name="_____________ML310">#REF!</definedName>
    <definedName name="_____________ML311">#REF!</definedName>
    <definedName name="_____________ML312">#REF!</definedName>
    <definedName name="_____________ML313">#REF!</definedName>
    <definedName name="_____________ML314">#REF!</definedName>
    <definedName name="_____________ML315">#REF!</definedName>
    <definedName name="_____________ML316">#REF!</definedName>
    <definedName name="_____________ML317">#REF!</definedName>
    <definedName name="_____________ML318">#REF!</definedName>
    <definedName name="_____________ML319">#REF!</definedName>
    <definedName name="_____________ML32">#REF!</definedName>
    <definedName name="_____________ML320">#REF!</definedName>
    <definedName name="_____________ML321">#REF!</definedName>
    <definedName name="_____________ML322">#REF!</definedName>
    <definedName name="_____________ML323">#REF!</definedName>
    <definedName name="_____________ML324">#REF!</definedName>
    <definedName name="_____________ML33">#REF!</definedName>
    <definedName name="_____________ML34">#REF!</definedName>
    <definedName name="_____________ML35">#REF!</definedName>
    <definedName name="_____________ML36">#REF!</definedName>
    <definedName name="_____________ML37">#REF!</definedName>
    <definedName name="_____________ML38">#REF!</definedName>
    <definedName name="_____________ML39">#REF!</definedName>
    <definedName name="_____________ML7">#REF!</definedName>
    <definedName name="_____________ML8">#REF!</definedName>
    <definedName name="_____________ML9">#REF!</definedName>
    <definedName name="_____________mm1">#REF!</definedName>
    <definedName name="_____________mm1000">#REF!</definedName>
    <definedName name="_____________mm11">#REF!</definedName>
    <definedName name="_____________mm111">#REF!</definedName>
    <definedName name="_____________mm600">#REF!</definedName>
    <definedName name="_____________mm800">#REF!</definedName>
    <definedName name="_____________PC1">#REF!</definedName>
    <definedName name="_____________PC10">#REF!</definedName>
    <definedName name="_____________PC11">#REF!</definedName>
    <definedName name="_____________PC12">#REF!</definedName>
    <definedName name="_____________PC13">#REF!</definedName>
    <definedName name="_____________PC14">#REF!</definedName>
    <definedName name="_____________PC15">#REF!</definedName>
    <definedName name="_____________PC16">#REF!</definedName>
    <definedName name="_____________PC17">#REF!</definedName>
    <definedName name="_____________PC18">#REF!</definedName>
    <definedName name="_____________PC19">#REF!</definedName>
    <definedName name="_____________pc2">#REF!</definedName>
    <definedName name="_____________PC20">NA()</definedName>
    <definedName name="_____________PC21">#REF!</definedName>
    <definedName name="_____________PC22">#REF!</definedName>
    <definedName name="_____________PC23">#REF!</definedName>
    <definedName name="_____________PC24">#REF!</definedName>
    <definedName name="_____________PC3">#REF!</definedName>
    <definedName name="_____________PC4">#REF!</definedName>
    <definedName name="_____________PC5">#REF!</definedName>
    <definedName name="_____________PC6">#REF!</definedName>
    <definedName name="_____________pc600">#REF!</definedName>
    <definedName name="_____________PC7">#REF!</definedName>
    <definedName name="_____________PC8">#REF!</definedName>
    <definedName name="_____________PC9">#REF!</definedName>
    <definedName name="_____________pc900">#REF!</definedName>
    <definedName name="_____________pla4">#REF!</definedName>
    <definedName name="_____________pv2">#REF!</definedName>
    <definedName name="_____________rr3">#REF!</definedName>
    <definedName name="_____________rrr1">#REF!</definedName>
    <definedName name="_____________SP10">#REF!</definedName>
    <definedName name="_____________SP16">#REF!</definedName>
    <definedName name="_____________SP7">#REF!</definedName>
    <definedName name="_____________ss12">#REF!</definedName>
    <definedName name="_____________ss20">#REF!</definedName>
    <definedName name="_____________ss40">#REF!</definedName>
    <definedName name="_____________var1">#REF!</definedName>
    <definedName name="_____________var4">#REF!</definedName>
    <definedName name="_____________vat1">NA()</definedName>
    <definedName name="____________bla1">#REF!</definedName>
    <definedName name="____________BSG100">#REF!</definedName>
    <definedName name="____________BSG150">#REF!</definedName>
    <definedName name="____________BSG5">#REF!</definedName>
    <definedName name="____________BSG75">#REF!</definedName>
    <definedName name="____________BTC1">#REF!</definedName>
    <definedName name="____________BTC10">#REF!</definedName>
    <definedName name="____________BTC11">#REF!</definedName>
    <definedName name="____________BTC12">#REF!</definedName>
    <definedName name="____________BTC13">#REF!</definedName>
    <definedName name="____________BTC14">#REF!</definedName>
    <definedName name="____________BTC15">#REF!</definedName>
    <definedName name="____________BTC16">#REF!</definedName>
    <definedName name="____________BTC17">#REF!</definedName>
    <definedName name="____________BTC18">#REF!</definedName>
    <definedName name="____________BTC19">#REF!</definedName>
    <definedName name="____________BTC2">#REF!</definedName>
    <definedName name="____________BTC20">#REF!</definedName>
    <definedName name="____________BTC21">#REF!</definedName>
    <definedName name="____________BTC22">#REF!</definedName>
    <definedName name="____________BTC23">#REF!</definedName>
    <definedName name="____________BTC24">#REF!</definedName>
    <definedName name="____________BTC3">#REF!</definedName>
    <definedName name="____________BTC4">#REF!</definedName>
    <definedName name="____________BTC5">#REF!</definedName>
    <definedName name="____________BTC6">#REF!</definedName>
    <definedName name="____________BTC7">#REF!</definedName>
    <definedName name="____________BTC8">#REF!</definedName>
    <definedName name="____________BTC9">#REF!</definedName>
    <definedName name="____________BTR1">#REF!</definedName>
    <definedName name="____________BTR10">#REF!</definedName>
    <definedName name="____________BTR11">#REF!</definedName>
    <definedName name="____________BTR12">#REF!</definedName>
    <definedName name="____________BTR13">#REF!</definedName>
    <definedName name="____________BTR14">#REF!</definedName>
    <definedName name="____________BTR15">#REF!</definedName>
    <definedName name="____________BTR16">#REF!</definedName>
    <definedName name="____________BTR17">#REF!</definedName>
    <definedName name="____________BTR18">#REF!</definedName>
    <definedName name="____________BTR19">#REF!</definedName>
    <definedName name="____________BTR2">#REF!</definedName>
    <definedName name="____________BTR20">#REF!</definedName>
    <definedName name="____________BTR21">#REF!</definedName>
    <definedName name="____________BTR22">#REF!</definedName>
    <definedName name="____________BTR23">#REF!</definedName>
    <definedName name="____________BTR24">#REF!</definedName>
    <definedName name="____________BTR3">#REF!</definedName>
    <definedName name="____________BTR4">#REF!</definedName>
    <definedName name="____________BTR5">#REF!</definedName>
    <definedName name="____________BTR6">#REF!</definedName>
    <definedName name="____________BTR7">#REF!</definedName>
    <definedName name="____________BTR8">#REF!</definedName>
    <definedName name="____________BTR9">#REF!</definedName>
    <definedName name="____________BTS1">#REF!</definedName>
    <definedName name="____________BTS10">#REF!</definedName>
    <definedName name="____________BTS11">#REF!</definedName>
    <definedName name="____________BTS12">#REF!</definedName>
    <definedName name="____________BTS13">#REF!</definedName>
    <definedName name="____________BTS14">#REF!</definedName>
    <definedName name="____________BTS15">#REF!</definedName>
    <definedName name="____________BTS16">#REF!</definedName>
    <definedName name="____________BTS17">#REF!</definedName>
    <definedName name="____________BTS18">#REF!</definedName>
    <definedName name="____________BTS19">#REF!</definedName>
    <definedName name="____________BTS2">#REF!</definedName>
    <definedName name="____________BTS20">#REF!</definedName>
    <definedName name="____________BTS21">#REF!</definedName>
    <definedName name="____________BTS22">#REF!</definedName>
    <definedName name="____________BTS23">#REF!</definedName>
    <definedName name="____________BTS24">#REF!</definedName>
    <definedName name="____________BTS3">#REF!</definedName>
    <definedName name="____________BTS4">#REF!</definedName>
    <definedName name="____________BTS5">#REF!</definedName>
    <definedName name="____________BTS6">#REF!</definedName>
    <definedName name="____________BTS7">#REF!</definedName>
    <definedName name="____________BTS8">#REF!</definedName>
    <definedName name="____________BTS9">#REF!</definedName>
    <definedName name="____________can430">40.73</definedName>
    <definedName name="____________can435">43.3</definedName>
    <definedName name="____________CCW1">#REF!</definedName>
    <definedName name="____________CCW2">#REF!</definedName>
    <definedName name="____________cur1">#REF!</definedName>
    <definedName name="____________G120907">#REF!</definedName>
    <definedName name="____________GBS11">NA()</definedName>
    <definedName name="____________GBS110">#REF!</definedName>
    <definedName name="____________GBS111">#REF!</definedName>
    <definedName name="____________GBS112">#REF!</definedName>
    <definedName name="____________GBS113">#REF!</definedName>
    <definedName name="____________GBS114">#REF!</definedName>
    <definedName name="____________GBS115">#REF!</definedName>
    <definedName name="____________GBS116">#REF!</definedName>
    <definedName name="____________GBS117">#REF!</definedName>
    <definedName name="____________GBS118">#REF!</definedName>
    <definedName name="____________GBS119">#REF!</definedName>
    <definedName name="____________GBS12">#REF!</definedName>
    <definedName name="____________GBS120">#REF!</definedName>
    <definedName name="____________GBS121">#REF!</definedName>
    <definedName name="____________GBS122">#REF!</definedName>
    <definedName name="____________GBS123">#REF!</definedName>
    <definedName name="____________GBS124">#REF!</definedName>
    <definedName name="____________GBS13">#REF!</definedName>
    <definedName name="____________GBS14">#REF!</definedName>
    <definedName name="____________GBS15">#REF!</definedName>
    <definedName name="____________GBS16">#REF!</definedName>
    <definedName name="____________GBS17">#REF!</definedName>
    <definedName name="____________GBS18">#REF!</definedName>
    <definedName name="____________GBS19">#REF!</definedName>
    <definedName name="____________GBS21">#REF!</definedName>
    <definedName name="____________GBS210">#REF!</definedName>
    <definedName name="____________GBS211">#REF!</definedName>
    <definedName name="____________GBS212">#REF!</definedName>
    <definedName name="____________GBS213">#REF!</definedName>
    <definedName name="____________GBS214">#REF!</definedName>
    <definedName name="____________GBS215">#REF!</definedName>
    <definedName name="____________GBS216">#REF!</definedName>
    <definedName name="____________GBS217">#REF!</definedName>
    <definedName name="____________GBS218">#REF!</definedName>
    <definedName name="____________GBS219">#REF!</definedName>
    <definedName name="____________GBS22">#REF!</definedName>
    <definedName name="____________GBS220">#REF!</definedName>
    <definedName name="____________GBS221">#REF!</definedName>
    <definedName name="____________GBS222">#REF!</definedName>
    <definedName name="____________GBS223">#REF!</definedName>
    <definedName name="____________GBS224">#REF!</definedName>
    <definedName name="____________GBS23">#REF!</definedName>
    <definedName name="____________GBS24">#REF!</definedName>
    <definedName name="____________GBS25">#REF!</definedName>
    <definedName name="____________GBS26">#REF!</definedName>
    <definedName name="____________GBS27">#REF!</definedName>
    <definedName name="____________GBS28">#REF!</definedName>
    <definedName name="____________GBS29">#REF!</definedName>
    <definedName name="____________imp1">#REF!</definedName>
    <definedName name="____________knr2">NA()</definedName>
    <definedName name="____________l1">#REF!</definedName>
    <definedName name="____________l12">#REF!</definedName>
    <definedName name="____________l2">#REF!</definedName>
    <definedName name="____________l3">#REF!</definedName>
    <definedName name="____________l4">#REF!</definedName>
    <definedName name="____________l5">#REF!</definedName>
    <definedName name="____________l6">#REF!</definedName>
    <definedName name="____________l7">#REF!</definedName>
    <definedName name="____________l8">#REF!</definedName>
    <definedName name="____________l9">#REF!</definedName>
    <definedName name="____________LJ6">#REF!</definedName>
    <definedName name="____________lj600">#REF!</definedName>
    <definedName name="____________lj900">#REF!</definedName>
    <definedName name="____________LL3">#REF!</definedName>
    <definedName name="____________LSO24">#REF!</definedName>
    <definedName name="____________MA1">#REF!</definedName>
    <definedName name="____________MA2">NA()</definedName>
    <definedName name="____________me12">NA()</definedName>
    <definedName name="____________Met22">NA()</definedName>
    <definedName name="____________Met45">#REF!</definedName>
    <definedName name="____________Met54">#REF!</definedName>
    <definedName name="____________MEt55">#REF!</definedName>
    <definedName name="____________Met63">#REF!</definedName>
    <definedName name="____________ML21">#REF!</definedName>
    <definedName name="____________ML210">#REF!</definedName>
    <definedName name="____________ML211">#REF!</definedName>
    <definedName name="____________ML212">#REF!</definedName>
    <definedName name="____________ML213">#REF!</definedName>
    <definedName name="____________ML214">#REF!</definedName>
    <definedName name="____________ML215">#REF!</definedName>
    <definedName name="____________ML216">#REF!</definedName>
    <definedName name="____________ML217">#REF!</definedName>
    <definedName name="____________ML218">#REF!</definedName>
    <definedName name="____________ML219">#REF!</definedName>
    <definedName name="____________ML22">#REF!</definedName>
    <definedName name="____________ML220">#REF!</definedName>
    <definedName name="____________ML221">#REF!</definedName>
    <definedName name="____________ML222">#REF!</definedName>
    <definedName name="____________ML223">#REF!</definedName>
    <definedName name="____________ML224">#REF!</definedName>
    <definedName name="____________ML23">#REF!</definedName>
    <definedName name="____________ML24">#REF!</definedName>
    <definedName name="____________ML25">#REF!</definedName>
    <definedName name="____________ML26">#REF!</definedName>
    <definedName name="____________ML27">#REF!</definedName>
    <definedName name="____________ML28">#REF!</definedName>
    <definedName name="____________ML29">#REF!</definedName>
    <definedName name="____________ML31">#REF!</definedName>
    <definedName name="____________ML310">#REF!</definedName>
    <definedName name="____________ML311">#REF!</definedName>
    <definedName name="____________ML312">#REF!</definedName>
    <definedName name="____________ML313">#REF!</definedName>
    <definedName name="____________ML314">#REF!</definedName>
    <definedName name="____________ML315">#REF!</definedName>
    <definedName name="____________ML316">#REF!</definedName>
    <definedName name="____________ML317">#REF!</definedName>
    <definedName name="____________ML318">#REF!</definedName>
    <definedName name="____________ML319">#REF!</definedName>
    <definedName name="____________ML32">#REF!</definedName>
    <definedName name="____________ML320">#REF!</definedName>
    <definedName name="____________ML321">#REF!</definedName>
    <definedName name="____________ML322">#REF!</definedName>
    <definedName name="____________ML323">#REF!</definedName>
    <definedName name="____________ML324">#REF!</definedName>
    <definedName name="____________ML33">#REF!</definedName>
    <definedName name="____________ML34">#REF!</definedName>
    <definedName name="____________ML35">#REF!</definedName>
    <definedName name="____________ML36">#REF!</definedName>
    <definedName name="____________ML37">#REF!</definedName>
    <definedName name="____________ML38">#REF!</definedName>
    <definedName name="____________ML39">#REF!</definedName>
    <definedName name="____________ML7">#REF!</definedName>
    <definedName name="____________ML8">#REF!</definedName>
    <definedName name="____________ML9">#REF!</definedName>
    <definedName name="____________mm1">#REF!</definedName>
    <definedName name="____________mm1000">#REF!</definedName>
    <definedName name="____________mm11">#REF!</definedName>
    <definedName name="____________mm111">#REF!</definedName>
    <definedName name="____________mm600">#REF!</definedName>
    <definedName name="____________mm800">#REF!</definedName>
    <definedName name="____________PC1">#REF!</definedName>
    <definedName name="____________PC10">#REF!</definedName>
    <definedName name="____________PC11">#REF!</definedName>
    <definedName name="____________PC12">#REF!</definedName>
    <definedName name="____________PC13">#REF!</definedName>
    <definedName name="____________PC14">#REF!</definedName>
    <definedName name="____________PC15">#REF!</definedName>
    <definedName name="____________PC16">#REF!</definedName>
    <definedName name="____________PC17">#REF!</definedName>
    <definedName name="____________PC18">#REF!</definedName>
    <definedName name="____________PC19">#REF!</definedName>
    <definedName name="____________pc2">#REF!</definedName>
    <definedName name="____________PC20">NA()</definedName>
    <definedName name="____________PC21">#REF!</definedName>
    <definedName name="____________PC22">#REF!</definedName>
    <definedName name="____________PC23">#REF!</definedName>
    <definedName name="____________PC24">#REF!</definedName>
    <definedName name="____________PC3">#REF!</definedName>
    <definedName name="____________PC4">#REF!</definedName>
    <definedName name="____________PC5">#REF!</definedName>
    <definedName name="____________PC6">#REF!</definedName>
    <definedName name="____________pc600">#REF!</definedName>
    <definedName name="____________PC7">#REF!</definedName>
    <definedName name="____________PC8">#REF!</definedName>
    <definedName name="____________PC9">#REF!</definedName>
    <definedName name="____________pc900">#REF!</definedName>
    <definedName name="____________pla4">#REF!</definedName>
    <definedName name="____________pv2">#REF!</definedName>
    <definedName name="____________rr3">#REF!</definedName>
    <definedName name="____________rrr1">#REF!</definedName>
    <definedName name="____________SP10">#REF!</definedName>
    <definedName name="____________SP16">#REF!</definedName>
    <definedName name="____________SP7">#REF!</definedName>
    <definedName name="____________ss12">#REF!</definedName>
    <definedName name="____________ss20">#REF!</definedName>
    <definedName name="____________ss40">#REF!</definedName>
    <definedName name="____________var1">#REF!</definedName>
    <definedName name="____________var4">#REF!</definedName>
    <definedName name="____________vat1">NA()</definedName>
    <definedName name="____________xh2256">#REF!</definedName>
    <definedName name="____________xh2506">#REF!</definedName>
    <definedName name="____________xh2806">#REF!</definedName>
    <definedName name="____________xh3156">#REF!</definedName>
    <definedName name="____________xh634">#REF!</definedName>
    <definedName name="____________xk7100">#REF!</definedName>
    <definedName name="____________xk7150">#REF!</definedName>
    <definedName name="____________xk7250">#REF!</definedName>
    <definedName name="____________xk7300">#REF!</definedName>
    <definedName name="____________xp11010">#REF!</definedName>
    <definedName name="____________xp1104">#REF!</definedName>
    <definedName name="____________xp1106">#REF!</definedName>
    <definedName name="____________xp1254">#REF!</definedName>
    <definedName name="____________xp1256">#REF!</definedName>
    <definedName name="____________xp14010">#REF!</definedName>
    <definedName name="____________xp1404">#REF!</definedName>
    <definedName name="____________xp1406">#REF!</definedName>
    <definedName name="____________xp1604">#REF!</definedName>
    <definedName name="____________xp1606">#REF!</definedName>
    <definedName name="____________xp1804">#REF!</definedName>
    <definedName name="____________xp1806">#REF!</definedName>
    <definedName name="____________xp2006">#REF!</definedName>
    <definedName name="____________xp6310">#REF!</definedName>
    <definedName name="____________xp636">#REF!</definedName>
    <definedName name="____________xp7510">#REF!</definedName>
    <definedName name="____________xp754">#REF!</definedName>
    <definedName name="____________xp756">#REF!</definedName>
    <definedName name="____________xp9010">#REF!</definedName>
    <definedName name="____________xp904">#REF!</definedName>
    <definedName name="____________xp906">#REF!</definedName>
    <definedName name="___________bla1">#REF!</definedName>
    <definedName name="___________BSG100">#REF!</definedName>
    <definedName name="___________BSG150">#REF!</definedName>
    <definedName name="___________BSG5">#REF!</definedName>
    <definedName name="___________BSG75">#REF!</definedName>
    <definedName name="___________BTC1">#REF!</definedName>
    <definedName name="___________BTC10">#REF!</definedName>
    <definedName name="___________BTC11">#REF!</definedName>
    <definedName name="___________BTC12">#REF!</definedName>
    <definedName name="___________BTC13">#REF!</definedName>
    <definedName name="___________BTC14">#REF!</definedName>
    <definedName name="___________BTC15">#REF!</definedName>
    <definedName name="___________BTC16">#REF!</definedName>
    <definedName name="___________BTC17">#REF!</definedName>
    <definedName name="___________BTC18">#REF!</definedName>
    <definedName name="___________BTC19">#REF!</definedName>
    <definedName name="___________BTC2">#REF!</definedName>
    <definedName name="___________BTC20">#REF!</definedName>
    <definedName name="___________BTC21">#REF!</definedName>
    <definedName name="___________BTC22">#REF!</definedName>
    <definedName name="___________BTC23">#REF!</definedName>
    <definedName name="___________BTC24">#REF!</definedName>
    <definedName name="___________BTC3">#REF!</definedName>
    <definedName name="___________BTC4">#REF!</definedName>
    <definedName name="___________BTC5">#REF!</definedName>
    <definedName name="___________BTC6">#REF!</definedName>
    <definedName name="___________BTC7">#REF!</definedName>
    <definedName name="___________BTC8">#REF!</definedName>
    <definedName name="___________BTC9">#REF!</definedName>
    <definedName name="___________BTR1">#REF!</definedName>
    <definedName name="___________BTR10">#REF!</definedName>
    <definedName name="___________BTR11">#REF!</definedName>
    <definedName name="___________BTR12">#REF!</definedName>
    <definedName name="___________BTR13">#REF!</definedName>
    <definedName name="___________BTR14">#REF!</definedName>
    <definedName name="___________BTR15">#REF!</definedName>
    <definedName name="___________BTR16">#REF!</definedName>
    <definedName name="___________BTR17">#REF!</definedName>
    <definedName name="___________BTR18">#REF!</definedName>
    <definedName name="___________BTR19">#REF!</definedName>
    <definedName name="___________BTR2">#REF!</definedName>
    <definedName name="___________BTR20">#REF!</definedName>
    <definedName name="___________BTR21">#REF!</definedName>
    <definedName name="___________BTR22">#REF!</definedName>
    <definedName name="___________BTR23">#REF!</definedName>
    <definedName name="___________BTR24">#REF!</definedName>
    <definedName name="___________BTR3">#REF!</definedName>
    <definedName name="___________BTR4">#REF!</definedName>
    <definedName name="___________BTR5">#REF!</definedName>
    <definedName name="___________BTR6">#REF!</definedName>
    <definedName name="___________BTR7">#REF!</definedName>
    <definedName name="___________BTR8">#REF!</definedName>
    <definedName name="___________BTR9">#REF!</definedName>
    <definedName name="___________BTS1">#REF!</definedName>
    <definedName name="___________BTS10">#REF!</definedName>
    <definedName name="___________BTS11">#REF!</definedName>
    <definedName name="___________BTS12">#REF!</definedName>
    <definedName name="___________BTS13">#REF!</definedName>
    <definedName name="___________BTS14">#REF!</definedName>
    <definedName name="___________BTS15">#REF!</definedName>
    <definedName name="___________BTS16">#REF!</definedName>
    <definedName name="___________BTS17">#REF!</definedName>
    <definedName name="___________BTS18">#REF!</definedName>
    <definedName name="___________BTS19">#REF!</definedName>
    <definedName name="___________BTS2">#REF!</definedName>
    <definedName name="___________BTS20">#REF!</definedName>
    <definedName name="___________BTS21">#REF!</definedName>
    <definedName name="___________BTS22">#REF!</definedName>
    <definedName name="___________BTS23">#REF!</definedName>
    <definedName name="___________BTS24">#REF!</definedName>
    <definedName name="___________BTS3">#REF!</definedName>
    <definedName name="___________BTS4">#REF!</definedName>
    <definedName name="___________BTS5">#REF!</definedName>
    <definedName name="___________BTS6">#REF!</definedName>
    <definedName name="___________BTS7">#REF!</definedName>
    <definedName name="___________BTS8">#REF!</definedName>
    <definedName name="___________BTS9">#REF!</definedName>
    <definedName name="___________can430">40.73</definedName>
    <definedName name="___________can435">43.3</definedName>
    <definedName name="___________CCW1">#REF!</definedName>
    <definedName name="___________CCW2">#REF!</definedName>
    <definedName name="___________cur1">#REF!</definedName>
    <definedName name="___________ewe1">NA()</definedName>
    <definedName name="___________GBS11">#REF!</definedName>
    <definedName name="___________GBS110">#REF!</definedName>
    <definedName name="___________GBS111">#REF!</definedName>
    <definedName name="___________GBS112">#REF!</definedName>
    <definedName name="___________GBS113">#REF!</definedName>
    <definedName name="___________GBS114">#REF!</definedName>
    <definedName name="___________GBS115">#REF!</definedName>
    <definedName name="___________GBS116">#REF!</definedName>
    <definedName name="___________GBS117">#REF!</definedName>
    <definedName name="___________GBS118">#REF!</definedName>
    <definedName name="___________GBS119">#REF!</definedName>
    <definedName name="___________GBS12">#REF!</definedName>
    <definedName name="___________GBS120">#REF!</definedName>
    <definedName name="___________GBS121">#REF!</definedName>
    <definedName name="___________GBS122">#REF!</definedName>
    <definedName name="___________GBS123">#REF!</definedName>
    <definedName name="___________GBS124">#REF!</definedName>
    <definedName name="___________GBS13">#REF!</definedName>
    <definedName name="___________GBS14">#REF!</definedName>
    <definedName name="___________GBS15">#REF!</definedName>
    <definedName name="___________GBS16">#REF!</definedName>
    <definedName name="___________GBS17">#REF!</definedName>
    <definedName name="___________GBS18">#REF!</definedName>
    <definedName name="___________GBS19">#REF!</definedName>
    <definedName name="___________GBS21">#REF!</definedName>
    <definedName name="___________GBS210">#REF!</definedName>
    <definedName name="___________GBS211">#REF!</definedName>
    <definedName name="___________GBS212">#REF!</definedName>
    <definedName name="___________GBS213">#REF!</definedName>
    <definedName name="___________GBS214">#REF!</definedName>
    <definedName name="___________GBS215">#REF!</definedName>
    <definedName name="___________GBS216">#REF!</definedName>
    <definedName name="___________GBS217">#REF!</definedName>
    <definedName name="___________GBS218">#REF!</definedName>
    <definedName name="___________GBS219">#REF!</definedName>
    <definedName name="___________GBS22">#REF!</definedName>
    <definedName name="___________GBS220">#REF!</definedName>
    <definedName name="___________GBS221">#REF!</definedName>
    <definedName name="___________GBS222">#REF!</definedName>
    <definedName name="___________GBS223">#REF!</definedName>
    <definedName name="___________GBS224">#REF!</definedName>
    <definedName name="___________GBS23">#REF!</definedName>
    <definedName name="___________GBS24">#REF!</definedName>
    <definedName name="___________GBS25">#REF!</definedName>
    <definedName name="___________GBS26">#REF!</definedName>
    <definedName name="___________GBS27">#REF!</definedName>
    <definedName name="___________GBS28">#REF!</definedName>
    <definedName name="___________GBS29">#REF!</definedName>
    <definedName name="___________imp1">#REF!</definedName>
    <definedName name="___________knr2">NA()</definedName>
    <definedName name="___________l1">#REF!</definedName>
    <definedName name="___________l12">#REF!</definedName>
    <definedName name="___________l2">#REF!</definedName>
    <definedName name="___________l3">#REF!</definedName>
    <definedName name="___________l4">#REF!</definedName>
    <definedName name="___________l5">#REF!</definedName>
    <definedName name="___________l6">#REF!</definedName>
    <definedName name="___________l7">#REF!</definedName>
    <definedName name="___________l8">#REF!</definedName>
    <definedName name="___________l9">#REF!</definedName>
    <definedName name="___________LJ6">#REF!</definedName>
    <definedName name="___________lj600">#REF!</definedName>
    <definedName name="___________lj900">#REF!</definedName>
    <definedName name="___________LL3">#REF!</definedName>
    <definedName name="___________LSO24">NA()</definedName>
    <definedName name="___________MA1">NA()</definedName>
    <definedName name="___________MA2">NA()</definedName>
    <definedName name="___________me12">NA()</definedName>
    <definedName name="___________Met22">NA()</definedName>
    <definedName name="___________Met45">#REF!</definedName>
    <definedName name="___________MEt55">#REF!</definedName>
    <definedName name="___________Met63">#REF!</definedName>
    <definedName name="___________ML21">#REF!</definedName>
    <definedName name="___________ML210">#REF!</definedName>
    <definedName name="___________ML211">#REF!</definedName>
    <definedName name="___________ML212">#REF!</definedName>
    <definedName name="___________ML213">#REF!</definedName>
    <definedName name="___________ML214">#REF!</definedName>
    <definedName name="___________ML215">#REF!</definedName>
    <definedName name="___________ML216">#REF!</definedName>
    <definedName name="___________ML217">#REF!</definedName>
    <definedName name="___________ML218">#REF!</definedName>
    <definedName name="___________ML219">#REF!</definedName>
    <definedName name="___________ML22">#REF!</definedName>
    <definedName name="___________ML220">#REF!</definedName>
    <definedName name="___________ML221">#REF!</definedName>
    <definedName name="___________ML222">#REF!</definedName>
    <definedName name="___________ML223">#REF!</definedName>
    <definedName name="___________ML224">#REF!</definedName>
    <definedName name="___________ML23">#REF!</definedName>
    <definedName name="___________ML24">#REF!</definedName>
    <definedName name="___________ML25">#REF!</definedName>
    <definedName name="___________ML26">#REF!</definedName>
    <definedName name="___________ML27">#REF!</definedName>
    <definedName name="___________ML28">#REF!</definedName>
    <definedName name="___________ML29">#REF!</definedName>
    <definedName name="___________ML31">#REF!</definedName>
    <definedName name="___________ML310">#REF!</definedName>
    <definedName name="___________ML311">#REF!</definedName>
    <definedName name="___________ML312">#REF!</definedName>
    <definedName name="___________ML313">#REF!</definedName>
    <definedName name="___________ML314">#REF!</definedName>
    <definedName name="___________ML315">#REF!</definedName>
    <definedName name="___________ML316">#REF!</definedName>
    <definedName name="___________ML317">#REF!</definedName>
    <definedName name="___________ML318">#REF!</definedName>
    <definedName name="___________ML319">#REF!</definedName>
    <definedName name="___________ML32">#REF!</definedName>
    <definedName name="___________ML320">#REF!</definedName>
    <definedName name="___________ML321">#REF!</definedName>
    <definedName name="___________ML322">#REF!</definedName>
    <definedName name="___________ML323">#REF!</definedName>
    <definedName name="___________ML324">#REF!</definedName>
    <definedName name="___________ML33">#REF!</definedName>
    <definedName name="___________ML34">#REF!</definedName>
    <definedName name="___________ML35">#REF!</definedName>
    <definedName name="___________ML36">#REF!</definedName>
    <definedName name="___________ML37">#REF!</definedName>
    <definedName name="___________ML38">#REF!</definedName>
    <definedName name="___________ML39">#REF!</definedName>
    <definedName name="___________ML7">#REF!</definedName>
    <definedName name="___________ML8">#REF!</definedName>
    <definedName name="___________ML9">#REF!</definedName>
    <definedName name="___________mm1">#REF!</definedName>
    <definedName name="___________mm1000">#REF!</definedName>
    <definedName name="___________mm11">#REF!</definedName>
    <definedName name="___________mm111">#REF!</definedName>
    <definedName name="___________mm600">#REF!</definedName>
    <definedName name="___________mm800">#REF!</definedName>
    <definedName name="___________PC1">#REF!</definedName>
    <definedName name="___________PC10">#REF!</definedName>
    <definedName name="___________PC11">#REF!</definedName>
    <definedName name="___________PC12">#REF!</definedName>
    <definedName name="___________PC13">#REF!</definedName>
    <definedName name="___________PC14">#REF!</definedName>
    <definedName name="___________PC15">#REF!</definedName>
    <definedName name="___________PC16">#REF!</definedName>
    <definedName name="___________PC17">#REF!</definedName>
    <definedName name="___________PC18">#REF!</definedName>
    <definedName name="___________PC19">#REF!</definedName>
    <definedName name="___________pc2">#REF!</definedName>
    <definedName name="___________PC20">NA()</definedName>
    <definedName name="___________PC21">#REF!</definedName>
    <definedName name="___________PC22">#REF!</definedName>
    <definedName name="___________PC23">#REF!</definedName>
    <definedName name="___________PC24">#REF!</definedName>
    <definedName name="___________PC3">#REF!</definedName>
    <definedName name="___________PC4">#REF!</definedName>
    <definedName name="___________PC5">#REF!</definedName>
    <definedName name="___________PC6">#REF!</definedName>
    <definedName name="___________pc600">#REF!</definedName>
    <definedName name="___________PC7">#REF!</definedName>
    <definedName name="___________PC8">#REF!</definedName>
    <definedName name="___________PC9">#REF!</definedName>
    <definedName name="___________pc900">#REF!</definedName>
    <definedName name="___________pla4">#REF!</definedName>
    <definedName name="___________pv2">#REF!</definedName>
    <definedName name="___________rr3">#REF!</definedName>
    <definedName name="___________rrr1">#REF!</definedName>
    <definedName name="___________SP10">#REF!</definedName>
    <definedName name="___________SP16">#REF!</definedName>
    <definedName name="___________SP7">#REF!</definedName>
    <definedName name="___________ss12">#REF!</definedName>
    <definedName name="___________ss20">#REF!</definedName>
    <definedName name="___________ss40">#REF!</definedName>
    <definedName name="___________var1">#REF!</definedName>
    <definedName name="___________var4">#REF!</definedName>
    <definedName name="___________vat1">NA()</definedName>
    <definedName name="___________xh2256">#REF!</definedName>
    <definedName name="___________xh2506">#REF!</definedName>
    <definedName name="___________xh2806">#REF!</definedName>
    <definedName name="___________xh3156">#REF!</definedName>
    <definedName name="___________xh634">#REF!</definedName>
    <definedName name="___________xk7100">#REF!</definedName>
    <definedName name="___________xk7150">#REF!</definedName>
    <definedName name="___________xk7250">#REF!</definedName>
    <definedName name="___________xk7300">#REF!</definedName>
    <definedName name="___________xp11010">#REF!</definedName>
    <definedName name="___________xp1104">#REF!</definedName>
    <definedName name="___________xp1106">#REF!</definedName>
    <definedName name="___________xp1254">#REF!</definedName>
    <definedName name="___________xp1256">#REF!</definedName>
    <definedName name="___________xp14010">#REF!</definedName>
    <definedName name="___________xp1404">#REF!</definedName>
    <definedName name="___________xp1406">#REF!</definedName>
    <definedName name="___________xp1604">#REF!</definedName>
    <definedName name="___________xp1606">#REF!</definedName>
    <definedName name="___________xp1804">#REF!</definedName>
    <definedName name="___________xp1806">#REF!</definedName>
    <definedName name="___________xp2006">#REF!</definedName>
    <definedName name="___________xp6310">#REF!</definedName>
    <definedName name="___________xp636">#REF!</definedName>
    <definedName name="___________xp7510">#REF!</definedName>
    <definedName name="___________xp754">#REF!</definedName>
    <definedName name="___________xp756">#REF!</definedName>
    <definedName name="___________xp9010">#REF!</definedName>
    <definedName name="___________xp904">#REF!</definedName>
    <definedName name="___________xp906">#REF!</definedName>
    <definedName name="__________bla1">#REF!</definedName>
    <definedName name="__________BSG100">#REF!</definedName>
    <definedName name="__________BSG150">#REF!</definedName>
    <definedName name="__________BSG5">#REF!</definedName>
    <definedName name="__________BSG75">#REF!</definedName>
    <definedName name="__________BTC1">#REF!</definedName>
    <definedName name="__________BTC10">#REF!</definedName>
    <definedName name="__________BTC11">#REF!</definedName>
    <definedName name="__________BTC12">#REF!</definedName>
    <definedName name="__________BTC13">#REF!</definedName>
    <definedName name="__________BTC14">#REF!</definedName>
    <definedName name="__________BTC15">#REF!</definedName>
    <definedName name="__________BTC16">#REF!</definedName>
    <definedName name="__________BTC17">#REF!</definedName>
    <definedName name="__________BTC18">#REF!</definedName>
    <definedName name="__________BTC19">#REF!</definedName>
    <definedName name="__________BTC2">#REF!</definedName>
    <definedName name="__________BTC20">#REF!</definedName>
    <definedName name="__________BTC21">#REF!</definedName>
    <definedName name="__________BTC22">#REF!</definedName>
    <definedName name="__________BTC23">#REF!</definedName>
    <definedName name="__________BTC24">#REF!</definedName>
    <definedName name="__________BTC3">#REF!</definedName>
    <definedName name="__________BTC4">#REF!</definedName>
    <definedName name="__________BTC5">#REF!</definedName>
    <definedName name="__________BTC6">#REF!</definedName>
    <definedName name="__________BTC7">#REF!</definedName>
    <definedName name="__________BTC8">#REF!</definedName>
    <definedName name="__________BTC9">#REF!</definedName>
    <definedName name="__________BTR1">#REF!</definedName>
    <definedName name="__________BTR10">#REF!</definedName>
    <definedName name="__________BTR11">#REF!</definedName>
    <definedName name="__________BTR12">#REF!</definedName>
    <definedName name="__________BTR13">#REF!</definedName>
    <definedName name="__________BTR14">#REF!</definedName>
    <definedName name="__________BTR15">#REF!</definedName>
    <definedName name="__________BTR16">#REF!</definedName>
    <definedName name="__________BTR17">#REF!</definedName>
    <definedName name="__________BTR18">#REF!</definedName>
    <definedName name="__________BTR19">#REF!</definedName>
    <definedName name="__________BTR2">#REF!</definedName>
    <definedName name="__________BTR20">#REF!</definedName>
    <definedName name="__________BTR21">#REF!</definedName>
    <definedName name="__________BTR22">#REF!</definedName>
    <definedName name="__________BTR23">#REF!</definedName>
    <definedName name="__________BTR24">#REF!</definedName>
    <definedName name="__________BTR3">#REF!</definedName>
    <definedName name="__________BTR4">#REF!</definedName>
    <definedName name="__________BTR5">#REF!</definedName>
    <definedName name="__________BTR6">#REF!</definedName>
    <definedName name="__________BTR7">#REF!</definedName>
    <definedName name="__________BTR8">#REF!</definedName>
    <definedName name="__________BTR9">#REF!</definedName>
    <definedName name="__________BTS1">#REF!</definedName>
    <definedName name="__________BTS10">#REF!</definedName>
    <definedName name="__________BTS11">#REF!</definedName>
    <definedName name="__________BTS12">#REF!</definedName>
    <definedName name="__________BTS13">#REF!</definedName>
    <definedName name="__________BTS14">#REF!</definedName>
    <definedName name="__________BTS15">#REF!</definedName>
    <definedName name="__________BTS16">#REF!</definedName>
    <definedName name="__________BTS17">#REF!</definedName>
    <definedName name="__________BTS18">#REF!</definedName>
    <definedName name="__________BTS19">#REF!</definedName>
    <definedName name="__________BTS2">#REF!</definedName>
    <definedName name="__________BTS20">#REF!</definedName>
    <definedName name="__________BTS21">#REF!</definedName>
    <definedName name="__________BTS22">#REF!</definedName>
    <definedName name="__________BTS23">#REF!</definedName>
    <definedName name="__________BTS24">#REF!</definedName>
    <definedName name="__________BTS3">#REF!</definedName>
    <definedName name="__________BTS4">#REF!</definedName>
    <definedName name="__________BTS5">#REF!</definedName>
    <definedName name="__________BTS6">#REF!</definedName>
    <definedName name="__________BTS7">#REF!</definedName>
    <definedName name="__________BTS8">#REF!</definedName>
    <definedName name="__________BTS9">#REF!</definedName>
    <definedName name="__________can430">40.73</definedName>
    <definedName name="__________can435">43.3</definedName>
    <definedName name="__________CCW1">#REF!</definedName>
    <definedName name="__________CCW2">#REF!</definedName>
    <definedName name="__________cur1">#REF!</definedName>
    <definedName name="__________G120907">#REF!</definedName>
    <definedName name="__________GBS11">NA()</definedName>
    <definedName name="__________GBS110">#REF!</definedName>
    <definedName name="__________GBS111">#REF!</definedName>
    <definedName name="__________GBS112">#REF!</definedName>
    <definedName name="__________GBS113">#REF!</definedName>
    <definedName name="__________GBS114">#REF!</definedName>
    <definedName name="__________GBS115">#REF!</definedName>
    <definedName name="__________GBS116">#REF!</definedName>
    <definedName name="__________GBS117">#REF!</definedName>
    <definedName name="__________GBS118">#REF!</definedName>
    <definedName name="__________GBS119">#REF!</definedName>
    <definedName name="__________GBS12">#REF!</definedName>
    <definedName name="__________GBS120">#REF!</definedName>
    <definedName name="__________GBS121">#REF!</definedName>
    <definedName name="__________GBS122">#REF!</definedName>
    <definedName name="__________GBS123">#REF!</definedName>
    <definedName name="__________GBS124">#REF!</definedName>
    <definedName name="__________GBS13">#REF!</definedName>
    <definedName name="__________GBS14">#REF!</definedName>
    <definedName name="__________GBS15">#REF!</definedName>
    <definedName name="__________GBS16">#REF!</definedName>
    <definedName name="__________GBS17">#REF!</definedName>
    <definedName name="__________GBS18">#REF!</definedName>
    <definedName name="__________GBS19">#REF!</definedName>
    <definedName name="__________GBS21">#REF!</definedName>
    <definedName name="__________GBS210">#REF!</definedName>
    <definedName name="__________GBS211">#REF!</definedName>
    <definedName name="__________GBS212">#REF!</definedName>
    <definedName name="__________GBS213">#REF!</definedName>
    <definedName name="__________GBS214">#REF!</definedName>
    <definedName name="__________GBS215">#REF!</definedName>
    <definedName name="__________GBS216">#REF!</definedName>
    <definedName name="__________GBS217">#REF!</definedName>
    <definedName name="__________GBS218">#REF!</definedName>
    <definedName name="__________GBS219">#REF!</definedName>
    <definedName name="__________GBS22">#REF!</definedName>
    <definedName name="__________GBS220">#REF!</definedName>
    <definedName name="__________GBS221">#REF!</definedName>
    <definedName name="__________GBS222">#REF!</definedName>
    <definedName name="__________GBS223">#REF!</definedName>
    <definedName name="__________GBS224">#REF!</definedName>
    <definedName name="__________GBS23">#REF!</definedName>
    <definedName name="__________GBS24">#REF!</definedName>
    <definedName name="__________GBS25">#REF!</definedName>
    <definedName name="__________GBS26">#REF!</definedName>
    <definedName name="__________GBS27">#REF!</definedName>
    <definedName name="__________GBS28">#REF!</definedName>
    <definedName name="__________GBS29">#REF!</definedName>
    <definedName name="__________imp1">#REF!</definedName>
    <definedName name="__________KC139">NA()</definedName>
    <definedName name="__________knr2">NA()</definedName>
    <definedName name="__________l1">#REF!</definedName>
    <definedName name="__________l12">#REF!</definedName>
    <definedName name="__________l2">#REF!</definedName>
    <definedName name="__________l3">#REF!</definedName>
    <definedName name="__________l4">#REF!</definedName>
    <definedName name="__________l5">#REF!</definedName>
    <definedName name="__________l6">#REF!</definedName>
    <definedName name="__________l7">#REF!</definedName>
    <definedName name="__________l8">#REF!</definedName>
    <definedName name="__________l9">#REF!</definedName>
    <definedName name="__________LJ6">#REF!</definedName>
    <definedName name="__________lj600">#REF!</definedName>
    <definedName name="__________lj900">#REF!</definedName>
    <definedName name="__________LL3">#REF!</definedName>
    <definedName name="__________LSO24">#REF!</definedName>
    <definedName name="__________MA1">NA()</definedName>
    <definedName name="__________MA2">NA()</definedName>
    <definedName name="__________me12">NA()</definedName>
    <definedName name="__________Met22">NA()</definedName>
    <definedName name="__________Met45">#REF!</definedName>
    <definedName name="__________MEt55">#REF!</definedName>
    <definedName name="__________Met63">#REF!</definedName>
    <definedName name="__________ML21">#REF!</definedName>
    <definedName name="__________ML210">#REF!</definedName>
    <definedName name="__________ML211">#REF!</definedName>
    <definedName name="__________ML212">#REF!</definedName>
    <definedName name="__________ML213">#REF!</definedName>
    <definedName name="__________ML214">#REF!</definedName>
    <definedName name="__________ML215">#REF!</definedName>
    <definedName name="__________ML216">#REF!</definedName>
    <definedName name="__________ML217">#REF!</definedName>
    <definedName name="__________ML218">#REF!</definedName>
    <definedName name="__________ML219">#REF!</definedName>
    <definedName name="__________ML22">#REF!</definedName>
    <definedName name="__________ML220">#REF!</definedName>
    <definedName name="__________ML221">#REF!</definedName>
    <definedName name="__________ML222">#REF!</definedName>
    <definedName name="__________ML223">#REF!</definedName>
    <definedName name="__________ML224">#REF!</definedName>
    <definedName name="__________ML23">#REF!</definedName>
    <definedName name="__________ML24">#REF!</definedName>
    <definedName name="__________ML25">#REF!</definedName>
    <definedName name="__________ML26">#REF!</definedName>
    <definedName name="__________ML27">#REF!</definedName>
    <definedName name="__________ML28">#REF!</definedName>
    <definedName name="__________ML29">#REF!</definedName>
    <definedName name="__________ML31">#REF!</definedName>
    <definedName name="__________ML310">#REF!</definedName>
    <definedName name="__________ML311">#REF!</definedName>
    <definedName name="__________ML312">#REF!</definedName>
    <definedName name="__________ML313">#REF!</definedName>
    <definedName name="__________ML314">#REF!</definedName>
    <definedName name="__________ML315">#REF!</definedName>
    <definedName name="__________ML316">#REF!</definedName>
    <definedName name="__________ML317">#REF!</definedName>
    <definedName name="__________ML318">#REF!</definedName>
    <definedName name="__________ML319">#REF!</definedName>
    <definedName name="__________ML32">#REF!</definedName>
    <definedName name="__________ML320">#REF!</definedName>
    <definedName name="__________ML321">#REF!</definedName>
    <definedName name="__________ML322">#REF!</definedName>
    <definedName name="__________ML323">#REF!</definedName>
    <definedName name="__________ML324">#REF!</definedName>
    <definedName name="__________ML33">#REF!</definedName>
    <definedName name="__________ML34">#REF!</definedName>
    <definedName name="__________ML35">#REF!</definedName>
    <definedName name="__________ML36">#REF!</definedName>
    <definedName name="__________ML37">#REF!</definedName>
    <definedName name="__________ML38">#REF!</definedName>
    <definedName name="__________ML39">#REF!</definedName>
    <definedName name="__________ML7">#REF!</definedName>
    <definedName name="__________ML8">#REF!</definedName>
    <definedName name="__________ML9">#REF!</definedName>
    <definedName name="__________mm1">#REF!</definedName>
    <definedName name="__________mm1000">#REF!</definedName>
    <definedName name="__________mm11">#REF!</definedName>
    <definedName name="__________mm111">#REF!</definedName>
    <definedName name="__________mm600">#REF!</definedName>
    <definedName name="__________mm800">#REF!</definedName>
    <definedName name="__________PC1">#REF!</definedName>
    <definedName name="__________PC10">#REF!</definedName>
    <definedName name="__________PC11">#REF!</definedName>
    <definedName name="__________PC12">#REF!</definedName>
    <definedName name="__________PC13">#REF!</definedName>
    <definedName name="__________PC14">#REF!</definedName>
    <definedName name="__________PC15">#REF!</definedName>
    <definedName name="__________PC16">#REF!</definedName>
    <definedName name="__________PC17">#REF!</definedName>
    <definedName name="__________PC18">#REF!</definedName>
    <definedName name="__________PC19">#REF!</definedName>
    <definedName name="__________pc2">#REF!</definedName>
    <definedName name="__________PC20">NA()</definedName>
    <definedName name="__________PC21">#REF!</definedName>
    <definedName name="__________PC22">#REF!</definedName>
    <definedName name="__________PC23">#REF!</definedName>
    <definedName name="__________PC24">#REF!</definedName>
    <definedName name="__________PC3">#REF!</definedName>
    <definedName name="__________PC4">#REF!</definedName>
    <definedName name="__________PC5">#REF!</definedName>
    <definedName name="__________PC6">#REF!</definedName>
    <definedName name="__________pc600">#REF!</definedName>
    <definedName name="__________PC7">#REF!</definedName>
    <definedName name="__________PC8">#REF!</definedName>
    <definedName name="__________PC9">#REF!</definedName>
    <definedName name="__________pc900">#REF!</definedName>
    <definedName name="__________pla4">#REF!</definedName>
    <definedName name="__________pv2">#REF!</definedName>
    <definedName name="__________rr3">#REF!</definedName>
    <definedName name="__________rrr1">#REF!</definedName>
    <definedName name="__________S12">NA()</definedName>
    <definedName name="__________SP10">#REF!</definedName>
    <definedName name="__________SP16">#REF!</definedName>
    <definedName name="__________SP7">#REF!</definedName>
    <definedName name="__________ss12">#REF!</definedName>
    <definedName name="__________ss20">#REF!</definedName>
    <definedName name="__________ss40">#REF!</definedName>
    <definedName name="__________var1">#REF!</definedName>
    <definedName name="__________var4">#REF!</definedName>
    <definedName name="__________vat1">NA()</definedName>
    <definedName name="__________xh2256">#REF!</definedName>
    <definedName name="__________xh2506">#REF!</definedName>
    <definedName name="__________xh2806">#REF!</definedName>
    <definedName name="__________xh3156">#REF!</definedName>
    <definedName name="__________xh634">#REF!</definedName>
    <definedName name="__________xk7100">#REF!</definedName>
    <definedName name="__________xk7150">#REF!</definedName>
    <definedName name="__________xk7250">#REF!</definedName>
    <definedName name="__________xk7300">#REF!</definedName>
    <definedName name="__________xp11010">#REF!</definedName>
    <definedName name="__________xp1104">#REF!</definedName>
    <definedName name="__________xp1106">#REF!</definedName>
    <definedName name="__________xp1254">#REF!</definedName>
    <definedName name="__________xp1256">#REF!</definedName>
    <definedName name="__________xp14010">#REF!</definedName>
    <definedName name="__________xp1404">#REF!</definedName>
    <definedName name="__________xp1406">#REF!</definedName>
    <definedName name="__________xp1604">#REF!</definedName>
    <definedName name="__________xp1606">#REF!</definedName>
    <definedName name="__________xp1804">#REF!</definedName>
    <definedName name="__________xp1806">#REF!</definedName>
    <definedName name="__________xp2006">#REF!</definedName>
    <definedName name="__________xp6310">#REF!</definedName>
    <definedName name="__________xp636">#REF!</definedName>
    <definedName name="__________xp7510">#REF!</definedName>
    <definedName name="__________xp754">#REF!</definedName>
    <definedName name="__________xp756">#REF!</definedName>
    <definedName name="__________xp9010">#REF!</definedName>
    <definedName name="__________xp904">#REF!</definedName>
    <definedName name="__________xp906">#REF!</definedName>
    <definedName name="_________bla1">#REF!</definedName>
    <definedName name="_________BSG100">NA()</definedName>
    <definedName name="_________BSG150">NA()</definedName>
    <definedName name="_________BSG5">NA()</definedName>
    <definedName name="_________BSG75">NA()</definedName>
    <definedName name="_________BTC1">NA()</definedName>
    <definedName name="_________BTC10">NA()</definedName>
    <definedName name="_________BTC11">NA()</definedName>
    <definedName name="_________BTC12">NA()</definedName>
    <definedName name="_________BTC13">NA()</definedName>
    <definedName name="_________BTC14">NA()</definedName>
    <definedName name="_________BTC15">NA()</definedName>
    <definedName name="_________BTC16">NA()</definedName>
    <definedName name="_________BTC17">NA()</definedName>
    <definedName name="_________BTC18">NA()</definedName>
    <definedName name="_________BTC19">NA()</definedName>
    <definedName name="_________BTC2">NA()</definedName>
    <definedName name="_________BTC20">NA()</definedName>
    <definedName name="_________BTC21">NA()</definedName>
    <definedName name="_________BTC22">NA()</definedName>
    <definedName name="_________BTC23">NA()</definedName>
    <definedName name="_________BTC24">NA()</definedName>
    <definedName name="_________BTC3">NA()</definedName>
    <definedName name="_________BTC4">NA()</definedName>
    <definedName name="_________BTC5">NA()</definedName>
    <definedName name="_________BTC6">NA()</definedName>
    <definedName name="_________BTC7">NA()</definedName>
    <definedName name="_________BTC8">NA()</definedName>
    <definedName name="_________BTC9">NA()</definedName>
    <definedName name="_________BTR1">NA()</definedName>
    <definedName name="_________BTR10">NA()</definedName>
    <definedName name="_________BTR11">NA()</definedName>
    <definedName name="_________BTR12">NA()</definedName>
    <definedName name="_________BTR13">NA()</definedName>
    <definedName name="_________BTR14">NA()</definedName>
    <definedName name="_________BTR15">NA()</definedName>
    <definedName name="_________BTR16">NA()</definedName>
    <definedName name="_________BTR17">NA()</definedName>
    <definedName name="_________BTR18">NA()</definedName>
    <definedName name="_________BTR19">NA()</definedName>
    <definedName name="_________BTR2">NA()</definedName>
    <definedName name="_________BTR20">NA()</definedName>
    <definedName name="_________BTR21">NA()</definedName>
    <definedName name="_________BTR22">NA()</definedName>
    <definedName name="_________BTR23">NA()</definedName>
    <definedName name="_________BTR24">NA()</definedName>
    <definedName name="_________BTR3">NA()</definedName>
    <definedName name="_________BTR4">NA()</definedName>
    <definedName name="_________BTR5">NA()</definedName>
    <definedName name="_________BTR6">NA()</definedName>
    <definedName name="_________BTR7">NA()</definedName>
    <definedName name="_________BTR8">NA()</definedName>
    <definedName name="_________BTR9">NA()</definedName>
    <definedName name="_________BTS1">NA()</definedName>
    <definedName name="_________BTS10">NA()</definedName>
    <definedName name="_________BTS11">NA()</definedName>
    <definedName name="_________BTS12">NA()</definedName>
    <definedName name="_________BTS13">NA()</definedName>
    <definedName name="_________BTS14">NA()</definedName>
    <definedName name="_________BTS15">NA()</definedName>
    <definedName name="_________BTS16">NA()</definedName>
    <definedName name="_________BTS17">NA()</definedName>
    <definedName name="_________BTS18">NA()</definedName>
    <definedName name="_________BTS19">NA()</definedName>
    <definedName name="_________BTS2">NA()</definedName>
    <definedName name="_________BTS20">NA()</definedName>
    <definedName name="_________BTS21">NA()</definedName>
    <definedName name="_________BTS22">NA()</definedName>
    <definedName name="_________BTS23">NA()</definedName>
    <definedName name="_________BTS24">NA()</definedName>
    <definedName name="_________BTS3">NA()</definedName>
    <definedName name="_________BTS4">NA()</definedName>
    <definedName name="_________BTS5">NA()</definedName>
    <definedName name="_________BTS6">NA()</definedName>
    <definedName name="_________BTS7">NA()</definedName>
    <definedName name="_________BTS8">NA()</definedName>
    <definedName name="_________BTS9">NA()</definedName>
    <definedName name="_________can430">40.73</definedName>
    <definedName name="_________can435">43.3</definedName>
    <definedName name="_________CCW1">#REF!</definedName>
    <definedName name="_________CCW2">#REF!</definedName>
    <definedName name="_________cur1">#REF!</definedName>
    <definedName name="_________GBS11">NA()</definedName>
    <definedName name="_________GBS110">NA()</definedName>
    <definedName name="_________GBS111">NA()</definedName>
    <definedName name="_________GBS112">NA()</definedName>
    <definedName name="_________GBS113">NA()</definedName>
    <definedName name="_________GBS114">NA()</definedName>
    <definedName name="_________GBS115">NA()</definedName>
    <definedName name="_________GBS116">NA()</definedName>
    <definedName name="_________GBS117">NA()</definedName>
    <definedName name="_________GBS118">NA()</definedName>
    <definedName name="_________GBS119">NA()</definedName>
    <definedName name="_________GBS12">NA()</definedName>
    <definedName name="_________GBS120">NA()</definedName>
    <definedName name="_________GBS121">NA()</definedName>
    <definedName name="_________GBS122">NA()</definedName>
    <definedName name="_________GBS123">NA()</definedName>
    <definedName name="_________GBS124">NA()</definedName>
    <definedName name="_________GBS13">NA()</definedName>
    <definedName name="_________GBS14">NA()</definedName>
    <definedName name="_________GBS15">NA()</definedName>
    <definedName name="_________GBS16">NA()</definedName>
    <definedName name="_________GBS17">NA()</definedName>
    <definedName name="_________GBS18">NA()</definedName>
    <definedName name="_________GBS19">NA()</definedName>
    <definedName name="_________GBS21">NA()</definedName>
    <definedName name="_________GBS210">NA()</definedName>
    <definedName name="_________GBS211">NA()</definedName>
    <definedName name="_________GBS212">NA()</definedName>
    <definedName name="_________GBS213">NA()</definedName>
    <definedName name="_________GBS214">NA()</definedName>
    <definedName name="_________GBS215">NA()</definedName>
    <definedName name="_________GBS216">NA()</definedName>
    <definedName name="_________GBS217">NA()</definedName>
    <definedName name="_________GBS218">NA()</definedName>
    <definedName name="_________GBS219">NA()</definedName>
    <definedName name="_________GBS22">NA()</definedName>
    <definedName name="_________GBS220">NA()</definedName>
    <definedName name="_________GBS221">NA()</definedName>
    <definedName name="_________GBS222">NA()</definedName>
    <definedName name="_________GBS223">NA()</definedName>
    <definedName name="_________GBS224">NA()</definedName>
    <definedName name="_________GBS23">NA()</definedName>
    <definedName name="_________GBS24">NA()</definedName>
    <definedName name="_________GBS25">NA()</definedName>
    <definedName name="_________GBS26">NA()</definedName>
    <definedName name="_________GBS27">NA()</definedName>
    <definedName name="_________GBS28">NA()</definedName>
    <definedName name="_________GBS29">NA()</definedName>
    <definedName name="_________imp1">#REF!</definedName>
    <definedName name="_________KC139">NA()</definedName>
    <definedName name="_________knr2">NA()</definedName>
    <definedName name="_________l1">#REF!</definedName>
    <definedName name="_________l12">#REF!</definedName>
    <definedName name="_________l2">#REF!</definedName>
    <definedName name="_________l3">#REF!</definedName>
    <definedName name="_________l4">#REF!</definedName>
    <definedName name="_________l5">#REF!</definedName>
    <definedName name="_________l6">#REF!</definedName>
    <definedName name="_________l7">#REF!</definedName>
    <definedName name="_________l8">#REF!</definedName>
    <definedName name="_________l9">#REF!</definedName>
    <definedName name="_________LJ6">#REF!</definedName>
    <definedName name="_________lj600">NA()</definedName>
    <definedName name="_________lj900">NA()</definedName>
    <definedName name="_________LL3">NA()</definedName>
    <definedName name="_________LSO24">"[14]lead!#ref!"</definedName>
    <definedName name="_________MA1">NA()</definedName>
    <definedName name="_________MA2">NA()</definedName>
    <definedName name="_________me12">NA()</definedName>
    <definedName name="_________Met22">NA()</definedName>
    <definedName name="_________Met45">#REF!</definedName>
    <definedName name="_________MEt55">#REF!</definedName>
    <definedName name="_________Met63">#REF!</definedName>
    <definedName name="_________ML21">NA()</definedName>
    <definedName name="_________ML210">NA()</definedName>
    <definedName name="_________ML211">NA()</definedName>
    <definedName name="_________ML212">NA()</definedName>
    <definedName name="_________ML213">NA()</definedName>
    <definedName name="_________ML214">NA()</definedName>
    <definedName name="_________ML215">NA()</definedName>
    <definedName name="_________ML216">NA()</definedName>
    <definedName name="_________ML217">NA()</definedName>
    <definedName name="_________ML218">NA()</definedName>
    <definedName name="_________ML219">NA()</definedName>
    <definedName name="_________ML22">NA()</definedName>
    <definedName name="_________ML220">NA()</definedName>
    <definedName name="_________ML221">NA()</definedName>
    <definedName name="_________ML222">NA()</definedName>
    <definedName name="_________ML223">NA()</definedName>
    <definedName name="_________ML224">NA()</definedName>
    <definedName name="_________ML23">NA()</definedName>
    <definedName name="_________ML24">NA()</definedName>
    <definedName name="_________ML25">NA()</definedName>
    <definedName name="_________ML26">NA()</definedName>
    <definedName name="_________ML27">NA()</definedName>
    <definedName name="_________ML28">NA()</definedName>
    <definedName name="_________ML29">NA()</definedName>
    <definedName name="_________ML31">NA()</definedName>
    <definedName name="_________ML310">NA()</definedName>
    <definedName name="_________ML311">NA()</definedName>
    <definedName name="_________ML312">NA()</definedName>
    <definedName name="_________ML313">NA()</definedName>
    <definedName name="_________ML314">NA()</definedName>
    <definedName name="_________ML315">NA()</definedName>
    <definedName name="_________ML316">NA()</definedName>
    <definedName name="_________ML317">NA()</definedName>
    <definedName name="_________ML318">NA()</definedName>
    <definedName name="_________ML319">NA()</definedName>
    <definedName name="_________ML32">NA()</definedName>
    <definedName name="_________ML320">NA()</definedName>
    <definedName name="_________ML321">NA()</definedName>
    <definedName name="_________ML322">NA()</definedName>
    <definedName name="_________ML323">NA()</definedName>
    <definedName name="_________ML324">NA()</definedName>
    <definedName name="_________ML33">NA()</definedName>
    <definedName name="_________ML34">NA()</definedName>
    <definedName name="_________ML35">NA()</definedName>
    <definedName name="_________ML36">NA()</definedName>
    <definedName name="_________ML37">NA()</definedName>
    <definedName name="_________ML38">NA()</definedName>
    <definedName name="_________ML39">NA()</definedName>
    <definedName name="_________ML7">NA()</definedName>
    <definedName name="_________ML8">NA()</definedName>
    <definedName name="_________ML9">NA()</definedName>
    <definedName name="_________mm1">#REF!</definedName>
    <definedName name="_________mm1000">#REF!</definedName>
    <definedName name="_________mm11">#REF!</definedName>
    <definedName name="_________mm111">#REF!</definedName>
    <definedName name="_________mm600">#REF!</definedName>
    <definedName name="_________mm800">#REF!</definedName>
    <definedName name="_________PC1">NA()</definedName>
    <definedName name="_________PC10">NA()</definedName>
    <definedName name="_________PC11">NA()</definedName>
    <definedName name="_________PC12">NA()</definedName>
    <definedName name="_________PC13">NA()</definedName>
    <definedName name="_________PC14">NA()</definedName>
    <definedName name="_________PC15">NA()</definedName>
    <definedName name="_________PC16">NA()</definedName>
    <definedName name="_________PC17">NA()</definedName>
    <definedName name="_________PC18">NA()</definedName>
    <definedName name="_________PC19">NA()</definedName>
    <definedName name="_________pc2">#REF!</definedName>
    <definedName name="_________PC20">NA()</definedName>
    <definedName name="_________PC21">NA()</definedName>
    <definedName name="_________PC22">NA()</definedName>
    <definedName name="_________PC23">NA()</definedName>
    <definedName name="_________PC24">NA()</definedName>
    <definedName name="_________PC3">NA()</definedName>
    <definedName name="_________PC4">NA()</definedName>
    <definedName name="_________PC5">NA()</definedName>
    <definedName name="_________PC6">NA()</definedName>
    <definedName name="_________pc600">NA()</definedName>
    <definedName name="_________PC7">NA()</definedName>
    <definedName name="_________PC8">NA()</definedName>
    <definedName name="_________PC9">NA()</definedName>
    <definedName name="_________pc900">NA()</definedName>
    <definedName name="_________pla4">#REF!</definedName>
    <definedName name="_________pv2">#REF!</definedName>
    <definedName name="_________rr3">#REF!</definedName>
    <definedName name="_________rrr1">#REF!</definedName>
    <definedName name="_________RT5565">#REF!</definedName>
    <definedName name="_________S12">NA()</definedName>
    <definedName name="_________SP10">#REF!</definedName>
    <definedName name="_________SP16">#REF!</definedName>
    <definedName name="_________SP7">#REF!</definedName>
    <definedName name="_________ss12">#REF!</definedName>
    <definedName name="_________ss20">#REF!</definedName>
    <definedName name="_________ss40">#REF!</definedName>
    <definedName name="_________var1">#REF!</definedName>
    <definedName name="_________var4">#REF!</definedName>
    <definedName name="_________vat1">NA()</definedName>
    <definedName name="_________xh2506">#REF!</definedName>
    <definedName name="_________xh2806">#REF!</definedName>
    <definedName name="_________xh3156">#REF!</definedName>
    <definedName name="_________xh634">#REF!</definedName>
    <definedName name="_________xk7100">#REF!</definedName>
    <definedName name="_________xk7150">#REF!</definedName>
    <definedName name="_________xk7250">#REF!</definedName>
    <definedName name="_________xk7300">#REF!</definedName>
    <definedName name="_________xp11010">#REF!</definedName>
    <definedName name="_________xp1104">#REF!</definedName>
    <definedName name="_________xp1106">#REF!</definedName>
    <definedName name="_________xp1254">#REF!</definedName>
    <definedName name="_________xp1256">#REF!</definedName>
    <definedName name="_________xp14010">#REF!</definedName>
    <definedName name="_________xp1404">#REF!</definedName>
    <definedName name="_________xp1406">#REF!</definedName>
    <definedName name="_________xp1604">#REF!</definedName>
    <definedName name="_________xp1606">#REF!</definedName>
    <definedName name="_________xp1804">#REF!</definedName>
    <definedName name="_________xp1806">#REF!</definedName>
    <definedName name="_________xp2006">#REF!</definedName>
    <definedName name="_________xp6310">#REF!</definedName>
    <definedName name="_________xp636">#REF!</definedName>
    <definedName name="_________xp7510">#REF!</definedName>
    <definedName name="_________xp754">#REF!</definedName>
    <definedName name="_________xp756">#REF!</definedName>
    <definedName name="_________xp9010">#REF!</definedName>
    <definedName name="_________xp904">#REF!</definedName>
    <definedName name="_________xp906">#REF!</definedName>
    <definedName name="________bla1">#REF!</definedName>
    <definedName name="________BSG100">NA()</definedName>
    <definedName name="________BSG150">NA()</definedName>
    <definedName name="________BSG5">NA()</definedName>
    <definedName name="________BSG75">NA()</definedName>
    <definedName name="________BTC1">NA()</definedName>
    <definedName name="________BTC10">NA()</definedName>
    <definedName name="________BTC11">NA()</definedName>
    <definedName name="________BTC12">NA()</definedName>
    <definedName name="________BTC13">NA()</definedName>
    <definedName name="________BTC14">NA()</definedName>
    <definedName name="________BTC15">NA()</definedName>
    <definedName name="________BTC16">NA()</definedName>
    <definedName name="________BTC17">NA()</definedName>
    <definedName name="________BTC18">NA()</definedName>
    <definedName name="________BTC19">NA()</definedName>
    <definedName name="________BTC2">NA()</definedName>
    <definedName name="________BTC20">NA()</definedName>
    <definedName name="________BTC21">NA()</definedName>
    <definedName name="________BTC22">NA()</definedName>
    <definedName name="________BTC23">NA()</definedName>
    <definedName name="________BTC24">NA()</definedName>
    <definedName name="________BTC3">NA()</definedName>
    <definedName name="________BTC4">NA()</definedName>
    <definedName name="________BTC5">NA()</definedName>
    <definedName name="________BTC6">NA()</definedName>
    <definedName name="________BTC7">NA()</definedName>
    <definedName name="________BTC8">NA()</definedName>
    <definedName name="________BTC9">NA()</definedName>
    <definedName name="________BTR1">NA()</definedName>
    <definedName name="________BTR10">NA()</definedName>
    <definedName name="________BTR11">NA()</definedName>
    <definedName name="________BTR12">NA()</definedName>
    <definedName name="________BTR13">NA()</definedName>
    <definedName name="________BTR14">NA()</definedName>
    <definedName name="________BTR15">NA()</definedName>
    <definedName name="________BTR16">NA()</definedName>
    <definedName name="________BTR17">NA()</definedName>
    <definedName name="________BTR18">NA()</definedName>
    <definedName name="________BTR19">NA()</definedName>
    <definedName name="________BTR2">NA()</definedName>
    <definedName name="________BTR20">NA()</definedName>
    <definedName name="________BTR21">NA()</definedName>
    <definedName name="________BTR22">NA()</definedName>
    <definedName name="________BTR23">NA()</definedName>
    <definedName name="________BTR24">NA()</definedName>
    <definedName name="________BTR3">NA()</definedName>
    <definedName name="________BTR4">NA()</definedName>
    <definedName name="________BTR5">NA()</definedName>
    <definedName name="________BTR6">NA()</definedName>
    <definedName name="________BTR7">NA()</definedName>
    <definedName name="________BTR8">NA()</definedName>
    <definedName name="________BTR9">NA()</definedName>
    <definedName name="________BTS1">NA()</definedName>
    <definedName name="________BTS10">NA()</definedName>
    <definedName name="________BTS11">NA()</definedName>
    <definedName name="________BTS12">NA()</definedName>
    <definedName name="________BTS13">NA()</definedName>
    <definedName name="________BTS14">NA()</definedName>
    <definedName name="________BTS15">NA()</definedName>
    <definedName name="________BTS16">NA()</definedName>
    <definedName name="________BTS17">NA()</definedName>
    <definedName name="________BTS18">NA()</definedName>
    <definedName name="________BTS19">NA()</definedName>
    <definedName name="________BTS2">NA()</definedName>
    <definedName name="________BTS20">NA()</definedName>
    <definedName name="________BTS21">NA()</definedName>
    <definedName name="________BTS22">NA()</definedName>
    <definedName name="________BTS23">NA()</definedName>
    <definedName name="________BTS24">NA()</definedName>
    <definedName name="________BTS3">NA()</definedName>
    <definedName name="________BTS4">NA()</definedName>
    <definedName name="________BTS5">NA()</definedName>
    <definedName name="________BTS6">NA()</definedName>
    <definedName name="________BTS7">NA()</definedName>
    <definedName name="________BTS8">NA()</definedName>
    <definedName name="________BTS9">NA()</definedName>
    <definedName name="________can430">40.73</definedName>
    <definedName name="________can435">43.3</definedName>
    <definedName name="________CCW1">#REF!</definedName>
    <definedName name="________CCW2">#REF!</definedName>
    <definedName name="________cur1">#REF!</definedName>
    <definedName name="________G120907">#REF!</definedName>
    <definedName name="________GBS11">NA()</definedName>
    <definedName name="________GBS110">NA()</definedName>
    <definedName name="________GBS111">NA()</definedName>
    <definedName name="________GBS112">NA()</definedName>
    <definedName name="________GBS113">NA()</definedName>
    <definedName name="________GBS114">NA()</definedName>
    <definedName name="________GBS115">NA()</definedName>
    <definedName name="________GBS116">NA()</definedName>
    <definedName name="________GBS117">NA()</definedName>
    <definedName name="________GBS118">NA()</definedName>
    <definedName name="________GBS119">NA()</definedName>
    <definedName name="________GBS12">NA()</definedName>
    <definedName name="________GBS120">NA()</definedName>
    <definedName name="________GBS121">NA()</definedName>
    <definedName name="________GBS122">NA()</definedName>
    <definedName name="________GBS123">NA()</definedName>
    <definedName name="________GBS124">NA()</definedName>
    <definedName name="________GBS13">NA()</definedName>
    <definedName name="________GBS14">NA()</definedName>
    <definedName name="________GBS15">NA()</definedName>
    <definedName name="________GBS16">NA()</definedName>
    <definedName name="________GBS17">NA()</definedName>
    <definedName name="________GBS18">NA()</definedName>
    <definedName name="________GBS19">NA()</definedName>
    <definedName name="________GBS21">NA()</definedName>
    <definedName name="________GBS210">NA()</definedName>
    <definedName name="________GBS211">NA()</definedName>
    <definedName name="________GBS212">NA()</definedName>
    <definedName name="________GBS213">NA()</definedName>
    <definedName name="________GBS214">NA()</definedName>
    <definedName name="________GBS215">NA()</definedName>
    <definedName name="________GBS216">NA()</definedName>
    <definedName name="________GBS217">NA()</definedName>
    <definedName name="________GBS218">NA()</definedName>
    <definedName name="________GBS219">NA()</definedName>
    <definedName name="________GBS22">NA()</definedName>
    <definedName name="________GBS220">NA()</definedName>
    <definedName name="________GBS221">NA()</definedName>
    <definedName name="________GBS222">NA()</definedName>
    <definedName name="________GBS223">NA()</definedName>
    <definedName name="________GBS224">NA()</definedName>
    <definedName name="________GBS23">NA()</definedName>
    <definedName name="________GBS24">NA()</definedName>
    <definedName name="________GBS25">NA()</definedName>
    <definedName name="________GBS26">NA()</definedName>
    <definedName name="________GBS27">NA()</definedName>
    <definedName name="________GBS28">NA()</definedName>
    <definedName name="________GBS29">NA()</definedName>
    <definedName name="________imp1">#REF!</definedName>
    <definedName name="________KC139">NA()</definedName>
    <definedName name="________knr2">NA()</definedName>
    <definedName name="________l1">#REF!</definedName>
    <definedName name="________l12">#REF!</definedName>
    <definedName name="________l2">#REF!</definedName>
    <definedName name="________l3">#REF!</definedName>
    <definedName name="________l4">#REF!</definedName>
    <definedName name="________l5">#REF!</definedName>
    <definedName name="________l6">#REF!</definedName>
    <definedName name="________l7">#REF!</definedName>
    <definedName name="________l8">#REF!</definedName>
    <definedName name="________l9">#REF!</definedName>
    <definedName name="________LJ6">#REF!</definedName>
    <definedName name="________lj600">NA()</definedName>
    <definedName name="________lj900">NA()</definedName>
    <definedName name="________LL3">NA()</definedName>
    <definedName name="________LSO24">"[14]lead!#ref!"</definedName>
    <definedName name="________MA1">NA()</definedName>
    <definedName name="________MA2">NA()</definedName>
    <definedName name="________me12">NA()</definedName>
    <definedName name="________Met22">NA()</definedName>
    <definedName name="________Met45">NA()</definedName>
    <definedName name="________MEt55">NA()</definedName>
    <definedName name="________Met63">NA()</definedName>
    <definedName name="________ML21">NA()</definedName>
    <definedName name="________ML210">NA()</definedName>
    <definedName name="________ML211">NA()</definedName>
    <definedName name="________ML212">NA()</definedName>
    <definedName name="________ML213">NA()</definedName>
    <definedName name="________ML214">NA()</definedName>
    <definedName name="________ML215">NA()</definedName>
    <definedName name="________ML216">NA()</definedName>
    <definedName name="________ML217">NA()</definedName>
    <definedName name="________ML218">NA()</definedName>
    <definedName name="________ML219">NA()</definedName>
    <definedName name="________ML22">NA()</definedName>
    <definedName name="________ML220">NA()</definedName>
    <definedName name="________ML221">NA()</definedName>
    <definedName name="________ML222">NA()</definedName>
    <definedName name="________ML223">NA()</definedName>
    <definedName name="________ML224">NA()</definedName>
    <definedName name="________ML23">NA()</definedName>
    <definedName name="________ML24">NA()</definedName>
    <definedName name="________ML25">NA()</definedName>
    <definedName name="________ML26">NA()</definedName>
    <definedName name="________ML27">NA()</definedName>
    <definedName name="________ML28">NA()</definedName>
    <definedName name="________ML29">NA()</definedName>
    <definedName name="________ML31">NA()</definedName>
    <definedName name="________ML310">NA()</definedName>
    <definedName name="________ML311">NA()</definedName>
    <definedName name="________ML312">NA()</definedName>
    <definedName name="________ML313">NA()</definedName>
    <definedName name="________ML314">NA()</definedName>
    <definedName name="________ML315">NA()</definedName>
    <definedName name="________ML316">NA()</definedName>
    <definedName name="________ML317">NA()</definedName>
    <definedName name="________ML318">NA()</definedName>
    <definedName name="________ML319">NA()</definedName>
    <definedName name="________ML32">NA()</definedName>
    <definedName name="________ML320">NA()</definedName>
    <definedName name="________ML321">NA()</definedName>
    <definedName name="________ML322">NA()</definedName>
    <definedName name="________ML323">NA()</definedName>
    <definedName name="________ML324">NA()</definedName>
    <definedName name="________ML33">NA()</definedName>
    <definedName name="________ML34">NA()</definedName>
    <definedName name="________ML35">NA()</definedName>
    <definedName name="________ML36">NA()</definedName>
    <definedName name="________ML37">NA()</definedName>
    <definedName name="________ML38">NA()</definedName>
    <definedName name="________ML39">NA()</definedName>
    <definedName name="________ML7">NA()</definedName>
    <definedName name="________ML8">NA()</definedName>
    <definedName name="________ML9">NA()</definedName>
    <definedName name="________mm1">#REF!</definedName>
    <definedName name="________mm1000">NA()</definedName>
    <definedName name="________mm11">#REF!</definedName>
    <definedName name="________mm111">#REF!</definedName>
    <definedName name="________mm600">NA()</definedName>
    <definedName name="________mm800">NA()</definedName>
    <definedName name="________PC1">NA()</definedName>
    <definedName name="________PC10">NA()</definedName>
    <definedName name="________PC11">NA()</definedName>
    <definedName name="________PC12">NA()</definedName>
    <definedName name="________PC13">NA()</definedName>
    <definedName name="________PC14">NA()</definedName>
    <definedName name="________PC15">NA()</definedName>
    <definedName name="________PC16">NA()</definedName>
    <definedName name="________PC17">NA()</definedName>
    <definedName name="________PC18">NA()</definedName>
    <definedName name="________PC19">NA()</definedName>
    <definedName name="________pc2">#REF!</definedName>
    <definedName name="________PC20">NA()</definedName>
    <definedName name="________PC21">NA()</definedName>
    <definedName name="________PC22">NA()</definedName>
    <definedName name="________PC23">NA()</definedName>
    <definedName name="________PC24">NA()</definedName>
    <definedName name="________PC3">NA()</definedName>
    <definedName name="________PC4">NA()</definedName>
    <definedName name="________PC5">NA()</definedName>
    <definedName name="________PC6">NA()</definedName>
    <definedName name="________pc600">NA()</definedName>
    <definedName name="________PC7">NA()</definedName>
    <definedName name="________PC8">NA()</definedName>
    <definedName name="________PC9">NA()</definedName>
    <definedName name="________pc900">NA()</definedName>
    <definedName name="________pla4">#REF!</definedName>
    <definedName name="________pv2">#REF!</definedName>
    <definedName name="________rr3">#REF!</definedName>
    <definedName name="________rrr1">#REF!</definedName>
    <definedName name="________S12">NA()</definedName>
    <definedName name="________SP10">#REF!</definedName>
    <definedName name="________SP16">#REF!</definedName>
    <definedName name="________SP7">#REF!</definedName>
    <definedName name="________ss12">#REF!</definedName>
    <definedName name="________ss20">#REF!</definedName>
    <definedName name="________ss40">#REF!</definedName>
    <definedName name="________var1">#REF!</definedName>
    <definedName name="________var4">#REF!</definedName>
    <definedName name="________vat1">NA()</definedName>
    <definedName name="________xh2256">#REF!</definedName>
    <definedName name="________xh2506">#REF!</definedName>
    <definedName name="________xh2806">#REF!</definedName>
    <definedName name="________xh3156">#REF!</definedName>
    <definedName name="________xh634">#REF!</definedName>
    <definedName name="________xk7100">#REF!</definedName>
    <definedName name="________xk7150">#REF!</definedName>
    <definedName name="________xk7250">#REF!</definedName>
    <definedName name="________xk7300">#REF!</definedName>
    <definedName name="________xp11010">#REF!</definedName>
    <definedName name="________xp1104">#REF!</definedName>
    <definedName name="________xp1106">#REF!</definedName>
    <definedName name="________xp1254">#REF!</definedName>
    <definedName name="________xp1256">#REF!</definedName>
    <definedName name="________xp14010">#REF!</definedName>
    <definedName name="________xp1404">#REF!</definedName>
    <definedName name="________xp1406">#REF!</definedName>
    <definedName name="________xp1604">#REF!</definedName>
    <definedName name="________xp1606">#REF!</definedName>
    <definedName name="________xp1804">#REF!</definedName>
    <definedName name="________xp1806">#REF!</definedName>
    <definedName name="________xp2006">#REF!</definedName>
    <definedName name="________xp6310">#REF!</definedName>
    <definedName name="________xp636">#REF!</definedName>
    <definedName name="________xp7510">#REF!</definedName>
    <definedName name="________xp754">#REF!</definedName>
    <definedName name="________xp756">#REF!</definedName>
    <definedName name="________xp9010">#REF!</definedName>
    <definedName name="________xp904">#REF!</definedName>
    <definedName name="________xp906">#REF!</definedName>
    <definedName name="_______bla1">#REF!</definedName>
    <definedName name="_______BSG100">NA()</definedName>
    <definedName name="_______BSG150">NA()</definedName>
    <definedName name="_______BSG5">NA()</definedName>
    <definedName name="_______BSG75">NA()</definedName>
    <definedName name="_______BTC1">NA()</definedName>
    <definedName name="_______BTC10">NA()</definedName>
    <definedName name="_______BTC11">NA()</definedName>
    <definedName name="_______BTC12">NA()</definedName>
    <definedName name="_______BTC13">NA()</definedName>
    <definedName name="_______BTC14">NA()</definedName>
    <definedName name="_______BTC15">NA()</definedName>
    <definedName name="_______BTC16">NA()</definedName>
    <definedName name="_______BTC17">NA()</definedName>
    <definedName name="_______BTC18">NA()</definedName>
    <definedName name="_______BTC19">NA()</definedName>
    <definedName name="_______BTC2">NA()</definedName>
    <definedName name="_______BTC20">NA()</definedName>
    <definedName name="_______BTC21">NA()</definedName>
    <definedName name="_______BTC22">NA()</definedName>
    <definedName name="_______BTC23">NA()</definedName>
    <definedName name="_______BTC24">NA()</definedName>
    <definedName name="_______BTC3">NA()</definedName>
    <definedName name="_______BTC4">NA()</definedName>
    <definedName name="_______BTC5">NA()</definedName>
    <definedName name="_______BTC6">NA()</definedName>
    <definedName name="_______BTC7">NA()</definedName>
    <definedName name="_______BTC8">NA()</definedName>
    <definedName name="_______BTC9">NA()</definedName>
    <definedName name="_______BTR1">NA()</definedName>
    <definedName name="_______BTR10">NA()</definedName>
    <definedName name="_______BTR11">NA()</definedName>
    <definedName name="_______BTR12">NA()</definedName>
    <definedName name="_______BTR13">NA()</definedName>
    <definedName name="_______BTR14">NA()</definedName>
    <definedName name="_______BTR15">NA()</definedName>
    <definedName name="_______BTR16">NA()</definedName>
    <definedName name="_______BTR17">NA()</definedName>
    <definedName name="_______BTR18">NA()</definedName>
    <definedName name="_______BTR19">NA()</definedName>
    <definedName name="_______BTR2">NA()</definedName>
    <definedName name="_______BTR20">NA()</definedName>
    <definedName name="_______BTR21">NA()</definedName>
    <definedName name="_______BTR22">NA()</definedName>
    <definedName name="_______BTR23">NA()</definedName>
    <definedName name="_______BTR24">NA()</definedName>
    <definedName name="_______BTR3">NA()</definedName>
    <definedName name="_______BTR4">NA()</definedName>
    <definedName name="_______BTR5">NA()</definedName>
    <definedName name="_______BTR6">NA()</definedName>
    <definedName name="_______BTR7">NA()</definedName>
    <definedName name="_______BTR8">NA()</definedName>
    <definedName name="_______BTR9">NA()</definedName>
    <definedName name="_______BTS1">NA()</definedName>
    <definedName name="_______BTS10">NA()</definedName>
    <definedName name="_______BTS11">NA()</definedName>
    <definedName name="_______BTS12">NA()</definedName>
    <definedName name="_______BTS13">NA()</definedName>
    <definedName name="_______BTS14">NA()</definedName>
    <definedName name="_______BTS15">NA()</definedName>
    <definedName name="_______BTS16">NA()</definedName>
    <definedName name="_______BTS17">NA()</definedName>
    <definedName name="_______BTS18">NA()</definedName>
    <definedName name="_______BTS19">NA()</definedName>
    <definedName name="_______BTS2">NA()</definedName>
    <definedName name="_______BTS20">NA()</definedName>
    <definedName name="_______BTS21">NA()</definedName>
    <definedName name="_______BTS22">NA()</definedName>
    <definedName name="_______BTS23">NA()</definedName>
    <definedName name="_______BTS24">NA()</definedName>
    <definedName name="_______BTS3">NA()</definedName>
    <definedName name="_______BTS4">NA()</definedName>
    <definedName name="_______BTS5">NA()</definedName>
    <definedName name="_______BTS6">NA()</definedName>
    <definedName name="_______BTS7">NA()</definedName>
    <definedName name="_______BTS8">NA()</definedName>
    <definedName name="_______BTS9">NA()</definedName>
    <definedName name="_______can430">40.73</definedName>
    <definedName name="_______can435">43.3</definedName>
    <definedName name="_______cbr1">NA()</definedName>
    <definedName name="_______cbr2">NA()</definedName>
    <definedName name="_______cbr3">NA()</definedName>
    <definedName name="_______cbr4">NA()</definedName>
    <definedName name="_______CCW1">#REF!</definedName>
    <definedName name="_______CCW2">#REF!</definedName>
    <definedName name="_______cur1">#REF!</definedName>
    <definedName name="_______ewe1">NA()</definedName>
    <definedName name="_______G120907">#REF!</definedName>
    <definedName name="_______GBS11">NA()</definedName>
    <definedName name="_______GBS110">NA()</definedName>
    <definedName name="_______GBS111">NA()</definedName>
    <definedName name="_______GBS112">NA()</definedName>
    <definedName name="_______GBS113">NA()</definedName>
    <definedName name="_______GBS114">NA()</definedName>
    <definedName name="_______GBS115">NA()</definedName>
    <definedName name="_______GBS116">NA()</definedName>
    <definedName name="_______GBS117">NA()</definedName>
    <definedName name="_______GBS118">NA()</definedName>
    <definedName name="_______GBS119">NA()</definedName>
    <definedName name="_______GBS12">NA()</definedName>
    <definedName name="_______GBS120">NA()</definedName>
    <definedName name="_______GBS121">NA()</definedName>
    <definedName name="_______GBS122">NA()</definedName>
    <definedName name="_______GBS123">NA()</definedName>
    <definedName name="_______GBS124">NA()</definedName>
    <definedName name="_______GBS13">NA()</definedName>
    <definedName name="_______GBS14">NA()</definedName>
    <definedName name="_______GBS15">NA()</definedName>
    <definedName name="_______GBS16">NA()</definedName>
    <definedName name="_______GBS17">NA()</definedName>
    <definedName name="_______GBS18">NA()</definedName>
    <definedName name="_______GBS19">NA()</definedName>
    <definedName name="_______GBS21">NA()</definedName>
    <definedName name="_______GBS210">NA()</definedName>
    <definedName name="_______GBS211">NA()</definedName>
    <definedName name="_______GBS212">NA()</definedName>
    <definedName name="_______GBS213">NA()</definedName>
    <definedName name="_______GBS214">NA()</definedName>
    <definedName name="_______GBS215">NA()</definedName>
    <definedName name="_______GBS216">NA()</definedName>
    <definedName name="_______GBS217">NA()</definedName>
    <definedName name="_______GBS218">NA()</definedName>
    <definedName name="_______GBS219">NA()</definedName>
    <definedName name="_______GBS22">NA()</definedName>
    <definedName name="_______GBS220">NA()</definedName>
    <definedName name="_______GBS221">NA()</definedName>
    <definedName name="_______GBS222">NA()</definedName>
    <definedName name="_______GBS223">NA()</definedName>
    <definedName name="_______GBS224">NA()</definedName>
    <definedName name="_______GBS23">NA()</definedName>
    <definedName name="_______GBS24">NA()</definedName>
    <definedName name="_______GBS25">NA()</definedName>
    <definedName name="_______GBS26">NA()</definedName>
    <definedName name="_______GBS27">NA()</definedName>
    <definedName name="_______GBS28">NA()</definedName>
    <definedName name="_______GBS29">NA()</definedName>
    <definedName name="_______imp1">#REF!</definedName>
    <definedName name="_______KC139">NA()</definedName>
    <definedName name="_______knr2">NA()</definedName>
    <definedName name="_______l1">#REF!</definedName>
    <definedName name="_______l12">#REF!</definedName>
    <definedName name="_______l2">#REF!</definedName>
    <definedName name="_______l3">#REF!</definedName>
    <definedName name="_______l4">#REF!</definedName>
    <definedName name="_______l5">#REF!</definedName>
    <definedName name="_______l6">#REF!</definedName>
    <definedName name="_______l7">#REF!</definedName>
    <definedName name="_______l8">#REF!</definedName>
    <definedName name="_______l9">#REF!</definedName>
    <definedName name="_______LJ6">#REF!</definedName>
    <definedName name="_______lj600">NA()</definedName>
    <definedName name="_______lj900">NA()</definedName>
    <definedName name="_______LL3">NA()</definedName>
    <definedName name="_______LSO24">"[14]lead!#ref!"</definedName>
    <definedName name="_______MA1">#REF!</definedName>
    <definedName name="_______MA2">NA()</definedName>
    <definedName name="_______me12">NA()</definedName>
    <definedName name="_______Met22">NA()</definedName>
    <definedName name="_______Met45">NA()</definedName>
    <definedName name="_______MEt55">NA()</definedName>
    <definedName name="_______Met63">NA()</definedName>
    <definedName name="_______ML21">NA()</definedName>
    <definedName name="_______ML210">NA()</definedName>
    <definedName name="_______ML211">NA()</definedName>
    <definedName name="_______ML212">NA()</definedName>
    <definedName name="_______ML213">NA()</definedName>
    <definedName name="_______ML214">NA()</definedName>
    <definedName name="_______ML215">NA()</definedName>
    <definedName name="_______ML216">NA()</definedName>
    <definedName name="_______ML217">NA()</definedName>
    <definedName name="_______ML218">NA()</definedName>
    <definedName name="_______ML219">NA()</definedName>
    <definedName name="_______ML22">NA()</definedName>
    <definedName name="_______ML220">NA()</definedName>
    <definedName name="_______ML221">NA()</definedName>
    <definedName name="_______ML222">NA()</definedName>
    <definedName name="_______ML223">NA()</definedName>
    <definedName name="_______ML224">NA()</definedName>
    <definedName name="_______ML23">NA()</definedName>
    <definedName name="_______ML24">NA()</definedName>
    <definedName name="_______ML25">NA()</definedName>
    <definedName name="_______ML26">NA()</definedName>
    <definedName name="_______ML27">NA()</definedName>
    <definedName name="_______ML28">NA()</definedName>
    <definedName name="_______ML29">NA()</definedName>
    <definedName name="_______ML31">NA()</definedName>
    <definedName name="_______ML310">NA()</definedName>
    <definedName name="_______ML311">NA()</definedName>
    <definedName name="_______ML312">NA()</definedName>
    <definedName name="_______ML313">NA()</definedName>
    <definedName name="_______ML314">NA()</definedName>
    <definedName name="_______ML315">NA()</definedName>
    <definedName name="_______ML316">NA()</definedName>
    <definedName name="_______ML317">NA()</definedName>
    <definedName name="_______ML318">NA()</definedName>
    <definedName name="_______ML319">NA()</definedName>
    <definedName name="_______ML32">NA()</definedName>
    <definedName name="_______ML320">NA()</definedName>
    <definedName name="_______ML321">NA()</definedName>
    <definedName name="_______ML322">NA()</definedName>
    <definedName name="_______ML323">NA()</definedName>
    <definedName name="_______ML324">NA()</definedName>
    <definedName name="_______ML33">NA()</definedName>
    <definedName name="_______ML34">NA()</definedName>
    <definedName name="_______ML35">NA()</definedName>
    <definedName name="_______ML36">NA()</definedName>
    <definedName name="_______ML37">NA()</definedName>
    <definedName name="_______ML38">NA()</definedName>
    <definedName name="_______ML39">NA()</definedName>
    <definedName name="_______ML7">NA()</definedName>
    <definedName name="_______ML8">NA()</definedName>
    <definedName name="_______ML9">NA()</definedName>
    <definedName name="_______mm1">#REF!</definedName>
    <definedName name="_______mm1000">NA()</definedName>
    <definedName name="_______mm11">#REF!</definedName>
    <definedName name="_______mm111">#REF!</definedName>
    <definedName name="_______mm20">NA()</definedName>
    <definedName name="_______mm40">NA()</definedName>
    <definedName name="_______mm600">NA()</definedName>
    <definedName name="_______mm800">NA()</definedName>
    <definedName name="_______PC1">NA()</definedName>
    <definedName name="_______PC10">NA()</definedName>
    <definedName name="_______PC11">NA()</definedName>
    <definedName name="_______PC12">NA()</definedName>
    <definedName name="_______PC13">NA()</definedName>
    <definedName name="_______PC14">NA()</definedName>
    <definedName name="_______PC15">NA()</definedName>
    <definedName name="_______PC16">NA()</definedName>
    <definedName name="_______PC17">NA()</definedName>
    <definedName name="_______PC18">NA()</definedName>
    <definedName name="_______PC19">NA()</definedName>
    <definedName name="_______pc2">#REF!</definedName>
    <definedName name="_______PC20">NA()</definedName>
    <definedName name="_______PC21">NA()</definedName>
    <definedName name="_______PC22">NA()</definedName>
    <definedName name="_______PC23">NA()</definedName>
    <definedName name="_______PC24">NA()</definedName>
    <definedName name="_______PC3">NA()</definedName>
    <definedName name="_______PC4">NA()</definedName>
    <definedName name="_______PC5">NA()</definedName>
    <definedName name="_______PC6">NA()</definedName>
    <definedName name="_______pc600">NA()</definedName>
    <definedName name="_______PC7">NA()</definedName>
    <definedName name="_______PC8">NA()</definedName>
    <definedName name="_______PC9">NA()</definedName>
    <definedName name="_______pc900">NA()</definedName>
    <definedName name="_______pla4">#REF!</definedName>
    <definedName name="_______pv2">#REF!</definedName>
    <definedName name="_______rr3">#REF!</definedName>
    <definedName name="_______rrr1">#REF!</definedName>
    <definedName name="_______RT5565">#REF!</definedName>
    <definedName name="_______S12">NA()</definedName>
    <definedName name="_______SP10">#REF!</definedName>
    <definedName name="_______SP16">#REF!</definedName>
    <definedName name="_______SP7">#REF!</definedName>
    <definedName name="_______ss12">#REF!</definedName>
    <definedName name="_______ss20">#REF!</definedName>
    <definedName name="_______ss40">#REF!</definedName>
    <definedName name="_______var1">#REF!</definedName>
    <definedName name="_______var4">#REF!</definedName>
    <definedName name="_______vat1">NA()</definedName>
    <definedName name="_______vat2">NA()</definedName>
    <definedName name="_______xh2256">#REF!</definedName>
    <definedName name="_______xh2506">#REF!</definedName>
    <definedName name="_______xh2806">#REF!</definedName>
    <definedName name="_______xh3156">#REF!</definedName>
    <definedName name="_______xh634">#REF!</definedName>
    <definedName name="_______xk7100">#REF!</definedName>
    <definedName name="_______xk7150">#REF!</definedName>
    <definedName name="_______xk7250">#REF!</definedName>
    <definedName name="_______xk7300">#REF!</definedName>
    <definedName name="_______xp11010">#REF!</definedName>
    <definedName name="_______xp1104">#REF!</definedName>
    <definedName name="_______xp1106">#REF!</definedName>
    <definedName name="_______xp1254">#REF!</definedName>
    <definedName name="_______xp1256">#REF!</definedName>
    <definedName name="_______xp14010">#REF!</definedName>
    <definedName name="_______xp1404">#REF!</definedName>
    <definedName name="_______xp1406">#REF!</definedName>
    <definedName name="_______xp1604">#REF!</definedName>
    <definedName name="_______xp1606">#REF!</definedName>
    <definedName name="_______xp1804">#REF!</definedName>
    <definedName name="_______xp1806">#REF!</definedName>
    <definedName name="_______xp2006">#REF!</definedName>
    <definedName name="_______xp6310">#REF!</definedName>
    <definedName name="_______xp636">#REF!</definedName>
    <definedName name="_______xp7510">#REF!</definedName>
    <definedName name="_______xp754">#REF!</definedName>
    <definedName name="_______xp756">#REF!</definedName>
    <definedName name="_______xp9010">#REF!</definedName>
    <definedName name="_______xp904">#REF!</definedName>
    <definedName name="_______xp906">#REF!</definedName>
    <definedName name="______bla1">#REF!</definedName>
    <definedName name="______BSG100">NA()</definedName>
    <definedName name="______BSG150">NA()</definedName>
    <definedName name="______BSG5">NA()</definedName>
    <definedName name="______BSG75">NA()</definedName>
    <definedName name="______BTC1">NA()</definedName>
    <definedName name="______BTC10">NA()</definedName>
    <definedName name="______BTC11">NA()</definedName>
    <definedName name="______BTC12">NA()</definedName>
    <definedName name="______BTC13">NA()</definedName>
    <definedName name="______BTC14">NA()</definedName>
    <definedName name="______BTC15">NA()</definedName>
    <definedName name="______BTC16">NA()</definedName>
    <definedName name="______BTC17">NA()</definedName>
    <definedName name="______BTC18">NA()</definedName>
    <definedName name="______BTC19">NA()</definedName>
    <definedName name="______BTC2">NA()</definedName>
    <definedName name="______BTC20">NA()</definedName>
    <definedName name="______BTC21">NA()</definedName>
    <definedName name="______BTC22">NA()</definedName>
    <definedName name="______BTC23">NA()</definedName>
    <definedName name="______BTC24">NA()</definedName>
    <definedName name="______BTC3">NA()</definedName>
    <definedName name="______BTC4">NA()</definedName>
    <definedName name="______BTC5">NA()</definedName>
    <definedName name="______BTC6">NA()</definedName>
    <definedName name="______BTC7">NA()</definedName>
    <definedName name="______BTC8">NA()</definedName>
    <definedName name="______BTC9">NA()</definedName>
    <definedName name="______BTR1">NA()</definedName>
    <definedName name="______BTR10">NA()</definedName>
    <definedName name="______BTR11">NA()</definedName>
    <definedName name="______BTR12">NA()</definedName>
    <definedName name="______BTR13">NA()</definedName>
    <definedName name="______BTR14">NA()</definedName>
    <definedName name="______BTR15">NA()</definedName>
    <definedName name="______BTR16">NA()</definedName>
    <definedName name="______BTR17">NA()</definedName>
    <definedName name="______BTR18">NA()</definedName>
    <definedName name="______BTR19">NA()</definedName>
    <definedName name="______BTR2">NA()</definedName>
    <definedName name="______BTR20">NA()</definedName>
    <definedName name="______BTR21">NA()</definedName>
    <definedName name="______BTR22">NA()</definedName>
    <definedName name="______BTR23">NA()</definedName>
    <definedName name="______BTR24">NA()</definedName>
    <definedName name="______BTR3">NA()</definedName>
    <definedName name="______BTR4">NA()</definedName>
    <definedName name="______BTR5">NA()</definedName>
    <definedName name="______BTR6">NA()</definedName>
    <definedName name="______BTR7">NA()</definedName>
    <definedName name="______BTR8">NA()</definedName>
    <definedName name="______BTR9">NA()</definedName>
    <definedName name="______BTS1">NA()</definedName>
    <definedName name="______BTS10">NA()</definedName>
    <definedName name="______BTS11">NA()</definedName>
    <definedName name="______BTS12">NA()</definedName>
    <definedName name="______BTS13">NA()</definedName>
    <definedName name="______BTS14">NA()</definedName>
    <definedName name="______BTS15">NA()</definedName>
    <definedName name="______BTS16">NA()</definedName>
    <definedName name="______BTS17">NA()</definedName>
    <definedName name="______BTS18">NA()</definedName>
    <definedName name="______BTS19">NA()</definedName>
    <definedName name="______BTS2">NA()</definedName>
    <definedName name="______BTS20">NA()</definedName>
    <definedName name="______BTS21">NA()</definedName>
    <definedName name="______BTS22">NA()</definedName>
    <definedName name="______BTS23">NA()</definedName>
    <definedName name="______BTS24">NA()</definedName>
    <definedName name="______BTS3">NA()</definedName>
    <definedName name="______BTS4">NA()</definedName>
    <definedName name="______BTS5">NA()</definedName>
    <definedName name="______BTS6">NA()</definedName>
    <definedName name="______BTS7">NA()</definedName>
    <definedName name="______BTS8">NA()</definedName>
    <definedName name="______BTS9">NA()</definedName>
    <definedName name="______can430">40.73</definedName>
    <definedName name="______can435">43.3</definedName>
    <definedName name="______cbr1">NA()</definedName>
    <definedName name="______cbr2">NA()</definedName>
    <definedName name="______cbr3">NA()</definedName>
    <definedName name="______cbr4">NA()</definedName>
    <definedName name="______CCW1">#REF!</definedName>
    <definedName name="______CCW2">#REF!</definedName>
    <definedName name="______cur1">#REF!</definedName>
    <definedName name="______dem2">NA()</definedName>
    <definedName name="______er1">#REF!</definedName>
    <definedName name="______f1">NA()</definedName>
    <definedName name="______G120907">#REF!</definedName>
    <definedName name="______GBS11">NA()</definedName>
    <definedName name="______GBS110">NA()</definedName>
    <definedName name="______GBS111">NA()</definedName>
    <definedName name="______GBS112">NA()</definedName>
    <definedName name="______GBS113">NA()</definedName>
    <definedName name="______GBS114">NA()</definedName>
    <definedName name="______GBS115">NA()</definedName>
    <definedName name="______GBS116">NA()</definedName>
    <definedName name="______GBS117">NA()</definedName>
    <definedName name="______GBS118">NA()</definedName>
    <definedName name="______GBS119">NA()</definedName>
    <definedName name="______GBS12">NA()</definedName>
    <definedName name="______GBS120">NA()</definedName>
    <definedName name="______GBS121">NA()</definedName>
    <definedName name="______GBS122">NA()</definedName>
    <definedName name="______GBS123">NA()</definedName>
    <definedName name="______GBS124">NA()</definedName>
    <definedName name="______GBS13">NA()</definedName>
    <definedName name="______GBS14">NA()</definedName>
    <definedName name="______GBS15">NA()</definedName>
    <definedName name="______GBS16">NA()</definedName>
    <definedName name="______GBS17">NA()</definedName>
    <definedName name="______GBS18">NA()</definedName>
    <definedName name="______GBS19">NA()</definedName>
    <definedName name="______GBS21">NA()</definedName>
    <definedName name="______GBS210">NA()</definedName>
    <definedName name="______GBS211">NA()</definedName>
    <definedName name="______GBS212">NA()</definedName>
    <definedName name="______GBS213">NA()</definedName>
    <definedName name="______GBS214">NA()</definedName>
    <definedName name="______GBS215">NA()</definedName>
    <definedName name="______GBS216">NA()</definedName>
    <definedName name="______GBS217">NA()</definedName>
    <definedName name="______GBS218">NA()</definedName>
    <definedName name="______GBS219">NA()</definedName>
    <definedName name="______GBS22">NA()</definedName>
    <definedName name="______GBS220">NA()</definedName>
    <definedName name="______GBS221">NA()</definedName>
    <definedName name="______GBS222">NA()</definedName>
    <definedName name="______GBS223">NA()</definedName>
    <definedName name="______GBS224">NA()</definedName>
    <definedName name="______GBS23">NA()</definedName>
    <definedName name="______GBS24">NA()</definedName>
    <definedName name="______GBS25">NA()</definedName>
    <definedName name="______GBS26">NA()</definedName>
    <definedName name="______GBS27">NA()</definedName>
    <definedName name="______GBS28">NA()</definedName>
    <definedName name="______GBS29">NA()</definedName>
    <definedName name="______imp1">#REF!</definedName>
    <definedName name="______KC139">NA()</definedName>
    <definedName name="______knr2">NA()</definedName>
    <definedName name="______KNR3">NA()</definedName>
    <definedName name="______l1">#REF!</definedName>
    <definedName name="______l12">#REF!</definedName>
    <definedName name="______l2">#REF!</definedName>
    <definedName name="______l3">#REF!</definedName>
    <definedName name="______l4">#REF!</definedName>
    <definedName name="______l5">#REF!</definedName>
    <definedName name="______l6">#REF!</definedName>
    <definedName name="______l7">#REF!</definedName>
    <definedName name="______l8">#REF!</definedName>
    <definedName name="______l9">#REF!</definedName>
    <definedName name="______LJ6">#REF!</definedName>
    <definedName name="______lj600">NA()</definedName>
    <definedName name="______lj900">NA()</definedName>
    <definedName name="______LL3">NA()</definedName>
    <definedName name="______LSO24">"[14]lead!#ref!"</definedName>
    <definedName name="______MA1">NA()</definedName>
    <definedName name="______MA2">NA()</definedName>
    <definedName name="______me12">#REF!</definedName>
    <definedName name="______Met22">NA()</definedName>
    <definedName name="______Met45">NA()</definedName>
    <definedName name="______MEt55">NA()</definedName>
    <definedName name="______Met63">NA()</definedName>
    <definedName name="______ML21">NA()</definedName>
    <definedName name="______ML210">NA()</definedName>
    <definedName name="______ML211">NA()</definedName>
    <definedName name="______ML212">NA()</definedName>
    <definedName name="______ML213">NA()</definedName>
    <definedName name="______ML214">NA()</definedName>
    <definedName name="______ML215">NA()</definedName>
    <definedName name="______ML216">NA()</definedName>
    <definedName name="______ML217">NA()</definedName>
    <definedName name="______ML218">NA()</definedName>
    <definedName name="______ML219">NA()</definedName>
    <definedName name="______ML22">NA()</definedName>
    <definedName name="______ML220">NA()</definedName>
    <definedName name="______ML221">NA()</definedName>
    <definedName name="______ML222">NA()</definedName>
    <definedName name="______ML223">NA()</definedName>
    <definedName name="______ML224">NA()</definedName>
    <definedName name="______ML23">NA()</definedName>
    <definedName name="______ML24">NA()</definedName>
    <definedName name="______ML25">NA()</definedName>
    <definedName name="______ML26">NA()</definedName>
    <definedName name="______ML27">NA()</definedName>
    <definedName name="______ML28">NA()</definedName>
    <definedName name="______ML29">NA()</definedName>
    <definedName name="______ML31">NA()</definedName>
    <definedName name="______ML310">NA()</definedName>
    <definedName name="______ML311">NA()</definedName>
    <definedName name="______ML312">NA()</definedName>
    <definedName name="______ML313">NA()</definedName>
    <definedName name="______ML314">NA()</definedName>
    <definedName name="______ML315">NA()</definedName>
    <definedName name="______ML316">NA()</definedName>
    <definedName name="______ML317">NA()</definedName>
    <definedName name="______ML318">NA()</definedName>
    <definedName name="______ML319">NA()</definedName>
    <definedName name="______ML32">NA()</definedName>
    <definedName name="______ML320">NA()</definedName>
    <definedName name="______ML321">NA()</definedName>
    <definedName name="______ML322">NA()</definedName>
    <definedName name="______ML323">NA()</definedName>
    <definedName name="______ML324">NA()</definedName>
    <definedName name="______ML33">NA()</definedName>
    <definedName name="______ML34">NA()</definedName>
    <definedName name="______ML35">NA()</definedName>
    <definedName name="______ML36">NA()</definedName>
    <definedName name="______ML37">NA()</definedName>
    <definedName name="______ML38">NA()</definedName>
    <definedName name="______ML39">NA()</definedName>
    <definedName name="______ML7">NA()</definedName>
    <definedName name="______ML8">NA()</definedName>
    <definedName name="______ML9">NA()</definedName>
    <definedName name="______mm1">#REF!</definedName>
    <definedName name="______mm1000">NA()</definedName>
    <definedName name="______mm11">#REF!</definedName>
    <definedName name="______mm111">#REF!</definedName>
    <definedName name="______mm20">NA()</definedName>
    <definedName name="______mm40">NA()</definedName>
    <definedName name="______mm600">NA()</definedName>
    <definedName name="______mm800">NA()</definedName>
    <definedName name="______PC1">NA()</definedName>
    <definedName name="______PC10">NA()</definedName>
    <definedName name="______PC11">NA()</definedName>
    <definedName name="______PC12">NA()</definedName>
    <definedName name="______PC13">NA()</definedName>
    <definedName name="______PC14">NA()</definedName>
    <definedName name="______PC15">NA()</definedName>
    <definedName name="______PC16">NA()</definedName>
    <definedName name="______PC17">NA()</definedName>
    <definedName name="______PC18">NA()</definedName>
    <definedName name="______PC19">NA()</definedName>
    <definedName name="______pc2">#REF!</definedName>
    <definedName name="______PC20">NA()</definedName>
    <definedName name="______PC21">NA()</definedName>
    <definedName name="______PC22">NA()</definedName>
    <definedName name="______PC23">NA()</definedName>
    <definedName name="______PC24">NA()</definedName>
    <definedName name="______PC3">NA()</definedName>
    <definedName name="______PC4">NA()</definedName>
    <definedName name="______PC5">NA()</definedName>
    <definedName name="______PC6">NA()</definedName>
    <definedName name="______pc600">NA()</definedName>
    <definedName name="______PC7">NA()</definedName>
    <definedName name="______PC8">NA()</definedName>
    <definedName name="______PC9">NA()</definedName>
    <definedName name="______pc900">NA()</definedName>
    <definedName name="______pla4">#REF!</definedName>
    <definedName name="______pv2">#REF!</definedName>
    <definedName name="______rr3">#REF!</definedName>
    <definedName name="______rrr1">#REF!</definedName>
    <definedName name="______S12">NA()</definedName>
    <definedName name="______SP10">#REF!</definedName>
    <definedName name="______SP16">#REF!</definedName>
    <definedName name="______SP7">#REF!</definedName>
    <definedName name="______ss12">#REF!</definedName>
    <definedName name="______ss20">#REF!</definedName>
    <definedName name="______ss40">#REF!</definedName>
    <definedName name="______var1">#REF!</definedName>
    <definedName name="______var4">#REF!</definedName>
    <definedName name="______vat1">NA()</definedName>
    <definedName name="______vat2">NA()</definedName>
    <definedName name="______xh2256">#REF!</definedName>
    <definedName name="______xh2506">#REF!</definedName>
    <definedName name="______xh2806">#REF!</definedName>
    <definedName name="______xh3156">#REF!</definedName>
    <definedName name="______xh634">#REF!</definedName>
    <definedName name="______xk7100">#REF!</definedName>
    <definedName name="______xk7150">#REF!</definedName>
    <definedName name="______xk7250">#REF!</definedName>
    <definedName name="______xk7300">#REF!</definedName>
    <definedName name="______xlnm_Print_Titles_1">NA()</definedName>
    <definedName name="______xp11010">#REF!</definedName>
    <definedName name="______xp1104">#REF!</definedName>
    <definedName name="______xp1106">#REF!</definedName>
    <definedName name="______xp1254">#REF!</definedName>
    <definedName name="______xp1256">#REF!</definedName>
    <definedName name="______xp14010">#REF!</definedName>
    <definedName name="______xp1404">#REF!</definedName>
    <definedName name="______xp1406">#REF!</definedName>
    <definedName name="______xp1604">#REF!</definedName>
    <definedName name="______xp1606">#REF!</definedName>
    <definedName name="______xp1804">#REF!</definedName>
    <definedName name="______xp1806">#REF!</definedName>
    <definedName name="______xp2006">#REF!</definedName>
    <definedName name="______xp6310">#REF!</definedName>
    <definedName name="______xp636">#REF!</definedName>
    <definedName name="______xp7510">#REF!</definedName>
    <definedName name="______xp754">#REF!</definedName>
    <definedName name="______xp756">#REF!</definedName>
    <definedName name="______xp9010">#REF!</definedName>
    <definedName name="______xp904">#REF!</definedName>
    <definedName name="______xp906">#REF!</definedName>
    <definedName name="_____12">#REF!</definedName>
    <definedName name="_____bla1">#REF!</definedName>
    <definedName name="_____BSG100">#REF!</definedName>
    <definedName name="_____BSG150">#REF!</definedName>
    <definedName name="_____BSG5">#REF!</definedName>
    <definedName name="_____BSG75">#REF!</definedName>
    <definedName name="_____BTC1">#REF!</definedName>
    <definedName name="_____BTC10">#REF!</definedName>
    <definedName name="_____BTC11">#REF!</definedName>
    <definedName name="_____BTC12">#REF!</definedName>
    <definedName name="_____BTC13">#REF!</definedName>
    <definedName name="_____BTC14">#REF!</definedName>
    <definedName name="_____BTC15">#REF!</definedName>
    <definedName name="_____BTC16">#REF!</definedName>
    <definedName name="_____BTC17">#REF!</definedName>
    <definedName name="_____BTC18">#REF!</definedName>
    <definedName name="_____BTC19">#REF!</definedName>
    <definedName name="_____BTC2">#REF!</definedName>
    <definedName name="_____BTC20">#REF!</definedName>
    <definedName name="_____BTC21">#REF!</definedName>
    <definedName name="_____BTC22">#REF!</definedName>
    <definedName name="_____BTC23">#REF!</definedName>
    <definedName name="_____BTC24">#REF!</definedName>
    <definedName name="_____BTC3">#REF!</definedName>
    <definedName name="_____BTC4">#REF!</definedName>
    <definedName name="_____BTC5">#REF!</definedName>
    <definedName name="_____BTC6">#REF!</definedName>
    <definedName name="_____BTC7">#REF!</definedName>
    <definedName name="_____BTC8">#REF!</definedName>
    <definedName name="_____BTC9">#REF!</definedName>
    <definedName name="_____BTR1">#REF!</definedName>
    <definedName name="_____BTR10">#REF!</definedName>
    <definedName name="_____BTR11">#REF!</definedName>
    <definedName name="_____BTR12">#REF!</definedName>
    <definedName name="_____BTR13">#REF!</definedName>
    <definedName name="_____BTR14">#REF!</definedName>
    <definedName name="_____BTR15">#REF!</definedName>
    <definedName name="_____BTR16">#REF!</definedName>
    <definedName name="_____BTR17">#REF!</definedName>
    <definedName name="_____BTR18">#REF!</definedName>
    <definedName name="_____BTR19">#REF!</definedName>
    <definedName name="_____BTR2">#REF!</definedName>
    <definedName name="_____BTR20">#REF!</definedName>
    <definedName name="_____BTR21">#REF!</definedName>
    <definedName name="_____BTR22">#REF!</definedName>
    <definedName name="_____BTR23">#REF!</definedName>
    <definedName name="_____BTR24">#REF!</definedName>
    <definedName name="_____BTR3">#REF!</definedName>
    <definedName name="_____BTR4">#REF!</definedName>
    <definedName name="_____BTR5">#REF!</definedName>
    <definedName name="_____BTR6">#REF!</definedName>
    <definedName name="_____BTR7">#REF!</definedName>
    <definedName name="_____BTR8">#REF!</definedName>
    <definedName name="_____BTR9">#REF!</definedName>
    <definedName name="_____BTS1">#REF!</definedName>
    <definedName name="_____BTS10">#REF!</definedName>
    <definedName name="_____BTS11">#REF!</definedName>
    <definedName name="_____BTS12">#REF!</definedName>
    <definedName name="_____BTS13">#REF!</definedName>
    <definedName name="_____BTS14">#REF!</definedName>
    <definedName name="_____BTS15">#REF!</definedName>
    <definedName name="_____BTS16">#REF!</definedName>
    <definedName name="_____BTS17">#REF!</definedName>
    <definedName name="_____BTS18">#REF!</definedName>
    <definedName name="_____BTS19">#REF!</definedName>
    <definedName name="_____BTS2">#REF!</definedName>
    <definedName name="_____BTS20">#REF!</definedName>
    <definedName name="_____BTS21">#REF!</definedName>
    <definedName name="_____BTS22">#REF!</definedName>
    <definedName name="_____BTS23">#REF!</definedName>
    <definedName name="_____BTS24">#REF!</definedName>
    <definedName name="_____BTS3">#REF!</definedName>
    <definedName name="_____BTS4">#REF!</definedName>
    <definedName name="_____BTS5">#REF!</definedName>
    <definedName name="_____BTS6">#REF!</definedName>
    <definedName name="_____BTS7">#REF!</definedName>
    <definedName name="_____BTS8">#REF!</definedName>
    <definedName name="_____BTS9">#REF!</definedName>
    <definedName name="_____can430">40.73</definedName>
    <definedName name="_____can435">43.3</definedName>
    <definedName name="_____cbr1">NA()</definedName>
    <definedName name="_____cbr2">NA()</definedName>
    <definedName name="_____cbr3">NA()</definedName>
    <definedName name="_____cbr4">NA()</definedName>
    <definedName name="_____CCW1">#REF!</definedName>
    <definedName name="_____CCW2">#REF!</definedName>
    <definedName name="_____cur1">#REF!</definedName>
    <definedName name="_____dem2">NA()</definedName>
    <definedName name="_____er1">#REF!</definedName>
    <definedName name="_____f1">NA()</definedName>
    <definedName name="_____G120907">#REF!</definedName>
    <definedName name="_____GBS11">NA()</definedName>
    <definedName name="_____GBS110">#REF!</definedName>
    <definedName name="_____GBS111">#REF!</definedName>
    <definedName name="_____GBS112">#REF!</definedName>
    <definedName name="_____GBS113">#REF!</definedName>
    <definedName name="_____GBS114">#REF!</definedName>
    <definedName name="_____GBS115">#REF!</definedName>
    <definedName name="_____GBS116">#REF!</definedName>
    <definedName name="_____GBS117">#REF!</definedName>
    <definedName name="_____GBS118">#REF!</definedName>
    <definedName name="_____GBS119">#REF!</definedName>
    <definedName name="_____GBS12">#REF!</definedName>
    <definedName name="_____GBS120">#REF!</definedName>
    <definedName name="_____GBS121">#REF!</definedName>
    <definedName name="_____GBS122">#REF!</definedName>
    <definedName name="_____GBS123">#REF!</definedName>
    <definedName name="_____GBS124">#REF!</definedName>
    <definedName name="_____GBS13">#REF!</definedName>
    <definedName name="_____GBS14">#REF!</definedName>
    <definedName name="_____GBS15">#REF!</definedName>
    <definedName name="_____GBS16">#REF!</definedName>
    <definedName name="_____GBS17">#REF!</definedName>
    <definedName name="_____GBS18">#REF!</definedName>
    <definedName name="_____GBS19">#REF!</definedName>
    <definedName name="_____GBS21">#REF!</definedName>
    <definedName name="_____GBS210">#REF!</definedName>
    <definedName name="_____GBS211">#REF!</definedName>
    <definedName name="_____GBS212">#REF!</definedName>
    <definedName name="_____GBS213">#REF!</definedName>
    <definedName name="_____GBS214">#REF!</definedName>
    <definedName name="_____GBS215">#REF!</definedName>
    <definedName name="_____GBS216">#REF!</definedName>
    <definedName name="_____GBS217">#REF!</definedName>
    <definedName name="_____GBS218">#REF!</definedName>
    <definedName name="_____GBS219">#REF!</definedName>
    <definedName name="_____GBS22">#REF!</definedName>
    <definedName name="_____GBS220">#REF!</definedName>
    <definedName name="_____GBS221">#REF!</definedName>
    <definedName name="_____GBS222">#REF!</definedName>
    <definedName name="_____GBS223">#REF!</definedName>
    <definedName name="_____GBS224">#REF!</definedName>
    <definedName name="_____GBS23">#REF!</definedName>
    <definedName name="_____GBS24">#REF!</definedName>
    <definedName name="_____GBS25">#REF!</definedName>
    <definedName name="_____GBS26">#REF!</definedName>
    <definedName name="_____GBS27">#REF!</definedName>
    <definedName name="_____GBS28">#REF!</definedName>
    <definedName name="_____GBS29">#REF!</definedName>
    <definedName name="_____grp10003">NA()</definedName>
    <definedName name="_____grp3503">NA()</definedName>
    <definedName name="_____grp4003">NA()</definedName>
    <definedName name="_____grp4503">NA()</definedName>
    <definedName name="_____grp5003">NA()</definedName>
    <definedName name="_____grp6003">NA()</definedName>
    <definedName name="_____grp7003">NA()</definedName>
    <definedName name="_____grp8003">NA()</definedName>
    <definedName name="_____grp9003">NA()</definedName>
    <definedName name="_____imp1">#REF!</definedName>
    <definedName name="_____KC139">NA()</definedName>
    <definedName name="_____knr2">NA()</definedName>
    <definedName name="_____KNR3">NA()</definedName>
    <definedName name="_____l1">#REF!</definedName>
    <definedName name="_____l12">#REF!</definedName>
    <definedName name="_____l2">#REF!</definedName>
    <definedName name="_____l3">#REF!</definedName>
    <definedName name="_____l4">#REF!</definedName>
    <definedName name="_____l5">#REF!</definedName>
    <definedName name="_____l6">#REF!</definedName>
    <definedName name="_____l7">#REF!</definedName>
    <definedName name="_____l8">#REF!</definedName>
    <definedName name="_____l9">#REF!</definedName>
    <definedName name="_____LJ6">#REF!</definedName>
    <definedName name="_____lj600">#REF!</definedName>
    <definedName name="_____lj900">#REF!</definedName>
    <definedName name="_____LL3">#REF!</definedName>
    <definedName name="_____LSO24">"[14]lead!#ref!"</definedName>
    <definedName name="_____MA1">NA()</definedName>
    <definedName name="_____MA2">NA()</definedName>
    <definedName name="_____me12">NA()</definedName>
    <definedName name="_____Met22">NA()</definedName>
    <definedName name="_____Met45">NA()</definedName>
    <definedName name="_____MEt55">NA()</definedName>
    <definedName name="_____Met63">NA()</definedName>
    <definedName name="_____ML21">#REF!</definedName>
    <definedName name="_____ML210">#REF!</definedName>
    <definedName name="_____ML211">#REF!</definedName>
    <definedName name="_____ML212">#REF!</definedName>
    <definedName name="_____ML213">#REF!</definedName>
    <definedName name="_____ML214">#REF!</definedName>
    <definedName name="_____ML215">#REF!</definedName>
    <definedName name="_____ML216">#REF!</definedName>
    <definedName name="_____ML217">#REF!</definedName>
    <definedName name="_____ML218">#REF!</definedName>
    <definedName name="_____ML219">#REF!</definedName>
    <definedName name="_____ML22">#REF!</definedName>
    <definedName name="_____ML220">#REF!</definedName>
    <definedName name="_____ML221">#REF!</definedName>
    <definedName name="_____ML222">#REF!</definedName>
    <definedName name="_____ML223">#REF!</definedName>
    <definedName name="_____ML224">#REF!</definedName>
    <definedName name="_____ML23">#REF!</definedName>
    <definedName name="_____ML24">#REF!</definedName>
    <definedName name="_____ML25">#REF!</definedName>
    <definedName name="_____ML26">#REF!</definedName>
    <definedName name="_____ML27">#REF!</definedName>
    <definedName name="_____ML28">#REF!</definedName>
    <definedName name="_____ML29">#REF!</definedName>
    <definedName name="_____ML31">#REF!</definedName>
    <definedName name="_____ML310">#REF!</definedName>
    <definedName name="_____ML311">#REF!</definedName>
    <definedName name="_____ML312">#REF!</definedName>
    <definedName name="_____ML313">#REF!</definedName>
    <definedName name="_____ML314">#REF!</definedName>
    <definedName name="_____ML315">#REF!</definedName>
    <definedName name="_____ML316">#REF!</definedName>
    <definedName name="_____ML317">#REF!</definedName>
    <definedName name="_____ML318">#REF!</definedName>
    <definedName name="_____ML319">#REF!</definedName>
    <definedName name="_____ML32">#REF!</definedName>
    <definedName name="_____ML320">#REF!</definedName>
    <definedName name="_____ML321">#REF!</definedName>
    <definedName name="_____ML322">#REF!</definedName>
    <definedName name="_____ML323">#REF!</definedName>
    <definedName name="_____ML324">#REF!</definedName>
    <definedName name="_____ML33">#REF!</definedName>
    <definedName name="_____ML34">#REF!</definedName>
    <definedName name="_____ML35">#REF!</definedName>
    <definedName name="_____ML36">#REF!</definedName>
    <definedName name="_____ML37">#REF!</definedName>
    <definedName name="_____ML38">#REF!</definedName>
    <definedName name="_____ML39">#REF!</definedName>
    <definedName name="_____ML7">#REF!</definedName>
    <definedName name="_____ML8">#REF!</definedName>
    <definedName name="_____ML9">#REF!</definedName>
    <definedName name="_____mm1">#REF!</definedName>
    <definedName name="_____mm1000">NA()</definedName>
    <definedName name="_____mm11">#REF!</definedName>
    <definedName name="_____mm111">#REF!</definedName>
    <definedName name="_____mm20">NA()</definedName>
    <definedName name="_____mm40">NA()</definedName>
    <definedName name="_____mm600">NA()</definedName>
    <definedName name="_____mm800">NA()</definedName>
    <definedName name="_____OH1">#REF!</definedName>
    <definedName name="_____PC1">#REF!</definedName>
    <definedName name="_____PC10">#REF!</definedName>
    <definedName name="_____PC11">#REF!</definedName>
    <definedName name="_____PC12">#REF!</definedName>
    <definedName name="_____PC13">#REF!</definedName>
    <definedName name="_____PC14">#REF!</definedName>
    <definedName name="_____PC15">#REF!</definedName>
    <definedName name="_____PC16">#REF!</definedName>
    <definedName name="_____PC17">#REF!</definedName>
    <definedName name="_____PC18">#REF!</definedName>
    <definedName name="_____PC19">#REF!</definedName>
    <definedName name="_____pc2">#REF!</definedName>
    <definedName name="_____PC20">NA()</definedName>
    <definedName name="_____PC21">#REF!</definedName>
    <definedName name="_____PC22">#REF!</definedName>
    <definedName name="_____PC23">#REF!</definedName>
    <definedName name="_____PC24">#REF!</definedName>
    <definedName name="_____PC3">#REF!</definedName>
    <definedName name="_____PC4">#REF!</definedName>
    <definedName name="_____PC5">#REF!</definedName>
    <definedName name="_____PC6">#REF!</definedName>
    <definedName name="_____pc600">#REF!</definedName>
    <definedName name="_____PC7">#REF!</definedName>
    <definedName name="_____PC8">#REF!</definedName>
    <definedName name="_____PC9">#REF!</definedName>
    <definedName name="_____pc900">#REF!</definedName>
    <definedName name="_____pla4">#REF!</definedName>
    <definedName name="_____psc10006">NA()</definedName>
    <definedName name="_____psc10008">NA()</definedName>
    <definedName name="_____psc3506">NA()</definedName>
    <definedName name="_____psc3508">NA()</definedName>
    <definedName name="_____psc4006">NA()</definedName>
    <definedName name="_____psc4008">NA()</definedName>
    <definedName name="_____psc4506">NA()</definedName>
    <definedName name="_____psc4508">NA()</definedName>
    <definedName name="_____psc5006">NA()</definedName>
    <definedName name="_____psc5008">NA()</definedName>
    <definedName name="_____psc6006">NA()</definedName>
    <definedName name="_____psc6008">NA()</definedName>
    <definedName name="_____psc7006">NA()</definedName>
    <definedName name="_____psc7008">NA()</definedName>
    <definedName name="_____psc8006">NA()</definedName>
    <definedName name="_____psc8008">NA()</definedName>
    <definedName name="_____psc9006">NA()</definedName>
    <definedName name="_____psc9008">NA()</definedName>
    <definedName name="_____pv2">#REF!</definedName>
    <definedName name="_____rr3">#REF!</definedName>
    <definedName name="_____rrr1">#REF!</definedName>
    <definedName name="_____RT5565">#REF!</definedName>
    <definedName name="_____S12">NA()</definedName>
    <definedName name="_____SP10">#REF!</definedName>
    <definedName name="_____SP16">#REF!</definedName>
    <definedName name="_____SP7">#REF!</definedName>
    <definedName name="_____ss12">#REF!</definedName>
    <definedName name="_____ss20">#REF!</definedName>
    <definedName name="_____ss40">#REF!</definedName>
    <definedName name="_____var1">#REF!</definedName>
    <definedName name="_____var4">#REF!</definedName>
    <definedName name="_____vat1">NA()</definedName>
    <definedName name="_____vat2">NA()</definedName>
    <definedName name="_____xh11010">NA()</definedName>
    <definedName name="_____xh1104">NA()</definedName>
    <definedName name="_____xh1106">NA()</definedName>
    <definedName name="_____xh1108">NA()</definedName>
    <definedName name="_____xh12510">NA()</definedName>
    <definedName name="_____xh1254">NA()</definedName>
    <definedName name="_____xh1256">NA()</definedName>
    <definedName name="_____xh1258">NA()</definedName>
    <definedName name="_____xh14010">NA()</definedName>
    <definedName name="_____xh1404">NA()</definedName>
    <definedName name="_____xh1406">NA()</definedName>
    <definedName name="_____xh1408">NA()</definedName>
    <definedName name="_____xh16010">NA()</definedName>
    <definedName name="_____xh1604">NA()</definedName>
    <definedName name="_____xh1606">NA()</definedName>
    <definedName name="_____xh1608">NA()</definedName>
    <definedName name="_____xh18010">NA()</definedName>
    <definedName name="_____xh1804">NA()</definedName>
    <definedName name="_____xh1806">NA()</definedName>
    <definedName name="_____xh1808">NA()</definedName>
    <definedName name="_____xh20010">NA()</definedName>
    <definedName name="_____xh2004">NA()</definedName>
    <definedName name="_____xh2006">NA()</definedName>
    <definedName name="_____xh2008">NA()</definedName>
    <definedName name="_____xh22510">NA()</definedName>
    <definedName name="_____xh2254">NA()</definedName>
    <definedName name="_____xh2256">#REF!</definedName>
    <definedName name="_____xh2258">NA()</definedName>
    <definedName name="_____xh25010">NA()</definedName>
    <definedName name="_____xh2504">NA()</definedName>
    <definedName name="_____xh2506">#REF!</definedName>
    <definedName name="_____xh2508">NA()</definedName>
    <definedName name="_____xh28010">NA()</definedName>
    <definedName name="_____xh2804">NA()</definedName>
    <definedName name="_____xh2806">#REF!</definedName>
    <definedName name="_____xh2808">NA()</definedName>
    <definedName name="_____xh31510">NA()</definedName>
    <definedName name="_____xh3154">NA()</definedName>
    <definedName name="_____xh3156">#REF!</definedName>
    <definedName name="_____xh3158">NA()</definedName>
    <definedName name="_____xh3554">NA()</definedName>
    <definedName name="_____xh3556">NA()</definedName>
    <definedName name="_____xh6310">NA()</definedName>
    <definedName name="_____xh634">#REF!</definedName>
    <definedName name="_____xh636">NA()</definedName>
    <definedName name="_____xh638">NA()</definedName>
    <definedName name="_____xh7510">NA()</definedName>
    <definedName name="_____xh754">NA()</definedName>
    <definedName name="_____xh756">NA()</definedName>
    <definedName name="_____xh758">NA()</definedName>
    <definedName name="_____xh9010">NA()</definedName>
    <definedName name="_____xh904">NA()</definedName>
    <definedName name="_____xh906">NA()</definedName>
    <definedName name="_____xh908">NA()</definedName>
    <definedName name="_____xk7100">#REF!</definedName>
    <definedName name="_____xk7150">#REF!</definedName>
    <definedName name="_____xk7200">NA()</definedName>
    <definedName name="_____xk7250">#REF!</definedName>
    <definedName name="_____xk7300">#REF!</definedName>
    <definedName name="_____xk7350">NA()</definedName>
    <definedName name="_____xk7400">NA()</definedName>
    <definedName name="_____xk7450">NA()</definedName>
    <definedName name="_____xk7500">NA()</definedName>
    <definedName name="_____xk7600">NA()</definedName>
    <definedName name="_____xk9100">NA()</definedName>
    <definedName name="_____xk91000">NA()</definedName>
    <definedName name="_____xk9150">NA()</definedName>
    <definedName name="_____xk9200">NA()</definedName>
    <definedName name="_____xk9250">NA()</definedName>
    <definedName name="_____xk9300">NA()</definedName>
    <definedName name="_____xk9350">NA()</definedName>
    <definedName name="_____xk9400">NA()</definedName>
    <definedName name="_____xk9450">NA()</definedName>
    <definedName name="_____xk9500">NA()</definedName>
    <definedName name="_____xk9600">NA()</definedName>
    <definedName name="_____xk9700">NA()</definedName>
    <definedName name="_____xk9750">NA()</definedName>
    <definedName name="_____xk9800">NA()</definedName>
    <definedName name="_____xk9900">NA()</definedName>
    <definedName name="_____xlnm_Print_Titles_1">NA()</definedName>
    <definedName name="_____xp11010">#REF!</definedName>
    <definedName name="_____xp1104">#REF!</definedName>
    <definedName name="_____xp1106">#REF!</definedName>
    <definedName name="_____xp12510">NA()</definedName>
    <definedName name="_____xp1254">#REF!</definedName>
    <definedName name="_____xp1256">#REF!</definedName>
    <definedName name="_____xp14010">#REF!</definedName>
    <definedName name="_____xp1404">#REF!</definedName>
    <definedName name="_____xp1406">#REF!</definedName>
    <definedName name="_____xp16010">NA()</definedName>
    <definedName name="_____xp1604">#REF!</definedName>
    <definedName name="_____xp1606">#REF!</definedName>
    <definedName name="_____xp18010">NA()</definedName>
    <definedName name="_____xp1804">#REF!</definedName>
    <definedName name="_____xp1806">#REF!</definedName>
    <definedName name="_____xp20010">NA()</definedName>
    <definedName name="_____xp2004">NA()</definedName>
    <definedName name="_____xp2006">#REF!</definedName>
    <definedName name="_____xp22510">NA()</definedName>
    <definedName name="_____xp2254">NA()</definedName>
    <definedName name="_____xp2256">NA()</definedName>
    <definedName name="_____xp25010">NA()</definedName>
    <definedName name="_____xp2504">NA()</definedName>
    <definedName name="_____xp2506">NA()</definedName>
    <definedName name="_____xp28010">NA()</definedName>
    <definedName name="_____xp2804">NA()</definedName>
    <definedName name="_____xp2806">NA()</definedName>
    <definedName name="_____xp31510">NA()</definedName>
    <definedName name="_____xp3154">NA()</definedName>
    <definedName name="_____xp3156">NA()</definedName>
    <definedName name="_____xp6310">#REF!</definedName>
    <definedName name="_____xp634">NA()</definedName>
    <definedName name="_____xp636">#REF!</definedName>
    <definedName name="_____xp7510">#REF!</definedName>
    <definedName name="_____xp754">#REF!</definedName>
    <definedName name="_____xp756">#REF!</definedName>
    <definedName name="_____xp9010">#REF!</definedName>
    <definedName name="_____xp904">#REF!</definedName>
    <definedName name="_____xp906">#REF!</definedName>
    <definedName name="____A5">NA()</definedName>
    <definedName name="____bla1">#REF!</definedName>
    <definedName name="____BSG100">NA()</definedName>
    <definedName name="____BSG150">NA()</definedName>
    <definedName name="____BSG5">NA()</definedName>
    <definedName name="____BSG75">NA()</definedName>
    <definedName name="____BTC1">NA()</definedName>
    <definedName name="____BTC10">NA()</definedName>
    <definedName name="____BTC11">NA()</definedName>
    <definedName name="____BTC12">NA()</definedName>
    <definedName name="____BTC13">NA()</definedName>
    <definedName name="____BTC14">NA()</definedName>
    <definedName name="____BTC15">NA()</definedName>
    <definedName name="____BTC16">NA()</definedName>
    <definedName name="____BTC17">NA()</definedName>
    <definedName name="____BTC18">NA()</definedName>
    <definedName name="____BTC19">NA()</definedName>
    <definedName name="____BTC2">NA()</definedName>
    <definedName name="____BTC20">NA()</definedName>
    <definedName name="____BTC21">NA()</definedName>
    <definedName name="____BTC22">NA()</definedName>
    <definedName name="____BTC23">NA()</definedName>
    <definedName name="____BTC24">NA()</definedName>
    <definedName name="____BTC3">NA()</definedName>
    <definedName name="____BTC4">NA()</definedName>
    <definedName name="____BTC5">NA()</definedName>
    <definedName name="____BTC6">NA()</definedName>
    <definedName name="____BTC7">NA()</definedName>
    <definedName name="____BTC8">NA()</definedName>
    <definedName name="____BTC9">NA()</definedName>
    <definedName name="____BTR1">NA()</definedName>
    <definedName name="____BTR10">NA()</definedName>
    <definedName name="____BTR11">NA()</definedName>
    <definedName name="____BTR12">NA()</definedName>
    <definedName name="____BTR13">NA()</definedName>
    <definedName name="____BTR14">NA()</definedName>
    <definedName name="____BTR15">NA()</definedName>
    <definedName name="____BTR16">NA()</definedName>
    <definedName name="____BTR17">NA()</definedName>
    <definedName name="____BTR18">NA()</definedName>
    <definedName name="____BTR19">NA()</definedName>
    <definedName name="____BTR2">NA()</definedName>
    <definedName name="____BTR20">NA()</definedName>
    <definedName name="____BTR21">NA()</definedName>
    <definedName name="____BTR22">NA()</definedName>
    <definedName name="____BTR23">NA()</definedName>
    <definedName name="____BTR24">NA()</definedName>
    <definedName name="____BTR3">NA()</definedName>
    <definedName name="____BTR4">NA()</definedName>
    <definedName name="____BTR5">NA()</definedName>
    <definedName name="____BTR6">NA()</definedName>
    <definedName name="____BTR7">NA()</definedName>
    <definedName name="____BTR8">NA()</definedName>
    <definedName name="____BTR9">NA()</definedName>
    <definedName name="____BTS1">NA()</definedName>
    <definedName name="____BTS10">NA()</definedName>
    <definedName name="____BTS11">NA()</definedName>
    <definedName name="____BTS12">NA()</definedName>
    <definedName name="____BTS13">NA()</definedName>
    <definedName name="____BTS14">NA()</definedName>
    <definedName name="____BTS15">NA()</definedName>
    <definedName name="____BTS16">NA()</definedName>
    <definedName name="____BTS17">NA()</definedName>
    <definedName name="____BTS18">NA()</definedName>
    <definedName name="____BTS19">NA()</definedName>
    <definedName name="____BTS2">NA()</definedName>
    <definedName name="____BTS20">NA()</definedName>
    <definedName name="____BTS21">NA()</definedName>
    <definedName name="____BTS22">NA()</definedName>
    <definedName name="____BTS23">NA()</definedName>
    <definedName name="____BTS24">NA()</definedName>
    <definedName name="____BTS3">NA()</definedName>
    <definedName name="____BTS4">NA()</definedName>
    <definedName name="____BTS5">NA()</definedName>
    <definedName name="____BTS6">NA()</definedName>
    <definedName name="____BTS7">NA()</definedName>
    <definedName name="____BTS8">NA()</definedName>
    <definedName name="____BTS9">NA()</definedName>
    <definedName name="____can430">40.73</definedName>
    <definedName name="____can435">43.3</definedName>
    <definedName name="____cbr1">NA()</definedName>
    <definedName name="____cbr2">NA()</definedName>
    <definedName name="____cbr3">NA()</definedName>
    <definedName name="____cbr4">NA()</definedName>
    <definedName name="____CCW1">#REF!</definedName>
    <definedName name="____CCW2">#REF!</definedName>
    <definedName name="____cur1">#REF!</definedName>
    <definedName name="____dem2">NA()</definedName>
    <definedName name="____df3">NA()</definedName>
    <definedName name="____er1">#REF!</definedName>
    <definedName name="____ewe1">NA()</definedName>
    <definedName name="____f1">NA()</definedName>
    <definedName name="____G120907">#REF!</definedName>
    <definedName name="____GBS11">NA()</definedName>
    <definedName name="____GBS110">NA()</definedName>
    <definedName name="____GBS111">NA()</definedName>
    <definedName name="____GBS112">NA()</definedName>
    <definedName name="____GBS113">NA()</definedName>
    <definedName name="____GBS114">NA()</definedName>
    <definedName name="____GBS115">NA()</definedName>
    <definedName name="____GBS116">NA()</definedName>
    <definedName name="____GBS117">NA()</definedName>
    <definedName name="____GBS118">NA()</definedName>
    <definedName name="____GBS119">NA()</definedName>
    <definedName name="____GBS12">NA()</definedName>
    <definedName name="____GBS120">NA()</definedName>
    <definedName name="____GBS121">NA()</definedName>
    <definedName name="____GBS122">NA()</definedName>
    <definedName name="____GBS123">NA()</definedName>
    <definedName name="____GBS124">NA()</definedName>
    <definedName name="____GBS13">NA()</definedName>
    <definedName name="____GBS14">NA()</definedName>
    <definedName name="____GBS15">NA()</definedName>
    <definedName name="____GBS16">NA()</definedName>
    <definedName name="____GBS17">NA()</definedName>
    <definedName name="____GBS18">NA()</definedName>
    <definedName name="____GBS19">NA()</definedName>
    <definedName name="____GBS21">NA()</definedName>
    <definedName name="____GBS210">NA()</definedName>
    <definedName name="____GBS211">NA()</definedName>
    <definedName name="____GBS212">NA()</definedName>
    <definedName name="____GBS213">NA()</definedName>
    <definedName name="____GBS214">NA()</definedName>
    <definedName name="____GBS215">NA()</definedName>
    <definedName name="____GBS216">NA()</definedName>
    <definedName name="____GBS217">NA()</definedName>
    <definedName name="____GBS218">NA()</definedName>
    <definedName name="____GBS219">NA()</definedName>
    <definedName name="____GBS22">NA()</definedName>
    <definedName name="____GBS220">NA()</definedName>
    <definedName name="____GBS221">NA()</definedName>
    <definedName name="____GBS222">NA()</definedName>
    <definedName name="____GBS223">NA()</definedName>
    <definedName name="____GBS224">NA()</definedName>
    <definedName name="____GBS23">NA()</definedName>
    <definedName name="____GBS24">NA()</definedName>
    <definedName name="____GBS25">NA()</definedName>
    <definedName name="____GBS26">NA()</definedName>
    <definedName name="____GBS27">NA()</definedName>
    <definedName name="____GBS28">NA()</definedName>
    <definedName name="____GBS29">NA()</definedName>
    <definedName name="____imp1">#REF!</definedName>
    <definedName name="____KC139">NA()</definedName>
    <definedName name="____knr2">#REF!</definedName>
    <definedName name="____l1">#REF!</definedName>
    <definedName name="____l12">#REF!</definedName>
    <definedName name="____l2">#REF!</definedName>
    <definedName name="____l3">#REF!</definedName>
    <definedName name="____l4">#REF!</definedName>
    <definedName name="____l5">#REF!</definedName>
    <definedName name="____l6">#REF!</definedName>
    <definedName name="____l7">#REF!</definedName>
    <definedName name="____l8">#REF!</definedName>
    <definedName name="____l9">#REF!</definedName>
    <definedName name="____LJ6">#REF!</definedName>
    <definedName name="____lj600">NA()</definedName>
    <definedName name="____lj900">NA()</definedName>
    <definedName name="____LL3">NA()</definedName>
    <definedName name="____LSO24">"[14]lead!#ref!"</definedName>
    <definedName name="____MA1">NA()</definedName>
    <definedName name="____MA2">NA()</definedName>
    <definedName name="____me12">NA()</definedName>
    <definedName name="____Met22">NA()</definedName>
    <definedName name="____Met45">NA()</definedName>
    <definedName name="____MEt55">NA()</definedName>
    <definedName name="____Met63">NA()</definedName>
    <definedName name="____ML21">NA()</definedName>
    <definedName name="____ML210">NA()</definedName>
    <definedName name="____ML211">NA()</definedName>
    <definedName name="____ML212">NA()</definedName>
    <definedName name="____ML213">NA()</definedName>
    <definedName name="____ML214">NA()</definedName>
    <definedName name="____ML215">NA()</definedName>
    <definedName name="____ML216">NA()</definedName>
    <definedName name="____ML217">NA()</definedName>
    <definedName name="____ML218">NA()</definedName>
    <definedName name="____ML219">NA()</definedName>
    <definedName name="____ML22">NA()</definedName>
    <definedName name="____ML220">NA()</definedName>
    <definedName name="____ML221">NA()</definedName>
    <definedName name="____ML222">NA()</definedName>
    <definedName name="____ML223">NA()</definedName>
    <definedName name="____ML224">NA()</definedName>
    <definedName name="____ML23">NA()</definedName>
    <definedName name="____ML24">NA()</definedName>
    <definedName name="____ML25">NA()</definedName>
    <definedName name="____ML26">NA()</definedName>
    <definedName name="____ML27">NA()</definedName>
    <definedName name="____ML28">NA()</definedName>
    <definedName name="____ML29">NA()</definedName>
    <definedName name="____ML31">NA()</definedName>
    <definedName name="____ML310">NA()</definedName>
    <definedName name="____ML311">NA()</definedName>
    <definedName name="____ML312">NA()</definedName>
    <definedName name="____ML313">NA()</definedName>
    <definedName name="____ML314">NA()</definedName>
    <definedName name="____ML315">NA()</definedName>
    <definedName name="____ML316">NA()</definedName>
    <definedName name="____ML317">NA()</definedName>
    <definedName name="____ML318">NA()</definedName>
    <definedName name="____ML319">NA()</definedName>
    <definedName name="____ML32">NA()</definedName>
    <definedName name="____ML320">NA()</definedName>
    <definedName name="____ML321">NA()</definedName>
    <definedName name="____ML322">NA()</definedName>
    <definedName name="____ML323">NA()</definedName>
    <definedName name="____ML324">NA()</definedName>
    <definedName name="____ML33">NA()</definedName>
    <definedName name="____ML34">NA()</definedName>
    <definedName name="____ML35">NA()</definedName>
    <definedName name="____ML36">NA()</definedName>
    <definedName name="____ML37">NA()</definedName>
    <definedName name="____ML38">NA()</definedName>
    <definedName name="____ML39">NA()</definedName>
    <definedName name="____ML7">NA()</definedName>
    <definedName name="____ML8">NA()</definedName>
    <definedName name="____ML9">NA()</definedName>
    <definedName name="____mm1">#REF!</definedName>
    <definedName name="____mm1000">NA()</definedName>
    <definedName name="____mm11">#REF!</definedName>
    <definedName name="____mm111">#REF!</definedName>
    <definedName name="____mm20">NA()</definedName>
    <definedName name="____mm40">NA()</definedName>
    <definedName name="____mm600">NA()</definedName>
    <definedName name="____mm800">NA()</definedName>
    <definedName name="____OH1">#REF!</definedName>
    <definedName name="____PC1">NA()</definedName>
    <definedName name="____PC10">NA()</definedName>
    <definedName name="____PC11">NA()</definedName>
    <definedName name="____PC12">NA()</definedName>
    <definedName name="____PC13">NA()</definedName>
    <definedName name="____PC14">NA()</definedName>
    <definedName name="____PC15">NA()</definedName>
    <definedName name="____PC16">NA()</definedName>
    <definedName name="____PC17">NA()</definedName>
    <definedName name="____PC18">NA()</definedName>
    <definedName name="____PC19">NA()</definedName>
    <definedName name="____pc2">#REF!</definedName>
    <definedName name="____PC20">NA()</definedName>
    <definedName name="____PC21">NA()</definedName>
    <definedName name="____PC22">NA()</definedName>
    <definedName name="____PC23">NA()</definedName>
    <definedName name="____PC24">NA()</definedName>
    <definedName name="____PC3">NA()</definedName>
    <definedName name="____PC4">NA()</definedName>
    <definedName name="____PC5">NA()</definedName>
    <definedName name="____PC6">NA()</definedName>
    <definedName name="____pc600">NA()</definedName>
    <definedName name="____PC7">NA()</definedName>
    <definedName name="____PC8">NA()</definedName>
    <definedName name="____PC9">NA()</definedName>
    <definedName name="____pc900">NA()</definedName>
    <definedName name="____pla4">#REF!</definedName>
    <definedName name="____pv1">NA()</definedName>
    <definedName name="____pv2">#REF!</definedName>
    <definedName name="____rr3">#REF!</definedName>
    <definedName name="____rrr1">#REF!</definedName>
    <definedName name="____S12">NA()</definedName>
    <definedName name="____SO016">NA()</definedName>
    <definedName name="____SP001">NA()</definedName>
    <definedName name="____SP002">NA()</definedName>
    <definedName name="____SP003">NA()</definedName>
    <definedName name="____SP004">NA()</definedName>
    <definedName name="____SP005">NA()</definedName>
    <definedName name="____SP006">NA()</definedName>
    <definedName name="____SP007">NA()</definedName>
    <definedName name="____SP008">NA()</definedName>
    <definedName name="____SP009">NA()</definedName>
    <definedName name="____SP010">NA()</definedName>
    <definedName name="____SP011">NA()</definedName>
    <definedName name="____SP012">NA()</definedName>
    <definedName name="____SP013">NA()</definedName>
    <definedName name="____SP014">NA()</definedName>
    <definedName name="____SP015">NA()</definedName>
    <definedName name="____SP016">NA()</definedName>
    <definedName name="____SP017">NA()</definedName>
    <definedName name="____SP018">NA()</definedName>
    <definedName name="____SP019">NA()</definedName>
    <definedName name="____SP020">NA()</definedName>
    <definedName name="____SP021">NA()</definedName>
    <definedName name="____SP022">NA()</definedName>
    <definedName name="____SP023">NA()</definedName>
    <definedName name="____SP024">NA()</definedName>
    <definedName name="____SP025">NA()</definedName>
    <definedName name="____SP026">NA()</definedName>
    <definedName name="____SP027">NA()</definedName>
    <definedName name="____SP028">NA()</definedName>
    <definedName name="____SP029">NA()</definedName>
    <definedName name="____SP030">NA()</definedName>
    <definedName name="____SP031">NA()</definedName>
    <definedName name="____SP032">NA()</definedName>
    <definedName name="____SP033">NA()</definedName>
    <definedName name="____SP034">NA()</definedName>
    <definedName name="____SP035">NA()</definedName>
    <definedName name="____SP036">NA()</definedName>
    <definedName name="____SP037">NA()</definedName>
    <definedName name="____SP038">NA()</definedName>
    <definedName name="____SP039">NA()</definedName>
    <definedName name="____SP040">NA()</definedName>
    <definedName name="____SP041">NA()</definedName>
    <definedName name="____SP042">NA()</definedName>
    <definedName name="____SP043">NA()</definedName>
    <definedName name="____SP044">NA()</definedName>
    <definedName name="____SP045">NA()</definedName>
    <definedName name="____SP046">NA()</definedName>
    <definedName name="____SP047">NA()</definedName>
    <definedName name="____SP048">NA()</definedName>
    <definedName name="____SP049">NA()</definedName>
    <definedName name="____SP050">NA()</definedName>
    <definedName name="____SP051">NA()</definedName>
    <definedName name="____SP052">NA()</definedName>
    <definedName name="____SP053">NA()</definedName>
    <definedName name="____SP054">NA()</definedName>
    <definedName name="____SP055">NA()</definedName>
    <definedName name="____SP056">NA()</definedName>
    <definedName name="____SP057">NA()</definedName>
    <definedName name="____SP058">NA()</definedName>
    <definedName name="____SP059">NA()</definedName>
    <definedName name="____SP060">NA()</definedName>
    <definedName name="____SP061">NA()</definedName>
    <definedName name="____SP062">NA()</definedName>
    <definedName name="____SP063">NA()</definedName>
    <definedName name="____SP064">NA()</definedName>
    <definedName name="____SP065">NA()</definedName>
    <definedName name="____SP066">NA()</definedName>
    <definedName name="____SP067">NA()</definedName>
    <definedName name="____SP068">NA()</definedName>
    <definedName name="____SP069">NA()</definedName>
    <definedName name="____SP070">NA()</definedName>
    <definedName name="____sp071">NA()</definedName>
    <definedName name="____SP072">NA()</definedName>
    <definedName name="____SP073">NA()</definedName>
    <definedName name="____SP074">NA()</definedName>
    <definedName name="____SP075">NA()</definedName>
    <definedName name="____SP076">NA()</definedName>
    <definedName name="____SP077">NA()</definedName>
    <definedName name="____sp078">NA()</definedName>
    <definedName name="____SP10">#REF!</definedName>
    <definedName name="____SP16">#REF!</definedName>
    <definedName name="____SP7">#REF!</definedName>
    <definedName name="____SPO79">NA()</definedName>
    <definedName name="____ss12">#REF!</definedName>
    <definedName name="____ss20">#REF!</definedName>
    <definedName name="____ss40">#REF!</definedName>
    <definedName name="____var1">#REF!</definedName>
    <definedName name="____var4">#REF!</definedName>
    <definedName name="____vat1">NA()</definedName>
    <definedName name="____vat2">NA()</definedName>
    <definedName name="____xh2256">#REF!</definedName>
    <definedName name="____xh2506">#REF!</definedName>
    <definedName name="____xh2806">#REF!</definedName>
    <definedName name="____xh3156">#REF!</definedName>
    <definedName name="____xh634">#REF!</definedName>
    <definedName name="____xk7100">#REF!</definedName>
    <definedName name="____xk7150">#REF!</definedName>
    <definedName name="____xk7250">#REF!</definedName>
    <definedName name="____xk7300">#REF!</definedName>
    <definedName name="____xlnm_Print_Titles_1">NA()</definedName>
    <definedName name="____xp11010">#REF!</definedName>
    <definedName name="____xp1104">#REF!</definedName>
    <definedName name="____xp1106">#REF!</definedName>
    <definedName name="____xp1254">#REF!</definedName>
    <definedName name="____xp1256">#REF!</definedName>
    <definedName name="____xp14010">#REF!</definedName>
    <definedName name="____xp1404">#REF!</definedName>
    <definedName name="____xp1406">#REF!</definedName>
    <definedName name="____xp1604">#REF!</definedName>
    <definedName name="____xp1606">#REF!</definedName>
    <definedName name="____xp1804">#REF!</definedName>
    <definedName name="____xp1806">#REF!</definedName>
    <definedName name="____xp2006">#REF!</definedName>
    <definedName name="____xp6310">#REF!</definedName>
    <definedName name="____xp636">#REF!</definedName>
    <definedName name="____xp7510">#REF!</definedName>
    <definedName name="____xp754">#REF!</definedName>
    <definedName name="____xp756">#REF!</definedName>
    <definedName name="____xp9010">#REF!</definedName>
    <definedName name="____xp904">#REF!</definedName>
    <definedName name="____xp906">#REF!</definedName>
    <definedName name="___bla1">#REF!</definedName>
    <definedName name="___BSG100">#REF!</definedName>
    <definedName name="___BSG150">#REF!</definedName>
    <definedName name="___BSG5">#REF!</definedName>
    <definedName name="___BSG75">#REF!</definedName>
    <definedName name="___BTC1">#REF!</definedName>
    <definedName name="___BTC10">#REF!</definedName>
    <definedName name="___BTC11">#REF!</definedName>
    <definedName name="___BTC12">#REF!</definedName>
    <definedName name="___BTC13">#REF!</definedName>
    <definedName name="___BTC14">#REF!</definedName>
    <definedName name="___BTC15">#REF!</definedName>
    <definedName name="___BTC16">#REF!</definedName>
    <definedName name="___BTC17">#REF!</definedName>
    <definedName name="___BTC18">#REF!</definedName>
    <definedName name="___BTC19">#REF!</definedName>
    <definedName name="___BTC2">#REF!</definedName>
    <definedName name="___BTC20">#REF!</definedName>
    <definedName name="___BTC21">#REF!</definedName>
    <definedName name="___BTC22">#REF!</definedName>
    <definedName name="___BTC23">#REF!</definedName>
    <definedName name="___BTC24">#REF!</definedName>
    <definedName name="___BTC3">#REF!</definedName>
    <definedName name="___BTC4">#REF!</definedName>
    <definedName name="___BTC5">#REF!</definedName>
    <definedName name="___BTC6">#REF!</definedName>
    <definedName name="___BTC7">#REF!</definedName>
    <definedName name="___BTC8">#REF!</definedName>
    <definedName name="___BTC9">#REF!</definedName>
    <definedName name="___BTR1">#REF!</definedName>
    <definedName name="___BTR10">#REF!</definedName>
    <definedName name="___BTR11">#REF!</definedName>
    <definedName name="___BTR12">#REF!</definedName>
    <definedName name="___BTR13">#REF!</definedName>
    <definedName name="___BTR14">#REF!</definedName>
    <definedName name="___BTR15">#REF!</definedName>
    <definedName name="___BTR16">#REF!</definedName>
    <definedName name="___BTR17">#REF!</definedName>
    <definedName name="___BTR18">#REF!</definedName>
    <definedName name="___BTR19">#REF!</definedName>
    <definedName name="___BTR2">#REF!</definedName>
    <definedName name="___BTR20">#REF!</definedName>
    <definedName name="___BTR21">#REF!</definedName>
    <definedName name="___BTR22">#REF!</definedName>
    <definedName name="___BTR23">#REF!</definedName>
    <definedName name="___BTR24">#REF!</definedName>
    <definedName name="___BTR3">#REF!</definedName>
    <definedName name="___BTR4">#REF!</definedName>
    <definedName name="___BTR5">#REF!</definedName>
    <definedName name="___BTR6">#REF!</definedName>
    <definedName name="___BTR7">#REF!</definedName>
    <definedName name="___BTR8">#REF!</definedName>
    <definedName name="___BTR9">#REF!</definedName>
    <definedName name="___BTS1">#REF!</definedName>
    <definedName name="___BTS10">#REF!</definedName>
    <definedName name="___BTS11">#REF!</definedName>
    <definedName name="___BTS12">#REF!</definedName>
    <definedName name="___BTS13">#REF!</definedName>
    <definedName name="___BTS14">#REF!</definedName>
    <definedName name="___BTS15">#REF!</definedName>
    <definedName name="___BTS16">#REF!</definedName>
    <definedName name="___BTS17">#REF!</definedName>
    <definedName name="___BTS18">#REF!</definedName>
    <definedName name="___BTS19">#REF!</definedName>
    <definedName name="___BTS2">#REF!</definedName>
    <definedName name="___BTS20">#REF!</definedName>
    <definedName name="___BTS21">#REF!</definedName>
    <definedName name="___BTS22">#REF!</definedName>
    <definedName name="___BTS23">#REF!</definedName>
    <definedName name="___BTS24">#REF!</definedName>
    <definedName name="___BTS3">#REF!</definedName>
    <definedName name="___BTS4">#REF!</definedName>
    <definedName name="___BTS5">#REF!</definedName>
    <definedName name="___BTS6">#REF!</definedName>
    <definedName name="___BTS7">#REF!</definedName>
    <definedName name="___BTS8">#REF!</definedName>
    <definedName name="___BTS9">#REF!</definedName>
    <definedName name="___can430">40.73</definedName>
    <definedName name="___can435">43.3</definedName>
    <definedName name="___cbr1">NA()</definedName>
    <definedName name="___cbr2">NA()</definedName>
    <definedName name="___cbr3">NA()</definedName>
    <definedName name="___cbr4">NA()</definedName>
    <definedName name="___CCW1">#REF!</definedName>
    <definedName name="___CCW2">#REF!</definedName>
    <definedName name="___cem1">NA()</definedName>
    <definedName name="___cur1">#REF!</definedName>
    <definedName name="___df3">NA()</definedName>
    <definedName name="___er1">#REF!</definedName>
    <definedName name="___ewe1">NA()</definedName>
    <definedName name="___f1">NA()</definedName>
    <definedName name="___G120907">#REF!</definedName>
    <definedName name="___GBS11">NA()</definedName>
    <definedName name="___GBS110">#REF!</definedName>
    <definedName name="___GBS111">#REF!</definedName>
    <definedName name="___GBS112">#REF!</definedName>
    <definedName name="___GBS113">#REF!</definedName>
    <definedName name="___GBS114">#REF!</definedName>
    <definedName name="___GBS115">#REF!</definedName>
    <definedName name="___GBS116">#REF!</definedName>
    <definedName name="___GBS117">#REF!</definedName>
    <definedName name="___GBS118">#REF!</definedName>
    <definedName name="___GBS119">#REF!</definedName>
    <definedName name="___GBS12">#REF!</definedName>
    <definedName name="___GBS120">#REF!</definedName>
    <definedName name="___GBS121">#REF!</definedName>
    <definedName name="___GBS122">#REF!</definedName>
    <definedName name="___GBS123">#REF!</definedName>
    <definedName name="___GBS124">#REF!</definedName>
    <definedName name="___GBS13">#REF!</definedName>
    <definedName name="___GBS14">#REF!</definedName>
    <definedName name="___GBS15">#REF!</definedName>
    <definedName name="___GBS16">#REF!</definedName>
    <definedName name="___GBS17">#REF!</definedName>
    <definedName name="___GBS18">#REF!</definedName>
    <definedName name="___GBS19">#REF!</definedName>
    <definedName name="___GBS21">#REF!</definedName>
    <definedName name="___GBS210">#REF!</definedName>
    <definedName name="___GBS211">#REF!</definedName>
    <definedName name="___GBS212">#REF!</definedName>
    <definedName name="___GBS213">#REF!</definedName>
    <definedName name="___GBS214">#REF!</definedName>
    <definedName name="___GBS215">#REF!</definedName>
    <definedName name="___GBS216">#REF!</definedName>
    <definedName name="___GBS217">#REF!</definedName>
    <definedName name="___GBS218">#REF!</definedName>
    <definedName name="___GBS219">#REF!</definedName>
    <definedName name="___GBS22">#REF!</definedName>
    <definedName name="___GBS220">#REF!</definedName>
    <definedName name="___GBS221">#REF!</definedName>
    <definedName name="___GBS222">#REF!</definedName>
    <definedName name="___GBS223">#REF!</definedName>
    <definedName name="___GBS224">#REF!</definedName>
    <definedName name="___GBS23">#REF!</definedName>
    <definedName name="___GBS24">#REF!</definedName>
    <definedName name="___GBS25">#REF!</definedName>
    <definedName name="___GBS26">#REF!</definedName>
    <definedName name="___GBS27">#REF!</definedName>
    <definedName name="___GBS28">#REF!</definedName>
    <definedName name="___GBS29">#REF!</definedName>
    <definedName name="___grp10003">NA()</definedName>
    <definedName name="___grp3503">NA()</definedName>
    <definedName name="___grp4003">NA()</definedName>
    <definedName name="___grp4503">NA()</definedName>
    <definedName name="___grp5003">NA()</definedName>
    <definedName name="___grp6003">NA()</definedName>
    <definedName name="___grp7003">NA()</definedName>
    <definedName name="___grp8003">NA()</definedName>
    <definedName name="___grp9003">NA()</definedName>
    <definedName name="___imp1">#REF!</definedName>
    <definedName name="___KC139">NA()</definedName>
    <definedName name="___knr2">#REF!</definedName>
    <definedName name="___KNR3">NA()</definedName>
    <definedName name="___l1">#REF!</definedName>
    <definedName name="___l12">#REF!</definedName>
    <definedName name="___l2">#REF!</definedName>
    <definedName name="___l3">#REF!</definedName>
    <definedName name="___l4">#REF!</definedName>
    <definedName name="___l5">#REF!</definedName>
    <definedName name="___l6">#REF!</definedName>
    <definedName name="___l7">#REF!</definedName>
    <definedName name="___l8">#REF!</definedName>
    <definedName name="___l9">#REF!</definedName>
    <definedName name="___LJ6">#REF!</definedName>
    <definedName name="___lj600">#REF!</definedName>
    <definedName name="___lj900">#REF!</definedName>
    <definedName name="___LL3">#REF!</definedName>
    <definedName name="___LSO24">"[14]lead!#ref!"</definedName>
    <definedName name="___MA1">NA()</definedName>
    <definedName name="___ma2">#REF!</definedName>
    <definedName name="___me12">#REF!</definedName>
    <definedName name="___me15">#REF!</definedName>
    <definedName name="___Met22">NA()</definedName>
    <definedName name="___Met45">NA()</definedName>
    <definedName name="___MEt55">NA()</definedName>
    <definedName name="___Met63">NA()</definedName>
    <definedName name="___ML21">#REF!</definedName>
    <definedName name="___ML210">#REF!</definedName>
    <definedName name="___ML211">#REF!</definedName>
    <definedName name="___ML212">#REF!</definedName>
    <definedName name="___ML213">#REF!</definedName>
    <definedName name="___ML214">#REF!</definedName>
    <definedName name="___ML215">#REF!</definedName>
    <definedName name="___ML216">#REF!</definedName>
    <definedName name="___ML217">#REF!</definedName>
    <definedName name="___ML218">#REF!</definedName>
    <definedName name="___ML219">#REF!</definedName>
    <definedName name="___ML22">#REF!</definedName>
    <definedName name="___ML220">#REF!</definedName>
    <definedName name="___ML221">#REF!</definedName>
    <definedName name="___ML222">#REF!</definedName>
    <definedName name="___ML223">#REF!</definedName>
    <definedName name="___ML224">#REF!</definedName>
    <definedName name="___ML23">#REF!</definedName>
    <definedName name="___ML24">#REF!</definedName>
    <definedName name="___ML25">#REF!</definedName>
    <definedName name="___ML26">#REF!</definedName>
    <definedName name="___ML27">#REF!</definedName>
    <definedName name="___ML28">#REF!</definedName>
    <definedName name="___ML29">#REF!</definedName>
    <definedName name="___ML31">#REF!</definedName>
    <definedName name="___ML310">#REF!</definedName>
    <definedName name="___ML311">#REF!</definedName>
    <definedName name="___ML312">#REF!</definedName>
    <definedName name="___ML313">#REF!</definedName>
    <definedName name="___ML314">#REF!</definedName>
    <definedName name="___ML315">#REF!</definedName>
    <definedName name="___ML316">#REF!</definedName>
    <definedName name="___ML317">#REF!</definedName>
    <definedName name="___ML318">#REF!</definedName>
    <definedName name="___ML319">#REF!</definedName>
    <definedName name="___ML32">#REF!</definedName>
    <definedName name="___ML320">#REF!</definedName>
    <definedName name="___ML321">#REF!</definedName>
    <definedName name="___ML322">#REF!</definedName>
    <definedName name="___ML323">#REF!</definedName>
    <definedName name="___ML324">#REF!</definedName>
    <definedName name="___ML33">#REF!</definedName>
    <definedName name="___ML34">#REF!</definedName>
    <definedName name="___ML35">#REF!</definedName>
    <definedName name="___ML36">#REF!</definedName>
    <definedName name="___ML37">#REF!</definedName>
    <definedName name="___ML38">#REF!</definedName>
    <definedName name="___ML39">#REF!</definedName>
    <definedName name="___ML7">#REF!</definedName>
    <definedName name="___ML8">#REF!</definedName>
    <definedName name="___ML9">#REF!</definedName>
    <definedName name="___mm1">#REF!</definedName>
    <definedName name="___mm1000">NA()</definedName>
    <definedName name="___mm11">#REF!</definedName>
    <definedName name="___mm111">#REF!</definedName>
    <definedName name="___mm20">NA()</definedName>
    <definedName name="___mm40">NA()</definedName>
    <definedName name="___mm600">NA()</definedName>
    <definedName name="___mm800">NA()</definedName>
    <definedName name="___MS6">#REF!</definedName>
    <definedName name="___ne10">#REF!</definedName>
    <definedName name="___PC1">#REF!</definedName>
    <definedName name="___PC10">#REF!</definedName>
    <definedName name="___PC11">#REF!</definedName>
    <definedName name="___PC12">#REF!</definedName>
    <definedName name="___PC13">#REF!</definedName>
    <definedName name="___PC14">#REF!</definedName>
    <definedName name="___PC15">#REF!</definedName>
    <definedName name="___PC16">#REF!</definedName>
    <definedName name="___PC17">#REF!</definedName>
    <definedName name="___PC18">#REF!</definedName>
    <definedName name="___PC19">#REF!</definedName>
    <definedName name="___pc2">#REF!</definedName>
    <definedName name="___PC20">NA()</definedName>
    <definedName name="___PC21">#REF!</definedName>
    <definedName name="___PC22">#REF!</definedName>
    <definedName name="___PC23">#REF!</definedName>
    <definedName name="___PC24">#REF!</definedName>
    <definedName name="___PC3">#REF!</definedName>
    <definedName name="___PC4">#REF!</definedName>
    <definedName name="___PC5">#REF!</definedName>
    <definedName name="___PC6">#REF!</definedName>
    <definedName name="___pc600">#REF!</definedName>
    <definedName name="___PC7">#REF!</definedName>
    <definedName name="___PC8">#REF!</definedName>
    <definedName name="___PC9">#REF!</definedName>
    <definedName name="___pc900">#REF!</definedName>
    <definedName name="___pla4">#REF!</definedName>
    <definedName name="___psc10006">NA()</definedName>
    <definedName name="___psc10008">NA()</definedName>
    <definedName name="___psc3506">NA()</definedName>
    <definedName name="___psc3508">NA()</definedName>
    <definedName name="___psc4006">NA()</definedName>
    <definedName name="___psc4008">NA()</definedName>
    <definedName name="___psc4506">NA()</definedName>
    <definedName name="___psc4508">NA()</definedName>
    <definedName name="___psc5006">NA()</definedName>
    <definedName name="___psc5008">NA()</definedName>
    <definedName name="___psc6006">NA()</definedName>
    <definedName name="___psc6008">NA()</definedName>
    <definedName name="___psc7006">NA()</definedName>
    <definedName name="___psc7008">NA()</definedName>
    <definedName name="___psc8006">NA()</definedName>
    <definedName name="___psc8008">NA()</definedName>
    <definedName name="___psc9006">NA()</definedName>
    <definedName name="___psc9008">NA()</definedName>
    <definedName name="___pv2">#REF!</definedName>
    <definedName name="___rr3">#REF!</definedName>
    <definedName name="___rrr1">#REF!</definedName>
    <definedName name="___RT5565">#REF!</definedName>
    <definedName name="___S12">NA()</definedName>
    <definedName name="___SP10">#REF!</definedName>
    <definedName name="___SP16">#REF!</definedName>
    <definedName name="___SP7">#REF!</definedName>
    <definedName name="___ss12">#REF!</definedName>
    <definedName name="___ss20">#REF!</definedName>
    <definedName name="___ss40">#REF!</definedName>
    <definedName name="___var1">#REF!</definedName>
    <definedName name="___var4">#REF!</definedName>
    <definedName name="___vat1">NA()</definedName>
    <definedName name="___vat2">NA()</definedName>
    <definedName name="___xh11010">NA()</definedName>
    <definedName name="___xh1104">NA()</definedName>
    <definedName name="___xh1106">NA()</definedName>
    <definedName name="___xh1108">NA()</definedName>
    <definedName name="___xh12510">NA()</definedName>
    <definedName name="___xh1254">NA()</definedName>
    <definedName name="___xh1256">NA()</definedName>
    <definedName name="___xh1258">NA()</definedName>
    <definedName name="___xh14010">NA()</definedName>
    <definedName name="___xh1404">NA()</definedName>
    <definedName name="___xh1406">NA()</definedName>
    <definedName name="___xh1408">NA()</definedName>
    <definedName name="___xh16010">NA()</definedName>
    <definedName name="___xh1604">NA()</definedName>
    <definedName name="___xh1606">NA()</definedName>
    <definedName name="___xh1608">NA()</definedName>
    <definedName name="___xh18010">NA()</definedName>
    <definedName name="___xh1804">NA()</definedName>
    <definedName name="___xh1806">NA()</definedName>
    <definedName name="___xh1808">NA()</definedName>
    <definedName name="___xh20010">NA()</definedName>
    <definedName name="___xh2004">NA()</definedName>
    <definedName name="___xh2006">NA()</definedName>
    <definedName name="___xh2008">NA()</definedName>
    <definedName name="___xh22510">NA()</definedName>
    <definedName name="___xh2254">NA()</definedName>
    <definedName name="___xh2256">#REF!</definedName>
    <definedName name="___xh2258">NA()</definedName>
    <definedName name="___xh25010">NA()</definedName>
    <definedName name="___xh2504">NA()</definedName>
    <definedName name="___xh2506">#REF!</definedName>
    <definedName name="___xh2508">NA()</definedName>
    <definedName name="___xh28010">NA()</definedName>
    <definedName name="___xh2804">NA()</definedName>
    <definedName name="___xh2806">#REF!</definedName>
    <definedName name="___xh2808">NA()</definedName>
    <definedName name="___xh31510">NA()</definedName>
    <definedName name="___xh3154">NA()</definedName>
    <definedName name="___xh3156">#REF!</definedName>
    <definedName name="___xh3158">NA()</definedName>
    <definedName name="___xh3554">NA()</definedName>
    <definedName name="___xh3556">NA()</definedName>
    <definedName name="___xh6310">NA()</definedName>
    <definedName name="___xh634">#REF!</definedName>
    <definedName name="___xh636">NA()</definedName>
    <definedName name="___xh638">NA()</definedName>
    <definedName name="___xh7510">NA()</definedName>
    <definedName name="___xh754">NA()</definedName>
    <definedName name="___xh756">NA()</definedName>
    <definedName name="___xh758">NA()</definedName>
    <definedName name="___xh9010">NA()</definedName>
    <definedName name="___xh904">NA()</definedName>
    <definedName name="___xh906">NA()</definedName>
    <definedName name="___xh908">NA()</definedName>
    <definedName name="___xk7100">#REF!</definedName>
    <definedName name="___xk7150">#REF!</definedName>
    <definedName name="___xk7200">NA()</definedName>
    <definedName name="___xk7250">#REF!</definedName>
    <definedName name="___xk7300">#REF!</definedName>
    <definedName name="___xk7350">NA()</definedName>
    <definedName name="___xk7400">NA()</definedName>
    <definedName name="___xk7450">NA()</definedName>
    <definedName name="___xk7500">NA()</definedName>
    <definedName name="___xk7600">NA()</definedName>
    <definedName name="___xk9100">NA()</definedName>
    <definedName name="___xk91000">NA()</definedName>
    <definedName name="___xk9150">NA()</definedName>
    <definedName name="___xk9200">NA()</definedName>
    <definedName name="___xk9250">NA()</definedName>
    <definedName name="___xk9300">NA()</definedName>
    <definedName name="___xk9350">NA()</definedName>
    <definedName name="___xk9400">NA()</definedName>
    <definedName name="___xk9450">NA()</definedName>
    <definedName name="___xk9500">NA()</definedName>
    <definedName name="___xk9600">NA()</definedName>
    <definedName name="___xk9700">NA()</definedName>
    <definedName name="___xk9750">NA()</definedName>
    <definedName name="___xk9800">NA()</definedName>
    <definedName name="___xk9900">NA()</definedName>
    <definedName name="___xlfn_BAHTTEXT">NA()</definedName>
    <definedName name="___xlfn_ISFORMULA">NA()</definedName>
    <definedName name="___xlnm_Database">NA()</definedName>
    <definedName name="___xlnm_Print_Area">NA()</definedName>
    <definedName name="___xlnm_Print_Titles">NA()</definedName>
    <definedName name="___xlnm_Print_Titles_1">NA()</definedName>
    <definedName name="___xp11010">#REF!</definedName>
    <definedName name="___xp1104">#REF!</definedName>
    <definedName name="___xp1106">#REF!</definedName>
    <definedName name="___xp12510">NA()</definedName>
    <definedName name="___xp1254">#REF!</definedName>
    <definedName name="___xp1256">#REF!</definedName>
    <definedName name="___xp14010">#REF!</definedName>
    <definedName name="___xp1404">#REF!</definedName>
    <definedName name="___xp1406">#REF!</definedName>
    <definedName name="___xp16010">NA()</definedName>
    <definedName name="___xp1604">#REF!</definedName>
    <definedName name="___xp1606">#REF!</definedName>
    <definedName name="___xp18010">NA()</definedName>
    <definedName name="___xp1804">#REF!</definedName>
    <definedName name="___xp1806">#REF!</definedName>
    <definedName name="___xp20010">NA()</definedName>
    <definedName name="___xp2004">NA()</definedName>
    <definedName name="___xp2006">#REF!</definedName>
    <definedName name="___xp22510">NA()</definedName>
    <definedName name="___xp2254">NA()</definedName>
    <definedName name="___xp2256">NA()</definedName>
    <definedName name="___xp25010">NA()</definedName>
    <definedName name="___xp2504">NA()</definedName>
    <definedName name="___xp2506">NA()</definedName>
    <definedName name="___xp28010">NA()</definedName>
    <definedName name="___xp2804">NA()</definedName>
    <definedName name="___xp2806">NA()</definedName>
    <definedName name="___xp31510">NA()</definedName>
    <definedName name="___xp3154">NA()</definedName>
    <definedName name="___xp3156">NA()</definedName>
    <definedName name="___xp6310">#REF!</definedName>
    <definedName name="___xp634">NA()</definedName>
    <definedName name="___xp636">#REF!</definedName>
    <definedName name="___xp7510">#REF!</definedName>
    <definedName name="___xp754">#REF!</definedName>
    <definedName name="___xp756">#REF!</definedName>
    <definedName name="___xp9010">#REF!</definedName>
    <definedName name="___xp904">#REF!</definedName>
    <definedName name="___xp906">#REF!</definedName>
    <definedName name="__atw2">#REF!</definedName>
    <definedName name="__AUX1">#REF!</definedName>
    <definedName name="__AUX111">#REF!</definedName>
    <definedName name="__aux2">#REF!</definedName>
    <definedName name="__AUX3">#REF!</definedName>
    <definedName name="__bla1">#REF!</definedName>
    <definedName name="__BSG100">NA()</definedName>
    <definedName name="__BSG150">NA()</definedName>
    <definedName name="__BSG5">NA()</definedName>
    <definedName name="__BSG75">NA()</definedName>
    <definedName name="__BTC1">NA()</definedName>
    <definedName name="__BTC10">NA()</definedName>
    <definedName name="__BTC11">NA()</definedName>
    <definedName name="__BTC12">NA()</definedName>
    <definedName name="__BTC13">NA()</definedName>
    <definedName name="__BTC14">NA()</definedName>
    <definedName name="__BTC15">NA()</definedName>
    <definedName name="__BTC16">NA()</definedName>
    <definedName name="__BTC17">NA()</definedName>
    <definedName name="__BTC18">NA()</definedName>
    <definedName name="__BTC19">NA()</definedName>
    <definedName name="__BTC2">NA()</definedName>
    <definedName name="__BTC20">NA()</definedName>
    <definedName name="__BTC21">NA()</definedName>
    <definedName name="__BTC22">NA()</definedName>
    <definedName name="__BTC23">NA()</definedName>
    <definedName name="__BTC24">NA()</definedName>
    <definedName name="__BTC3">NA()</definedName>
    <definedName name="__BTC4">NA()</definedName>
    <definedName name="__BTC5">NA()</definedName>
    <definedName name="__BTC6">NA()</definedName>
    <definedName name="__BTC7">NA()</definedName>
    <definedName name="__BTC8">NA()</definedName>
    <definedName name="__BTC9">NA()</definedName>
    <definedName name="__BTR1">NA()</definedName>
    <definedName name="__BTR10">NA()</definedName>
    <definedName name="__BTR11">NA()</definedName>
    <definedName name="__BTR12">NA()</definedName>
    <definedName name="__BTR13">NA()</definedName>
    <definedName name="__BTR14">NA()</definedName>
    <definedName name="__BTR15">NA()</definedName>
    <definedName name="__BTR16">NA()</definedName>
    <definedName name="__BTR17">NA()</definedName>
    <definedName name="__BTR18">NA()</definedName>
    <definedName name="__BTR19">NA()</definedName>
    <definedName name="__BTR2">NA()</definedName>
    <definedName name="__BTR20">NA()</definedName>
    <definedName name="__BTR21">NA()</definedName>
    <definedName name="__BTR22">NA()</definedName>
    <definedName name="__BTR23">NA()</definedName>
    <definedName name="__BTR24">NA()</definedName>
    <definedName name="__BTR3">NA()</definedName>
    <definedName name="__BTR4">NA()</definedName>
    <definedName name="__BTR5">NA()</definedName>
    <definedName name="__BTR6">NA()</definedName>
    <definedName name="__BTR7">NA()</definedName>
    <definedName name="__BTR8">NA()</definedName>
    <definedName name="__BTR9">NA()</definedName>
    <definedName name="__BTS1">NA()</definedName>
    <definedName name="__BTS10">NA()</definedName>
    <definedName name="__BTS11">NA()</definedName>
    <definedName name="__BTS12">NA()</definedName>
    <definedName name="__BTS13">NA()</definedName>
    <definedName name="__BTS14">NA()</definedName>
    <definedName name="__BTS15">NA()</definedName>
    <definedName name="__BTS16">NA()</definedName>
    <definedName name="__BTS17">NA()</definedName>
    <definedName name="__BTS18">NA()</definedName>
    <definedName name="__BTS19">NA()</definedName>
    <definedName name="__BTS2">NA()</definedName>
    <definedName name="__BTS20">NA()</definedName>
    <definedName name="__BTS21">NA()</definedName>
    <definedName name="__BTS22">NA()</definedName>
    <definedName name="__BTS23">NA()</definedName>
    <definedName name="__BTS24">NA()</definedName>
    <definedName name="__BTS3">NA()</definedName>
    <definedName name="__BTS4">NA()</definedName>
    <definedName name="__BTS5">NA()</definedName>
    <definedName name="__BTS6">NA()</definedName>
    <definedName name="__BTS7">NA()</definedName>
    <definedName name="__BTS8">NA()</definedName>
    <definedName name="__BTS9">NA()</definedName>
    <definedName name="__can430">40.73</definedName>
    <definedName name="__can435">43.3</definedName>
    <definedName name="__cbr1">NA()</definedName>
    <definedName name="__cbr2">NA()</definedName>
    <definedName name="__cbr3">NA()</definedName>
    <definedName name="__cbr4">NA()</definedName>
    <definedName name="__CCW1">#REF!</definedName>
    <definedName name="__CCW2">#REF!</definedName>
    <definedName name="__cur1">#REF!</definedName>
    <definedName name="__dem2">NA()</definedName>
    <definedName name="__df3">NA()</definedName>
    <definedName name="__er1">#REF!</definedName>
    <definedName name="__ewe1">NA()</definedName>
    <definedName name="__f1">NA()</definedName>
    <definedName name="__G120907">#REF!</definedName>
    <definedName name="__GBS11">NA()</definedName>
    <definedName name="__GBS110">NA()</definedName>
    <definedName name="__GBS111">NA()</definedName>
    <definedName name="__GBS112">NA()</definedName>
    <definedName name="__GBS113">NA()</definedName>
    <definedName name="__GBS114">NA()</definedName>
    <definedName name="__GBS115">NA()</definedName>
    <definedName name="__GBS116">NA()</definedName>
    <definedName name="__GBS117">NA()</definedName>
    <definedName name="__GBS118">NA()</definedName>
    <definedName name="__GBS119">NA()</definedName>
    <definedName name="__GBS12">NA()</definedName>
    <definedName name="__GBS120">NA()</definedName>
    <definedName name="__GBS121">NA()</definedName>
    <definedName name="__GBS122">NA()</definedName>
    <definedName name="__GBS123">NA()</definedName>
    <definedName name="__GBS124">NA()</definedName>
    <definedName name="__GBS13">NA()</definedName>
    <definedName name="__GBS14">NA()</definedName>
    <definedName name="__GBS15">NA()</definedName>
    <definedName name="__GBS16">NA()</definedName>
    <definedName name="__GBS17">NA()</definedName>
    <definedName name="__GBS18">NA()</definedName>
    <definedName name="__GBS19">NA()</definedName>
    <definedName name="__GBS21">NA()</definedName>
    <definedName name="__GBS210">NA()</definedName>
    <definedName name="__GBS211">NA()</definedName>
    <definedName name="__GBS212">NA()</definedName>
    <definedName name="__GBS213">NA()</definedName>
    <definedName name="__GBS214">NA()</definedName>
    <definedName name="__GBS215">NA()</definedName>
    <definedName name="__GBS216">NA()</definedName>
    <definedName name="__GBS217">NA()</definedName>
    <definedName name="__GBS218">NA()</definedName>
    <definedName name="__GBS219">NA()</definedName>
    <definedName name="__GBS22">NA()</definedName>
    <definedName name="__GBS220">NA()</definedName>
    <definedName name="__GBS221">NA()</definedName>
    <definedName name="__GBS222">NA()</definedName>
    <definedName name="__GBS223">NA()</definedName>
    <definedName name="__GBS224">NA()</definedName>
    <definedName name="__GBS23">NA()</definedName>
    <definedName name="__GBS24">NA()</definedName>
    <definedName name="__GBS25">NA()</definedName>
    <definedName name="__GBS26">NA()</definedName>
    <definedName name="__GBS27">NA()</definedName>
    <definedName name="__GBS28">NA()</definedName>
    <definedName name="__GBS29">NA()</definedName>
    <definedName name="__grp10003">NA()</definedName>
    <definedName name="__grp3503">NA()</definedName>
    <definedName name="__grp4003">NA()</definedName>
    <definedName name="__grp4503">NA()</definedName>
    <definedName name="__grp5003">NA()</definedName>
    <definedName name="__grp6003">NA()</definedName>
    <definedName name="__grp7003">NA()</definedName>
    <definedName name="__grp8003">NA()</definedName>
    <definedName name="__grp9003">NA()</definedName>
    <definedName name="__gus1">NA()</definedName>
    <definedName name="__hpm1">#REF!</definedName>
    <definedName name="__imp1">#REF!</definedName>
    <definedName name="__IRC12">#REF!</definedName>
    <definedName name="__IRC19">#REF!</definedName>
    <definedName name="__IRC25">#REF!</definedName>
    <definedName name="__IRC40">#REF!</definedName>
    <definedName name="__IRC5">#REF!</definedName>
    <definedName name="__IRC50">#REF!</definedName>
    <definedName name="__IRC60">#REF!</definedName>
    <definedName name="__IRC9">#REF!</definedName>
    <definedName name="__k1">NA()</definedName>
    <definedName name="__KC139">NA()</definedName>
    <definedName name="__KC580">NA()</definedName>
    <definedName name="__knr2">#REF!</definedName>
    <definedName name="__KNR3">NA()</definedName>
    <definedName name="__l1">#REF!</definedName>
    <definedName name="__l12">#REF!</definedName>
    <definedName name="__l2">#REF!</definedName>
    <definedName name="__l3">#REF!</definedName>
    <definedName name="__l4">#REF!</definedName>
    <definedName name="__l5">#REF!</definedName>
    <definedName name="__l6">#REF!</definedName>
    <definedName name="__l7">#REF!</definedName>
    <definedName name="__l8">#REF!</definedName>
    <definedName name="__l9">#REF!</definedName>
    <definedName name="__lcn1">#REF!</definedName>
    <definedName name="__LJ6">#REF!</definedName>
    <definedName name="__lj600">NA()</definedName>
    <definedName name="__lj900">NA()</definedName>
    <definedName name="__LL3">NA()</definedName>
    <definedName name="__lm1">NA()</definedName>
    <definedName name="__LSO24">"[14]lead!#ref!"</definedName>
    <definedName name="__ma1">#REF!</definedName>
    <definedName name="__ma2">NA()</definedName>
    <definedName name="__me12">#REF!</definedName>
    <definedName name="__me20">#REF!</definedName>
    <definedName name="__me40">#REF!</definedName>
    <definedName name="__Met22">NA()</definedName>
    <definedName name="__Met45">NA()</definedName>
    <definedName name="__MEt55">NA()</definedName>
    <definedName name="__Met63">NA()</definedName>
    <definedName name="__ML21">NA()</definedName>
    <definedName name="__ML210">NA()</definedName>
    <definedName name="__ML211">NA()</definedName>
    <definedName name="__ML212">NA()</definedName>
    <definedName name="__ML213">NA()</definedName>
    <definedName name="__ML214">NA()</definedName>
    <definedName name="__ML215">NA()</definedName>
    <definedName name="__ML216">NA()</definedName>
    <definedName name="__ML217">NA()</definedName>
    <definedName name="__ML218">NA()</definedName>
    <definedName name="__ML219">NA()</definedName>
    <definedName name="__ML22">NA()</definedName>
    <definedName name="__ML220">NA()</definedName>
    <definedName name="__ML221">NA()</definedName>
    <definedName name="__ML222">NA()</definedName>
    <definedName name="__ML223">NA()</definedName>
    <definedName name="__ML224">NA()</definedName>
    <definedName name="__ML23">NA()</definedName>
    <definedName name="__ML24">NA()</definedName>
    <definedName name="__ML25">NA()</definedName>
    <definedName name="__ML26">NA()</definedName>
    <definedName name="__ML27">NA()</definedName>
    <definedName name="__ML28">NA()</definedName>
    <definedName name="__ML29">NA()</definedName>
    <definedName name="__ML31">NA()</definedName>
    <definedName name="__ML310">NA()</definedName>
    <definedName name="__ML311">NA()</definedName>
    <definedName name="__ML312">NA()</definedName>
    <definedName name="__ML313">NA()</definedName>
    <definedName name="__ML314">NA()</definedName>
    <definedName name="__ML315">NA()</definedName>
    <definedName name="__ML316">NA()</definedName>
    <definedName name="__ML317">NA()</definedName>
    <definedName name="__ML318">NA()</definedName>
    <definedName name="__ML319">NA()</definedName>
    <definedName name="__ML32">NA()</definedName>
    <definedName name="__ML320">NA()</definedName>
    <definedName name="__ML321">NA()</definedName>
    <definedName name="__ML322">NA()</definedName>
    <definedName name="__ML323">NA()</definedName>
    <definedName name="__ML324">NA()</definedName>
    <definedName name="__ML33">NA()</definedName>
    <definedName name="__ML34">NA()</definedName>
    <definedName name="__ML35">NA()</definedName>
    <definedName name="__ML36">NA()</definedName>
    <definedName name="__ML37">NA()</definedName>
    <definedName name="__ML38">NA()</definedName>
    <definedName name="__ML39">NA()</definedName>
    <definedName name="__ML7">NA()</definedName>
    <definedName name="__ML8">NA()</definedName>
    <definedName name="__ML9">NA()</definedName>
    <definedName name="__mm1">#REF!</definedName>
    <definedName name="__mm1000">NA()</definedName>
    <definedName name="__mm11">#REF!</definedName>
    <definedName name="__mm111">#REF!</definedName>
    <definedName name="__mm20">NA()</definedName>
    <definedName name="__mm40">NA()</definedName>
    <definedName name="__mm600">NA()</definedName>
    <definedName name="__mm800">NA()</definedName>
    <definedName name="__MS6">#REF!</definedName>
    <definedName name="__MT1">NA()</definedName>
    <definedName name="__MT10">NA()</definedName>
    <definedName name="__MT100">NA()</definedName>
    <definedName name="__MT101">NA()</definedName>
    <definedName name="__MT102">NA()</definedName>
    <definedName name="__MT103">NA()</definedName>
    <definedName name="__MT104">NA()</definedName>
    <definedName name="__MT105">NA()</definedName>
    <definedName name="__MT106">NA()</definedName>
    <definedName name="__MT107">NA()</definedName>
    <definedName name="__MT108">NA()</definedName>
    <definedName name="__MT109">NA()</definedName>
    <definedName name="__MT11">NA()</definedName>
    <definedName name="__MT110">NA()</definedName>
    <definedName name="__MT111">NA()</definedName>
    <definedName name="__MT112">NA()</definedName>
    <definedName name="__MT113">NA()</definedName>
    <definedName name="__MT114">NA()</definedName>
    <definedName name="__MT115">NA()</definedName>
    <definedName name="__MT116">NA()</definedName>
    <definedName name="__MT117">NA()</definedName>
    <definedName name="__MT118">NA()</definedName>
    <definedName name="__MT119">NA()</definedName>
    <definedName name="__MT12">NA()</definedName>
    <definedName name="__MT120">NA()</definedName>
    <definedName name="__MT121">NA()</definedName>
    <definedName name="__MT122">NA()</definedName>
    <definedName name="__MT123">NA()</definedName>
    <definedName name="__MT124">NA()</definedName>
    <definedName name="__MT125">NA()</definedName>
    <definedName name="__MT126">NA()</definedName>
    <definedName name="__MT127">NA()</definedName>
    <definedName name="__MT128">NA()</definedName>
    <definedName name="__MT129">NA()</definedName>
    <definedName name="__MT13">NA()</definedName>
    <definedName name="__MT130">NA()</definedName>
    <definedName name="__MT131">NA()</definedName>
    <definedName name="__MT132">NA()</definedName>
    <definedName name="__MT133">NA()</definedName>
    <definedName name="__MT134">NA()</definedName>
    <definedName name="__MT135">NA()</definedName>
    <definedName name="__MT136">NA()</definedName>
    <definedName name="__MT137">NA()</definedName>
    <definedName name="__MT138">NA()</definedName>
    <definedName name="__MT139">NA()</definedName>
    <definedName name="__MT14">NA()</definedName>
    <definedName name="__MT140">NA()</definedName>
    <definedName name="__MT141">NA()</definedName>
    <definedName name="__MT142">NA()</definedName>
    <definedName name="__MT143">NA()</definedName>
    <definedName name="__MT144">NA()</definedName>
    <definedName name="__MT145">NA()</definedName>
    <definedName name="__MT146">NA()</definedName>
    <definedName name="__MT147">NA()</definedName>
    <definedName name="__MT148">NA()</definedName>
    <definedName name="__MT149">NA()</definedName>
    <definedName name="__MT15">NA()</definedName>
    <definedName name="__MT150">NA()</definedName>
    <definedName name="__MT16">NA()</definedName>
    <definedName name="__MT17">NA()</definedName>
    <definedName name="__MT18">NA()</definedName>
    <definedName name="__MT19">NA()</definedName>
    <definedName name="__MT2">NA()</definedName>
    <definedName name="__MT20">NA()</definedName>
    <definedName name="__MT21">NA()</definedName>
    <definedName name="__MT22">NA()</definedName>
    <definedName name="__MT23">NA()</definedName>
    <definedName name="__MT24">NA()</definedName>
    <definedName name="__MT25">NA()</definedName>
    <definedName name="__MT26">NA()</definedName>
    <definedName name="__MT27">NA()</definedName>
    <definedName name="__MT28">NA()</definedName>
    <definedName name="__MT29">NA()</definedName>
    <definedName name="__MT3">NA()</definedName>
    <definedName name="__MT30">NA()</definedName>
    <definedName name="__MT31">NA()</definedName>
    <definedName name="__MT32">NA()</definedName>
    <definedName name="__MT33">NA()</definedName>
    <definedName name="__MT34">NA()</definedName>
    <definedName name="__MT35">NA()</definedName>
    <definedName name="__MT36">NA()</definedName>
    <definedName name="__MT37">NA()</definedName>
    <definedName name="__MT38">NA()</definedName>
    <definedName name="__MT39">NA()</definedName>
    <definedName name="__MT4">NA()</definedName>
    <definedName name="__MT40">NA()</definedName>
    <definedName name="__MT41">NA()</definedName>
    <definedName name="__MT42">NA()</definedName>
    <definedName name="__MT43">NA()</definedName>
    <definedName name="__MT44">NA()</definedName>
    <definedName name="__MT45">NA()</definedName>
    <definedName name="__MT46">NA()</definedName>
    <definedName name="__MT47">NA()</definedName>
    <definedName name="__MT48">NA()</definedName>
    <definedName name="__MT49">NA()</definedName>
    <definedName name="__MT5">NA()</definedName>
    <definedName name="__MT50">NA()</definedName>
    <definedName name="__MT500">NA()</definedName>
    <definedName name="__MT51">NA()</definedName>
    <definedName name="__MT52">NA()</definedName>
    <definedName name="__MT53">NA()</definedName>
    <definedName name="__MT54">NA()</definedName>
    <definedName name="__MT55">NA()</definedName>
    <definedName name="__MT56">NA()</definedName>
    <definedName name="__MT57">NA()</definedName>
    <definedName name="__MT58">NA()</definedName>
    <definedName name="__MT59">NA()</definedName>
    <definedName name="__MT6">NA()</definedName>
    <definedName name="__MT60">NA()</definedName>
    <definedName name="__MT61">NA()</definedName>
    <definedName name="__MT62">NA()</definedName>
    <definedName name="__MT63">NA()</definedName>
    <definedName name="__MT64">NA()</definedName>
    <definedName name="__MT65">NA()</definedName>
    <definedName name="__MT66">NA()</definedName>
    <definedName name="__MT67">NA()</definedName>
    <definedName name="__MT68">NA()</definedName>
    <definedName name="__MT69">NA()</definedName>
    <definedName name="__MT7">NA()</definedName>
    <definedName name="__MT70">NA()</definedName>
    <definedName name="__MT71">NA()</definedName>
    <definedName name="__MT72">NA()</definedName>
    <definedName name="__MT73">NA()</definedName>
    <definedName name="__MT74">NA()</definedName>
    <definedName name="__MT75">NA()</definedName>
    <definedName name="__MT76">NA()</definedName>
    <definedName name="__MT77">NA()</definedName>
    <definedName name="__MT78">NA()</definedName>
    <definedName name="__MT79">NA()</definedName>
    <definedName name="__MT8">NA()</definedName>
    <definedName name="__MT80">NA()</definedName>
    <definedName name="__MT81">NA()</definedName>
    <definedName name="__MT82">NA()</definedName>
    <definedName name="__MT83">NA()</definedName>
    <definedName name="__MT84">NA()</definedName>
    <definedName name="__MT85">NA()</definedName>
    <definedName name="__MT86">NA()</definedName>
    <definedName name="__MT87">NA()</definedName>
    <definedName name="__MT88">NA()</definedName>
    <definedName name="__MT89">NA()</definedName>
    <definedName name="__MT9">NA()</definedName>
    <definedName name="__MT90">NA()</definedName>
    <definedName name="__MT91">NA()</definedName>
    <definedName name="__MT92">NA()</definedName>
    <definedName name="__MT93">NA()</definedName>
    <definedName name="__MT94">NA()</definedName>
    <definedName name="__MT95">NA()</definedName>
    <definedName name="__MT96">NA()</definedName>
    <definedName name="__MT97">NA()</definedName>
    <definedName name="__MT98">NA()</definedName>
    <definedName name="__MT99">NA()</definedName>
    <definedName name="__OH1">#REF!</definedName>
    <definedName name="__p5">NA()</definedName>
    <definedName name="__PC1">NA()</definedName>
    <definedName name="__PC10">NA()</definedName>
    <definedName name="__PC11">NA()</definedName>
    <definedName name="__PC12">NA()</definedName>
    <definedName name="__PC13">NA()</definedName>
    <definedName name="__PC14">NA()</definedName>
    <definedName name="__PC15">NA()</definedName>
    <definedName name="__PC16">NA()</definedName>
    <definedName name="__PC17">NA()</definedName>
    <definedName name="__PC18">NA()</definedName>
    <definedName name="__PC19">NA()</definedName>
    <definedName name="__pc2">#REF!</definedName>
    <definedName name="__PC20">NA()</definedName>
    <definedName name="__PC21">NA()</definedName>
    <definedName name="__PC22">NA()</definedName>
    <definedName name="__PC23">NA()</definedName>
    <definedName name="__PC24">NA()</definedName>
    <definedName name="__PC3">NA()</definedName>
    <definedName name="__PC4">NA()</definedName>
    <definedName name="__PC5">NA()</definedName>
    <definedName name="__PC6">NA()</definedName>
    <definedName name="__pc600">NA()</definedName>
    <definedName name="__PC7">NA()</definedName>
    <definedName name="__PC8">NA()</definedName>
    <definedName name="__PC9">NA()</definedName>
    <definedName name="__pc900">NA()</definedName>
    <definedName name="__pla4">#REF!</definedName>
    <definedName name="__PPA14">NA()</definedName>
    <definedName name="__PPB154">NA()</definedName>
    <definedName name="__PPB155">NA()</definedName>
    <definedName name="__PPB16">NA()</definedName>
    <definedName name="__PPB17">NA()</definedName>
    <definedName name="__PPB18">NA()</definedName>
    <definedName name="__PPB19">NA()</definedName>
    <definedName name="__PPB2">NA()</definedName>
    <definedName name="__PPB20">NA()</definedName>
    <definedName name="__PPB21">NA()</definedName>
    <definedName name="__PPB22">NA()</definedName>
    <definedName name="__PPB23">NA()</definedName>
    <definedName name="__PPB24">NA()</definedName>
    <definedName name="__PPB25">NA()</definedName>
    <definedName name="__PPB26">NA()</definedName>
    <definedName name="__PPB27">NA()</definedName>
    <definedName name="__PPB28">NA()</definedName>
    <definedName name="__PPB29">NA()</definedName>
    <definedName name="__PPB3">NA()</definedName>
    <definedName name="__PPB30">NA()</definedName>
    <definedName name="__PPB31">NA()</definedName>
    <definedName name="__PPB32">NA()</definedName>
    <definedName name="__PPB33">NA()</definedName>
    <definedName name="__PPB34">NA()</definedName>
    <definedName name="__PPB35">NA()</definedName>
    <definedName name="__PPB36">NA()</definedName>
    <definedName name="__PPB37">NA()</definedName>
    <definedName name="__PPB38">NA()</definedName>
    <definedName name="__PPB39">NA()</definedName>
    <definedName name="__PPB4">NA()</definedName>
    <definedName name="__PPB40">NA()</definedName>
    <definedName name="__PPB41">NA()</definedName>
    <definedName name="__PPB42">NA()</definedName>
    <definedName name="__PPB43">NA()</definedName>
    <definedName name="__PPB44">NA()</definedName>
    <definedName name="__PPB45">NA()</definedName>
    <definedName name="__PPB46">NA()</definedName>
    <definedName name="__PPB47">NA()</definedName>
    <definedName name="__PPB48">NA()</definedName>
    <definedName name="__PPB49">NA()</definedName>
    <definedName name="__PPB5">NA()</definedName>
    <definedName name="__PPB50">NA()</definedName>
    <definedName name="__PPB51">NA()</definedName>
    <definedName name="__PPB52">NA()</definedName>
    <definedName name="__PPB53">NA()</definedName>
    <definedName name="__PPB54">NA()</definedName>
    <definedName name="__PPB55">NA()</definedName>
    <definedName name="__PPB56">NA()</definedName>
    <definedName name="__PPB57">NA()</definedName>
    <definedName name="__PPB58">NA()</definedName>
    <definedName name="__PPB59">NA()</definedName>
    <definedName name="__PPB6">NA()</definedName>
    <definedName name="__PPB60">NA()</definedName>
    <definedName name="__PPB61">NA()</definedName>
    <definedName name="__PPB62">NA()</definedName>
    <definedName name="__PPB63">NA()</definedName>
    <definedName name="__PPB64">NA()</definedName>
    <definedName name="__PPB65">NA()</definedName>
    <definedName name="__PPB66">NA()</definedName>
    <definedName name="__PPB67">NA()</definedName>
    <definedName name="__PPB68">NA()</definedName>
    <definedName name="__PPB69">NA()</definedName>
    <definedName name="__PPB7">NA()</definedName>
    <definedName name="__PPB70">NA()</definedName>
    <definedName name="__PPB71">NA()</definedName>
    <definedName name="__PPB72">NA()</definedName>
    <definedName name="__PPB73">NA()</definedName>
    <definedName name="__PPB74">NA()</definedName>
    <definedName name="__PPB75">NA()</definedName>
    <definedName name="__PPB76">NA()</definedName>
    <definedName name="__PPB77">NA()</definedName>
    <definedName name="__PPB78">NA()</definedName>
    <definedName name="__PPB79">NA()</definedName>
    <definedName name="__PPB8">NA()</definedName>
    <definedName name="__PPB80">NA()</definedName>
    <definedName name="__PPB81">NA()</definedName>
    <definedName name="__PPB82">NA()</definedName>
    <definedName name="__PPB83">NA()</definedName>
    <definedName name="__PPB84">NA()</definedName>
    <definedName name="__PPB85">NA()</definedName>
    <definedName name="__PPB86">NA()</definedName>
    <definedName name="__PPB87">NA()</definedName>
    <definedName name="__PPB88">NA()</definedName>
    <definedName name="__PPB89">NA()</definedName>
    <definedName name="__PPB9">NA()</definedName>
    <definedName name="__PPB90">NA()</definedName>
    <definedName name="__PPB91">NA()</definedName>
    <definedName name="__PPB92">NA()</definedName>
    <definedName name="__PPB93">NA()</definedName>
    <definedName name="__PPB94">NA()</definedName>
    <definedName name="__PPB95">NA()</definedName>
    <definedName name="__PPB96">NA()</definedName>
    <definedName name="__PPB97">NA()</definedName>
    <definedName name="__PPB98">NA()</definedName>
    <definedName name="__PPB99">NA()</definedName>
    <definedName name="__PPC1">NA()</definedName>
    <definedName name="__PPC10">NA()</definedName>
    <definedName name="__PPC100">NA()</definedName>
    <definedName name="__PPC101">NA()</definedName>
    <definedName name="__PPC102">NA()</definedName>
    <definedName name="__PPC103">NA()</definedName>
    <definedName name="__PPC104">NA()</definedName>
    <definedName name="__PPC105">NA()</definedName>
    <definedName name="__PPC106">NA()</definedName>
    <definedName name="__PPC107">NA()</definedName>
    <definedName name="__PPC108">NA()</definedName>
    <definedName name="__PPC109">NA()</definedName>
    <definedName name="__PPC11">NA()</definedName>
    <definedName name="__PPC110">NA()</definedName>
    <definedName name="__PPC111">NA()</definedName>
    <definedName name="__PPC112">NA()</definedName>
    <definedName name="__PPC113">NA()</definedName>
    <definedName name="__PPC114">NA()</definedName>
    <definedName name="__PPC115">NA()</definedName>
    <definedName name="__PPC116">NA()</definedName>
    <definedName name="__PPC117">NA()</definedName>
    <definedName name="__PPC118">NA()</definedName>
    <definedName name="__PPC119">NA()</definedName>
    <definedName name="__PPC12">NA()</definedName>
    <definedName name="__PPC120">NA()</definedName>
    <definedName name="__PPC121">NA()</definedName>
    <definedName name="__PPC122">NA()</definedName>
    <definedName name="__PPC123">NA()</definedName>
    <definedName name="__PPC124">NA()</definedName>
    <definedName name="__PPC125">NA()</definedName>
    <definedName name="__PPC126">NA()</definedName>
    <definedName name="__PPC127">NA()</definedName>
    <definedName name="__PPC128">NA()</definedName>
    <definedName name="__PPC129">NA()</definedName>
    <definedName name="__PPC13">NA()</definedName>
    <definedName name="__PPC130">NA()</definedName>
    <definedName name="__PPC131">NA()</definedName>
    <definedName name="__PPC132">NA()</definedName>
    <definedName name="__PPC133">NA()</definedName>
    <definedName name="__PPC134">NA()</definedName>
    <definedName name="__PPC135">NA()</definedName>
    <definedName name="__PPC136">NA()</definedName>
    <definedName name="__PPC137">NA()</definedName>
    <definedName name="__PPC138">NA()</definedName>
    <definedName name="__PPC139">NA()</definedName>
    <definedName name="__PPC14">NA()</definedName>
    <definedName name="__PPC140">NA()</definedName>
    <definedName name="__PPC141">NA()</definedName>
    <definedName name="__PPC142">NA()</definedName>
    <definedName name="__PPC143">NA()</definedName>
    <definedName name="__PPC144">NA()</definedName>
    <definedName name="__PPC145">NA()</definedName>
    <definedName name="__PPC146">NA()</definedName>
    <definedName name="__PPC147">NA()</definedName>
    <definedName name="__PPC148">NA()</definedName>
    <definedName name="__PPC149">NA()</definedName>
    <definedName name="__PPC15">NA()</definedName>
    <definedName name="__PPC150">NA()</definedName>
    <definedName name="__PPC151">NA()</definedName>
    <definedName name="__PPC152">NA()</definedName>
    <definedName name="__PPC153">NA()</definedName>
    <definedName name="__PPC154">NA()</definedName>
    <definedName name="__PPC155">NA()</definedName>
    <definedName name="__PPC16">NA()</definedName>
    <definedName name="__PPC17">NA()</definedName>
    <definedName name="__PPC18">NA()</definedName>
    <definedName name="__PPC19">NA()</definedName>
    <definedName name="__PPC2">NA()</definedName>
    <definedName name="__PPC20">NA()</definedName>
    <definedName name="__PPC21">NA()</definedName>
    <definedName name="__PPC22">NA()</definedName>
    <definedName name="__PPC23">NA()</definedName>
    <definedName name="__PPC24">NA()</definedName>
    <definedName name="__PPC25">NA()</definedName>
    <definedName name="__PPC26">NA()</definedName>
    <definedName name="__PPC27">NA()</definedName>
    <definedName name="__PPC28">NA()</definedName>
    <definedName name="__PPC29">NA()</definedName>
    <definedName name="__PPC3">NA()</definedName>
    <definedName name="__PPC30">NA()</definedName>
    <definedName name="__PPC31">NA()</definedName>
    <definedName name="__PPC32">NA()</definedName>
    <definedName name="__PPC33">NA()</definedName>
    <definedName name="__PPC34">NA()</definedName>
    <definedName name="__PPC35">NA()</definedName>
    <definedName name="__PPC36">NA()</definedName>
    <definedName name="__PPC37">NA()</definedName>
    <definedName name="__PPC38">NA()</definedName>
    <definedName name="__PPC39">NA()</definedName>
    <definedName name="__PPC4">NA()</definedName>
    <definedName name="__PPC40">NA()</definedName>
    <definedName name="__PPC41">NA()</definedName>
    <definedName name="__PPC42">NA()</definedName>
    <definedName name="__PPC43">NA()</definedName>
    <definedName name="__PPC44">NA()</definedName>
    <definedName name="__PPC45">NA()</definedName>
    <definedName name="__PPC46">NA()</definedName>
    <definedName name="__PPC47">NA()</definedName>
    <definedName name="__PPC48">NA()</definedName>
    <definedName name="__PPC49">NA()</definedName>
    <definedName name="__PPC5">NA()</definedName>
    <definedName name="__PPC50">NA()</definedName>
    <definedName name="__PPC51">NA()</definedName>
    <definedName name="__PPC52">NA()</definedName>
    <definedName name="__PPC53">NA()</definedName>
    <definedName name="__PPC54">NA()</definedName>
    <definedName name="__PPC55">NA()</definedName>
    <definedName name="__PPC56">NA()</definedName>
    <definedName name="__PPC57">NA()</definedName>
    <definedName name="__PPC58">NA()</definedName>
    <definedName name="__PPC59">NA()</definedName>
    <definedName name="__PPC6">NA()</definedName>
    <definedName name="__PPC60">NA()</definedName>
    <definedName name="__PPC61">NA()</definedName>
    <definedName name="__PPC62">NA()</definedName>
    <definedName name="__PPC63">NA()</definedName>
    <definedName name="__PPC64">NA()</definedName>
    <definedName name="__PPC65">NA()</definedName>
    <definedName name="__PPC66">NA()</definedName>
    <definedName name="__PPC67">NA()</definedName>
    <definedName name="__PPC68">NA()</definedName>
    <definedName name="__PPC69">NA()</definedName>
    <definedName name="__PPC7">NA()</definedName>
    <definedName name="__PPC70">NA()</definedName>
    <definedName name="__PPC71">NA()</definedName>
    <definedName name="__PPC72">NA()</definedName>
    <definedName name="__PPC73">NA()</definedName>
    <definedName name="__PPC74">NA()</definedName>
    <definedName name="__PPC75">NA()</definedName>
    <definedName name="__PPC76">NA()</definedName>
    <definedName name="__PPC77">NA()</definedName>
    <definedName name="__PPC78">NA()</definedName>
    <definedName name="__PPC79">NA()</definedName>
    <definedName name="__PPC8">NA()</definedName>
    <definedName name="__PPC80">NA()</definedName>
    <definedName name="__PPC81">NA()</definedName>
    <definedName name="__PPC82">NA()</definedName>
    <definedName name="__PPC83">NA()</definedName>
    <definedName name="__PPC84">NA()</definedName>
    <definedName name="__PPC85">NA()</definedName>
    <definedName name="__PPC86">NA()</definedName>
    <definedName name="__PPC87">NA()</definedName>
    <definedName name="__PPC88">NA()</definedName>
    <definedName name="__PPC89">NA()</definedName>
    <definedName name="__PPC9">NA()</definedName>
    <definedName name="__PPC90">NA()</definedName>
    <definedName name="__PPC91">NA()</definedName>
    <definedName name="__PPC92">NA()</definedName>
    <definedName name="__PPC93">NA()</definedName>
    <definedName name="__PPC94">NA()</definedName>
    <definedName name="__PPD114">NA()</definedName>
    <definedName name="__psc10006">NA()</definedName>
    <definedName name="__psc10008">NA()</definedName>
    <definedName name="__psc3506">NA()</definedName>
    <definedName name="__psc3508">NA()</definedName>
    <definedName name="__psc4006">NA()</definedName>
    <definedName name="__psc4008">NA()</definedName>
    <definedName name="__psc4506">NA()</definedName>
    <definedName name="__psc4508">NA()</definedName>
    <definedName name="__psc5006">NA()</definedName>
    <definedName name="__psc5008">NA()</definedName>
    <definedName name="__psc6006">NA()</definedName>
    <definedName name="__psc6008">NA()</definedName>
    <definedName name="__psc7006">NA()</definedName>
    <definedName name="__psc7008">NA()</definedName>
    <definedName name="__psc8006">NA()</definedName>
    <definedName name="__psc8008">NA()</definedName>
    <definedName name="__psc9006">NA()</definedName>
    <definedName name="__psc9008">NA()</definedName>
    <definedName name="__pv1">NA()</definedName>
    <definedName name="__pv2">#REF!</definedName>
    <definedName name="__QS25">#REF!</definedName>
    <definedName name="__QS40">#REF!</definedName>
    <definedName name="__rr3">#REF!</definedName>
    <definedName name="__rrr1">#REF!</definedName>
    <definedName name="__RS300">NA()</definedName>
    <definedName name="__RT5565">#REF!</definedName>
    <definedName name="__S12">NA()</definedName>
    <definedName name="__SD10">NA()</definedName>
    <definedName name="__SD100">NA()</definedName>
    <definedName name="__SD101">NA()</definedName>
    <definedName name="__SD102">NA()</definedName>
    <definedName name="__SD103">NA()</definedName>
    <definedName name="__SD104">NA()</definedName>
    <definedName name="__SD105">NA()</definedName>
    <definedName name="__SD106">NA()</definedName>
    <definedName name="__SD107">NA()</definedName>
    <definedName name="__SD108">NA()</definedName>
    <definedName name="__SD109">NA()</definedName>
    <definedName name="__SD11">NA()</definedName>
    <definedName name="__SD110">NA()</definedName>
    <definedName name="__SD111">NA()</definedName>
    <definedName name="__SD112">NA()</definedName>
    <definedName name="__SD113">NA()</definedName>
    <definedName name="__SD114">NA()</definedName>
    <definedName name="__SD115">NA()</definedName>
    <definedName name="__SD116">NA()</definedName>
    <definedName name="__SD117">NA()</definedName>
    <definedName name="__SD118">NA()</definedName>
    <definedName name="__SD119">NA()</definedName>
    <definedName name="__SD12">NA()</definedName>
    <definedName name="__SD121">NA()</definedName>
    <definedName name="__SD122">NA()</definedName>
    <definedName name="__SD123">NA()</definedName>
    <definedName name="__SD124">NA()</definedName>
    <definedName name="__SD125">NA()</definedName>
    <definedName name="__SD126">NA()</definedName>
    <definedName name="__SD127">NA()</definedName>
    <definedName name="__SD128">NA()</definedName>
    <definedName name="__SD129">NA()</definedName>
    <definedName name="__SD13">NA()</definedName>
    <definedName name="__SD130">NA()</definedName>
    <definedName name="__SD131">NA()</definedName>
    <definedName name="__SD132">NA()</definedName>
    <definedName name="__SD133">NA()</definedName>
    <definedName name="__SD134">NA()</definedName>
    <definedName name="__SD135">NA()</definedName>
    <definedName name="__SD136">NA()</definedName>
    <definedName name="__SD137">NA()</definedName>
    <definedName name="__SD138">NA()</definedName>
    <definedName name="__SD139">NA()</definedName>
    <definedName name="__SD14">NA()</definedName>
    <definedName name="__SD140">NA()</definedName>
    <definedName name="__SD141">NA()</definedName>
    <definedName name="__SD142">NA()</definedName>
    <definedName name="__SD143">NA()</definedName>
    <definedName name="__SD144">NA()</definedName>
    <definedName name="__SD145">NA()</definedName>
    <definedName name="__SD146">NA()</definedName>
    <definedName name="__SD147">NA()</definedName>
    <definedName name="__SD148">NA()</definedName>
    <definedName name="__SD149">NA()</definedName>
    <definedName name="__SD15">NA()</definedName>
    <definedName name="__SD150">NA()</definedName>
    <definedName name="__SD16">NA()</definedName>
    <definedName name="__SD17">NA()</definedName>
    <definedName name="__SD18">NA()</definedName>
    <definedName name="__SD19">NA()</definedName>
    <definedName name="__SD2">NA()</definedName>
    <definedName name="__SD20">NA()</definedName>
    <definedName name="__SD21">NA()</definedName>
    <definedName name="__SD22">NA()</definedName>
    <definedName name="__SD23">NA()</definedName>
    <definedName name="__SD24">NA()</definedName>
    <definedName name="__SD25">NA()</definedName>
    <definedName name="__SD250">NA()</definedName>
    <definedName name="__SD26">NA()</definedName>
    <definedName name="__SD27">NA()</definedName>
    <definedName name="__SD28">NA()</definedName>
    <definedName name="__SD29">NA()</definedName>
    <definedName name="__SD3">NA()</definedName>
    <definedName name="__SD30">NA()</definedName>
    <definedName name="__SD31">NA()</definedName>
    <definedName name="__SD32">NA()</definedName>
    <definedName name="__SD33">NA()</definedName>
    <definedName name="__SD34">NA()</definedName>
    <definedName name="__SD35">NA()</definedName>
    <definedName name="__SD36">NA()</definedName>
    <definedName name="__SD37">NA()</definedName>
    <definedName name="__SD38">NA()</definedName>
    <definedName name="__SD39">NA()</definedName>
    <definedName name="__SD4">NA()</definedName>
    <definedName name="__SD40">NA()</definedName>
    <definedName name="__SD41">NA()</definedName>
    <definedName name="__SD42">NA()</definedName>
    <definedName name="__SD43">NA()</definedName>
    <definedName name="__SD44">NA()</definedName>
    <definedName name="__SD45">NA()</definedName>
    <definedName name="__SD46">NA()</definedName>
    <definedName name="__SD47">NA()</definedName>
    <definedName name="__SD48">NA()</definedName>
    <definedName name="__SD49">NA()</definedName>
    <definedName name="__SD5">NA()</definedName>
    <definedName name="__SD50">NA()</definedName>
    <definedName name="__SD500">NA()</definedName>
    <definedName name="__SD51">NA()</definedName>
    <definedName name="__SD52">NA()</definedName>
    <definedName name="__SD53">NA()</definedName>
    <definedName name="__SD54">NA()</definedName>
    <definedName name="__SD55">NA()</definedName>
    <definedName name="__SD56">NA()</definedName>
    <definedName name="__SD57">NA()</definedName>
    <definedName name="__SD58">NA()</definedName>
    <definedName name="__SD59">NA()</definedName>
    <definedName name="__SD6">NA()</definedName>
    <definedName name="__SD60">NA()</definedName>
    <definedName name="__SD61">NA()</definedName>
    <definedName name="__SD62">NA()</definedName>
    <definedName name="__SD63">NA()</definedName>
    <definedName name="__SD64">NA()</definedName>
    <definedName name="__SD65">NA()</definedName>
    <definedName name="__SD66">NA()</definedName>
    <definedName name="__SD67">NA()</definedName>
    <definedName name="__SD68">NA()</definedName>
    <definedName name="__SD69">NA()</definedName>
    <definedName name="__SD7">NA()</definedName>
    <definedName name="__SD70">NA()</definedName>
    <definedName name="__SD71">NA()</definedName>
    <definedName name="__SD72">NA()</definedName>
    <definedName name="__SD73">NA()</definedName>
    <definedName name="__SD74">NA()</definedName>
    <definedName name="__SD75">NA()</definedName>
    <definedName name="__SD76">NA()</definedName>
    <definedName name="__SD77">NA()</definedName>
    <definedName name="__SD78">NA()</definedName>
    <definedName name="__SD79">NA()</definedName>
    <definedName name="__SD8">NA()</definedName>
    <definedName name="__SD80">NA()</definedName>
    <definedName name="__SD81">NA()</definedName>
    <definedName name="__SD82">NA()</definedName>
    <definedName name="__SD83">NA()</definedName>
    <definedName name="__SD84">NA()</definedName>
    <definedName name="__SD85">NA()</definedName>
    <definedName name="__SD86">NA()</definedName>
    <definedName name="__SD87">NA()</definedName>
    <definedName name="__SD88">NA()</definedName>
    <definedName name="__SD89">NA()</definedName>
    <definedName name="__SD9">NA()</definedName>
    <definedName name="__SD90">NA()</definedName>
    <definedName name="__SD91">NA()</definedName>
    <definedName name="__SD92">NA()</definedName>
    <definedName name="__SD93">NA()</definedName>
    <definedName name="__SD94">NA()</definedName>
    <definedName name="__SD95">NA()</definedName>
    <definedName name="__SD96">NA()</definedName>
    <definedName name="__SD97">NA()</definedName>
    <definedName name="__SD98">NA()</definedName>
    <definedName name="__SD99">NA()</definedName>
    <definedName name="__shared_11_0_0">NA()</definedName>
    <definedName name="__shared_11_0_1">NA()</definedName>
    <definedName name="__shared_11_0_10">NA()</definedName>
    <definedName name="__shared_11_0_11">NA()</definedName>
    <definedName name="__shared_11_0_12">2.5-0.15-0.6-0.45</definedName>
    <definedName name="__shared_11_0_13">NA()</definedName>
    <definedName name="__shared_11_0_14">3.6-0.15</definedName>
    <definedName name="__shared_11_0_15">NA()</definedName>
    <definedName name="__shared_11_0_16">NA()</definedName>
    <definedName name="__shared_11_0_17">NA()</definedName>
    <definedName name="__shared_11_0_18">NA()</definedName>
    <definedName name="__shared_11_0_19">0.425-0.15</definedName>
    <definedName name="__shared_11_0_2">NA()</definedName>
    <definedName name="__shared_11_0_20">0.425-0.125</definedName>
    <definedName name="__shared_11_0_21">0.45-0.15</definedName>
    <definedName name="__shared_11_0_22">NA()</definedName>
    <definedName name="__shared_11_0_23">NA()</definedName>
    <definedName name="__shared_11_0_24">NA()</definedName>
    <definedName name="__shared_11_0_25">NA()</definedName>
    <definedName name="__shared_11_0_26">NA()</definedName>
    <definedName name="__shared_11_0_27">NA()</definedName>
    <definedName name="__shared_11_0_28">NA()</definedName>
    <definedName name="__shared_11_0_29">NA()</definedName>
    <definedName name="__shared_11_0_3">NA()</definedName>
    <definedName name="__shared_11_0_30">NA()</definedName>
    <definedName name="__shared_11_0_31">NA()</definedName>
    <definedName name="__shared_11_0_32">NA()</definedName>
    <definedName name="__shared_11_0_33">NA()</definedName>
    <definedName name="__shared_11_0_34">3.6-0.45</definedName>
    <definedName name="__shared_11_0_35">NA()</definedName>
    <definedName name="__shared_11_0_36">3.6-0.425</definedName>
    <definedName name="__shared_11_0_37">3.6-0.45</definedName>
    <definedName name="__shared_11_0_38">NA()</definedName>
    <definedName name="__shared_11_0_39">NA()</definedName>
    <definedName name="__shared_11_0_4">NA()</definedName>
    <definedName name="__shared_11_0_40">3.6-0.45</definedName>
    <definedName name="__shared_11_0_41">NA()</definedName>
    <definedName name="__shared_11_0_42">3.6-0.45</definedName>
    <definedName name="__shared_11_0_43">NA()</definedName>
    <definedName name="__shared_11_0_44">NA()</definedName>
    <definedName name="__shared_11_0_45">NA()</definedName>
    <definedName name="__shared_11_0_46">NA()</definedName>
    <definedName name="__shared_11_0_47">NA()</definedName>
    <definedName name="__shared_11_0_48">NA()</definedName>
    <definedName name="__shared_11_0_49">NA()</definedName>
    <definedName name="__shared_11_0_5">NA()</definedName>
    <definedName name="__shared_11_0_50">NA()</definedName>
    <definedName name="__shared_11_0_51">NA()</definedName>
    <definedName name="__shared_11_0_52">NA()</definedName>
    <definedName name="__shared_11_0_53">NA()</definedName>
    <definedName name="__shared_11_0_54">NA()</definedName>
    <definedName name="__shared_11_0_55">3.6-0.125</definedName>
    <definedName name="__shared_11_0_56">NA()</definedName>
    <definedName name="__shared_11_0_57">NA()</definedName>
    <definedName name="__shared_11_0_58">NA()</definedName>
    <definedName name="__shared_11_0_59">NA()</definedName>
    <definedName name="__shared_11_0_6">NA()</definedName>
    <definedName name="__shared_11_0_60">NA()</definedName>
    <definedName name="__shared_11_0_61">NA()</definedName>
    <definedName name="__shared_11_0_62">NA()</definedName>
    <definedName name="__shared_11_0_63">NA()</definedName>
    <definedName name="__shared_11_0_64">NA()</definedName>
    <definedName name="__shared_11_0_65">NA()</definedName>
    <definedName name="__shared_11_0_66">NA()</definedName>
    <definedName name="__shared_11_0_67">NA()</definedName>
    <definedName name="__shared_11_0_68">NA()</definedName>
    <definedName name="__shared_11_0_69">NA()</definedName>
    <definedName name="__shared_11_0_7">NA()</definedName>
    <definedName name="__shared_11_0_70">NA()</definedName>
    <definedName name="__shared_11_0_71">NA()</definedName>
    <definedName name="__shared_11_0_72">NA()</definedName>
    <definedName name="__shared_11_0_73">NA()</definedName>
    <definedName name="__shared_11_0_8">NA()</definedName>
    <definedName name="__shared_11_0_9">NA()</definedName>
    <definedName name="__shared_12_0_0">3.6-0.15</definedName>
    <definedName name="__shared_12_0_1">NA()</definedName>
    <definedName name="__shared_12_0_10">NA()</definedName>
    <definedName name="__shared_12_0_11">NA()</definedName>
    <definedName name="__shared_12_0_12">NA()</definedName>
    <definedName name="__shared_12_0_13">3.6-0.45</definedName>
    <definedName name="__shared_12_0_14">NA()</definedName>
    <definedName name="__shared_12_0_15">3.6-0.45</definedName>
    <definedName name="__shared_12_0_16">NA()</definedName>
    <definedName name="__shared_12_0_17">NA()</definedName>
    <definedName name="__shared_12_0_18">(3.6/0.15)-2</definedName>
    <definedName name="__shared_12_0_19">NA()</definedName>
    <definedName name="__shared_12_0_2">0.425-0.15</definedName>
    <definedName name="__shared_12_0_20">NA()</definedName>
    <definedName name="__shared_12_0_21">NA()</definedName>
    <definedName name="__shared_12_0_22">NA()</definedName>
    <definedName name="__shared_12_0_23">NA()</definedName>
    <definedName name="__shared_12_0_24">3.6-0.125</definedName>
    <definedName name="__shared_12_0_25">NA()</definedName>
    <definedName name="__shared_12_0_26">NA()</definedName>
    <definedName name="__shared_12_0_27">NA()</definedName>
    <definedName name="__shared_12_0_28">NA()</definedName>
    <definedName name="__shared_12_0_29">NA()</definedName>
    <definedName name="__shared_12_0_3">0.425-0.125</definedName>
    <definedName name="__shared_12_0_30">NA()</definedName>
    <definedName name="__shared_12_0_31">NA()</definedName>
    <definedName name="__shared_12_0_32">NA()</definedName>
    <definedName name="__shared_12_0_33">NA()</definedName>
    <definedName name="__shared_12_0_34">NA()</definedName>
    <definedName name="__shared_12_0_35">NA()</definedName>
    <definedName name="__shared_12_0_36">NA()</definedName>
    <definedName name="__shared_12_0_37">NA()</definedName>
    <definedName name="__shared_12_0_38">NA()</definedName>
    <definedName name="__shared_12_0_39">NA()</definedName>
    <definedName name="__shared_12_0_4">0.45-0.15</definedName>
    <definedName name="__shared_12_0_40">NA()</definedName>
    <definedName name="__shared_12_0_5">NA()</definedName>
    <definedName name="__shared_12_0_6">NA()</definedName>
    <definedName name="__shared_12_0_7">NA()</definedName>
    <definedName name="__shared_12_0_8">NA()</definedName>
    <definedName name="__shared_12_0_9">NA()</definedName>
    <definedName name="__shared_13_0_0">0.6-0.15</definedName>
    <definedName name="__shared_13_0_1">NA()</definedName>
    <definedName name="__shared_13_0_2">3.6-0.6</definedName>
    <definedName name="__shared_13_0_3">NA()</definedName>
    <definedName name="__shared_15_0_0">NA()</definedName>
    <definedName name="__shared_15_0_1">NA()</definedName>
    <definedName name="__shared_15_0_10">NA()</definedName>
    <definedName name="__shared_15_0_11">NA()</definedName>
    <definedName name="__shared_15_0_12">NA()</definedName>
    <definedName name="__shared_15_0_13">NA()</definedName>
    <definedName name="__shared_15_0_2">NA()</definedName>
    <definedName name="__shared_15_0_3">NA()</definedName>
    <definedName name="__shared_15_0_4">NA()</definedName>
    <definedName name="__shared_15_0_5">NA()</definedName>
    <definedName name="__shared_15_0_6">NA()</definedName>
    <definedName name="__shared_15_0_7">NA()</definedName>
    <definedName name="__shared_15_0_8">NA()</definedName>
    <definedName name="__shared_15_0_9">NA()</definedName>
    <definedName name="__shared_16_0_0">NA()</definedName>
    <definedName name="__shared_16_0_1">NA()</definedName>
    <definedName name="__shared_16_0_2">NA()</definedName>
    <definedName name="__shared_16_0_3">NA()</definedName>
    <definedName name="__shared_18_0_0">NA()</definedName>
    <definedName name="__shared_18_0_1">NA()</definedName>
    <definedName name="__shared_18_0_10">NA()</definedName>
    <definedName name="__shared_18_0_11">NA()</definedName>
    <definedName name="__shared_18_0_12">NA()</definedName>
    <definedName name="__shared_18_0_13">2.5-0.15-0.65</definedName>
    <definedName name="__shared_18_0_14">NA()</definedName>
    <definedName name="__shared_18_0_15">3.8-0.15</definedName>
    <definedName name="__shared_18_0_16">NA()</definedName>
    <definedName name="__shared_18_0_17">NA()</definedName>
    <definedName name="__shared_18_0_18">NA()</definedName>
    <definedName name="__shared_18_0_19">NA()</definedName>
    <definedName name="__shared_18_0_2">NA()</definedName>
    <definedName name="__shared_18_0_20">NA()</definedName>
    <definedName name="__shared_18_0_21">NA()</definedName>
    <definedName name="__shared_18_0_22">NA()</definedName>
    <definedName name="__shared_18_0_23">NA()</definedName>
    <definedName name="__shared_18_0_24">NA()</definedName>
    <definedName name="__shared_18_0_25">NA()</definedName>
    <definedName name="__shared_18_0_26">NA()</definedName>
    <definedName name="__shared_18_0_27">3.8-0.45</definedName>
    <definedName name="__shared_18_0_28">3.8-0.475</definedName>
    <definedName name="__shared_18_0_29">3.8-0.475</definedName>
    <definedName name="__shared_18_0_3">NA()</definedName>
    <definedName name="__shared_18_0_30">NA()</definedName>
    <definedName name="__shared_18_0_31">NA()</definedName>
    <definedName name="__shared_18_0_32">NA()</definedName>
    <definedName name="__shared_18_0_33">NA()</definedName>
    <definedName name="__shared_18_0_34">NA()</definedName>
    <definedName name="__shared_18_0_35">NA()</definedName>
    <definedName name="__shared_18_0_36">NA()</definedName>
    <definedName name="__shared_18_0_37">NA()</definedName>
    <definedName name="__shared_18_0_38">NA()</definedName>
    <definedName name="__shared_18_0_39">NA()</definedName>
    <definedName name="__shared_18_0_4">NA()</definedName>
    <definedName name="__shared_18_0_40">NA()</definedName>
    <definedName name="__shared_18_0_41">NA()</definedName>
    <definedName name="__shared_18_0_42">NA()</definedName>
    <definedName name="__shared_18_0_43">NA()</definedName>
    <definedName name="__shared_18_0_44">NA()</definedName>
    <definedName name="__shared_18_0_45">NA()</definedName>
    <definedName name="__shared_18_0_46">NA()</definedName>
    <definedName name="__shared_18_0_47">3.8-0.125</definedName>
    <definedName name="__shared_18_0_48">3.8-0.125</definedName>
    <definedName name="__shared_18_0_49">NA()</definedName>
    <definedName name="__shared_18_0_5">NA()</definedName>
    <definedName name="__shared_18_0_50">NA()</definedName>
    <definedName name="__shared_18_0_51">3.8-0.125</definedName>
    <definedName name="__shared_18_0_52">NA()</definedName>
    <definedName name="__shared_18_0_53">NA()</definedName>
    <definedName name="__shared_18_0_54">NA()</definedName>
    <definedName name="__shared_18_0_55">NA()</definedName>
    <definedName name="__shared_18_0_56">NA()</definedName>
    <definedName name="__shared_18_0_57">NA()</definedName>
    <definedName name="__shared_18_0_58">NA()</definedName>
    <definedName name="__shared_18_0_59">NA()</definedName>
    <definedName name="__shared_18_0_6">NA()</definedName>
    <definedName name="__shared_18_0_60">NA()</definedName>
    <definedName name="__shared_18_0_61">NA()</definedName>
    <definedName name="__shared_18_0_62">NA()</definedName>
    <definedName name="__shared_18_0_63">NA()</definedName>
    <definedName name="__shared_18_0_64">NA()</definedName>
    <definedName name="__shared_18_0_65">NA()</definedName>
    <definedName name="__shared_18_0_66">NA()</definedName>
    <definedName name="__shared_18_0_67">NA()</definedName>
    <definedName name="__shared_18_0_7">NA()</definedName>
    <definedName name="__shared_18_0_8">NA()</definedName>
    <definedName name="__shared_18_0_9">NA()</definedName>
    <definedName name="__shared_19_0_0">3.8-0.15</definedName>
    <definedName name="__shared_19_0_1">NA()</definedName>
    <definedName name="__shared_19_0_10">3.8-0.45</definedName>
    <definedName name="__shared_19_0_11">3.8-0.475</definedName>
    <definedName name="__shared_19_0_12">3.8-0.475</definedName>
    <definedName name="__shared_19_0_13">NA()</definedName>
    <definedName name="__shared_19_0_14">NA()</definedName>
    <definedName name="__shared_19_0_15">NA()</definedName>
    <definedName name="__shared_19_0_16">NA()</definedName>
    <definedName name="__shared_19_0_17">NA()</definedName>
    <definedName name="__shared_19_0_18">NA()</definedName>
    <definedName name="__shared_19_0_19">NA()</definedName>
    <definedName name="__shared_19_0_2">NA()</definedName>
    <definedName name="__shared_19_0_20">NA()</definedName>
    <definedName name="__shared_19_0_21">NA()</definedName>
    <definedName name="__shared_19_0_22">NA()</definedName>
    <definedName name="__shared_19_0_23">NA()</definedName>
    <definedName name="__shared_19_0_24">NA()</definedName>
    <definedName name="__shared_19_0_25">NA()</definedName>
    <definedName name="__shared_19_0_26">NA()</definedName>
    <definedName name="__shared_19_0_27">3.8-0.125</definedName>
    <definedName name="__shared_19_0_28">3.8-0.125</definedName>
    <definedName name="__shared_19_0_29">NA()</definedName>
    <definedName name="__shared_19_0_3">NA()</definedName>
    <definedName name="__shared_19_0_30">NA()</definedName>
    <definedName name="__shared_19_0_31">3.8-0.125</definedName>
    <definedName name="__shared_19_0_32">NA()</definedName>
    <definedName name="__shared_19_0_33">NA()</definedName>
    <definedName name="__shared_19_0_34">NA()</definedName>
    <definedName name="__shared_19_0_35">NA()</definedName>
    <definedName name="__shared_19_0_36">NA()</definedName>
    <definedName name="__shared_19_0_37">NA()</definedName>
    <definedName name="__shared_19_0_38">NA()</definedName>
    <definedName name="__shared_19_0_39">NA()</definedName>
    <definedName name="__shared_19_0_4">NA()</definedName>
    <definedName name="__shared_19_0_40">NA()</definedName>
    <definedName name="__shared_19_0_41">NA()</definedName>
    <definedName name="__shared_19_0_42">NA()</definedName>
    <definedName name="__shared_19_0_43">NA()</definedName>
    <definedName name="__shared_19_0_5">NA()</definedName>
    <definedName name="__shared_19_0_6">NA()</definedName>
    <definedName name="__shared_19_0_7">NA()</definedName>
    <definedName name="__shared_19_0_8">NA()</definedName>
    <definedName name="__shared_19_0_9">NA()</definedName>
    <definedName name="__shared_2_0_0">NA()</definedName>
    <definedName name="__shared_2_0_1">NA()</definedName>
    <definedName name="__shared_2_0_2">NA()</definedName>
    <definedName name="__shared_20_0_0">3.8-0.15</definedName>
    <definedName name="__shared_20_0_1">1.5-0.125</definedName>
    <definedName name="__shared_20_0_10">NA()</definedName>
    <definedName name="__shared_20_0_11">2*0.9+0.11</definedName>
    <definedName name="__shared_20_0_12">1.5-0.125</definedName>
    <definedName name="__shared_20_0_13">NA()</definedName>
    <definedName name="__shared_20_0_14">NA()</definedName>
    <definedName name="__shared_20_0_2">NA()</definedName>
    <definedName name="__shared_20_0_3">NA()</definedName>
    <definedName name="__shared_20_0_4">NA()</definedName>
    <definedName name="__shared_20_0_5">0.475-0.175</definedName>
    <definedName name="__shared_20_0_6">NA()</definedName>
    <definedName name="__shared_20_0_7">NA()</definedName>
    <definedName name="__shared_20_0_8">NA()</definedName>
    <definedName name="__shared_20_0_9">NA()</definedName>
    <definedName name="__shared_22_0_0">NA()</definedName>
    <definedName name="__shared_22_0_1">NA()</definedName>
    <definedName name="__shared_22_0_10">NA()</definedName>
    <definedName name="__shared_22_0_11">NA()</definedName>
    <definedName name="__shared_22_0_12">NA()</definedName>
    <definedName name="__shared_22_0_13">NA()</definedName>
    <definedName name="__shared_22_0_2">NA()</definedName>
    <definedName name="__shared_22_0_3">NA()</definedName>
    <definedName name="__shared_22_0_4">NA()</definedName>
    <definedName name="__shared_22_0_5">NA()</definedName>
    <definedName name="__shared_22_0_6">NA()</definedName>
    <definedName name="__shared_22_0_7">NA()</definedName>
    <definedName name="__shared_22_0_8">NA()</definedName>
    <definedName name="__shared_22_0_9">NA()</definedName>
    <definedName name="__shared_23_0_0">NA()</definedName>
    <definedName name="__shared_23_0_1">NA()</definedName>
    <definedName name="__shared_23_0_2">NA()</definedName>
    <definedName name="__shared_25_0_0">NA()</definedName>
    <definedName name="__shared_25_0_1">NA()</definedName>
    <definedName name="__shared_25_0_10">NA()</definedName>
    <definedName name="__shared_25_0_11">NA()</definedName>
    <definedName name="__shared_25_0_12">NA()</definedName>
    <definedName name="__shared_25_0_13">3.8-0.125</definedName>
    <definedName name="__shared_25_0_14">NA()</definedName>
    <definedName name="__shared_25_0_15">NA()</definedName>
    <definedName name="__shared_25_0_16">NA()</definedName>
    <definedName name="__shared_25_0_17">NA()</definedName>
    <definedName name="__shared_25_0_18">NA()</definedName>
    <definedName name="__shared_25_0_19">NA()</definedName>
    <definedName name="__shared_25_0_2">NA()</definedName>
    <definedName name="__shared_25_0_20">NA()</definedName>
    <definedName name="__shared_25_0_21">NA()</definedName>
    <definedName name="__shared_25_0_22">NA()</definedName>
    <definedName name="__shared_25_0_23">NA()</definedName>
    <definedName name="__shared_25_0_24">3.8-0.425</definedName>
    <definedName name="__shared_25_0_25">NA()</definedName>
    <definedName name="__shared_25_0_26">NA()</definedName>
    <definedName name="__shared_25_0_27">3.8-0.425</definedName>
    <definedName name="__shared_25_0_28">NA()</definedName>
    <definedName name="__shared_25_0_29">NA()</definedName>
    <definedName name="__shared_25_0_3">NA()</definedName>
    <definedName name="__shared_25_0_30">NA()</definedName>
    <definedName name="__shared_25_0_31">NA()</definedName>
    <definedName name="__shared_25_0_32">NA()</definedName>
    <definedName name="__shared_25_0_33">NA()</definedName>
    <definedName name="__shared_25_0_34">NA()</definedName>
    <definedName name="__shared_25_0_35">NA()</definedName>
    <definedName name="__shared_25_0_36">NA()</definedName>
    <definedName name="__shared_25_0_37">NA()</definedName>
    <definedName name="__shared_25_0_38">3.8-0.125</definedName>
    <definedName name="__shared_25_0_39">NA()</definedName>
    <definedName name="__shared_25_0_4">NA()</definedName>
    <definedName name="__shared_25_0_40">NA()</definedName>
    <definedName name="__shared_25_0_41">NA()</definedName>
    <definedName name="__shared_25_0_42">NA()</definedName>
    <definedName name="__shared_25_0_43">NA()</definedName>
    <definedName name="__shared_25_0_44">NA()</definedName>
    <definedName name="__shared_25_0_45">NA()</definedName>
    <definedName name="__shared_25_0_46">NA()</definedName>
    <definedName name="__shared_25_0_47">NA()</definedName>
    <definedName name="__shared_25_0_48">NA()</definedName>
    <definedName name="__shared_25_0_49">NA()</definedName>
    <definedName name="__shared_25_0_5">NA()</definedName>
    <definedName name="__shared_25_0_50">NA()</definedName>
    <definedName name="__shared_25_0_6">NA()</definedName>
    <definedName name="__shared_25_0_7">NA()</definedName>
    <definedName name="__shared_25_0_8">NA()</definedName>
    <definedName name="__shared_25_0_9">NA()</definedName>
    <definedName name="__shared_26_0_0">NA()</definedName>
    <definedName name="__shared_26_0_1">NA()</definedName>
    <definedName name="__shared_26_0_2">NA()</definedName>
    <definedName name="__shared_28_0_0">NA()</definedName>
    <definedName name="__shared_28_0_1">NA()</definedName>
    <definedName name="__shared_28_0_10">NA()</definedName>
    <definedName name="__shared_28_0_11">NA()</definedName>
    <definedName name="__shared_28_0_2">NA()</definedName>
    <definedName name="__shared_28_0_3">NA()</definedName>
    <definedName name="__shared_28_0_4">NA()</definedName>
    <definedName name="__shared_28_0_5">NA()</definedName>
    <definedName name="__shared_28_0_6">NA()</definedName>
    <definedName name="__shared_28_0_7">NA()</definedName>
    <definedName name="__shared_28_0_8">NA()</definedName>
    <definedName name="__shared_28_0_9">NA()</definedName>
    <definedName name="__shared_29_0_0">NA()</definedName>
    <definedName name="__shared_29_0_1">NA()</definedName>
    <definedName name="__shared_29_0_2">NA()</definedName>
    <definedName name="__shared_3_0_0">NA()</definedName>
    <definedName name="__shared_3_0_1">NA()</definedName>
    <definedName name="__shared_3_0_2">NA()</definedName>
    <definedName name="__shared_3_0_3">NA()</definedName>
    <definedName name="__shared_31_0_0">NA()</definedName>
    <definedName name="__shared_31_0_1">NA()</definedName>
    <definedName name="__shared_31_0_10">NA()</definedName>
    <definedName name="__shared_31_0_11">NA()</definedName>
    <definedName name="__shared_31_0_12">NA()</definedName>
    <definedName name="__shared_31_0_13">NA()</definedName>
    <definedName name="__shared_31_0_14">NA()</definedName>
    <definedName name="__shared_31_0_15">NA()</definedName>
    <definedName name="__shared_31_0_16">NA()</definedName>
    <definedName name="__shared_31_0_17">NA()</definedName>
    <definedName name="__shared_31_0_18">NA()</definedName>
    <definedName name="__shared_31_0_19">NA()</definedName>
    <definedName name="__shared_31_0_2">NA()</definedName>
    <definedName name="__shared_31_0_20">NA()</definedName>
    <definedName name="__shared_31_0_21">NA()</definedName>
    <definedName name="__shared_31_0_22">NA()</definedName>
    <definedName name="__shared_31_0_23">NA()</definedName>
    <definedName name="__shared_31_0_24">NA()</definedName>
    <definedName name="__shared_31_0_25">NA()</definedName>
    <definedName name="__shared_31_0_26">NA()</definedName>
    <definedName name="__shared_31_0_27">NA()</definedName>
    <definedName name="__shared_31_0_28">NA()</definedName>
    <definedName name="__shared_31_0_29">NA()</definedName>
    <definedName name="__shared_31_0_3">NA()</definedName>
    <definedName name="__shared_31_0_30">NA()</definedName>
    <definedName name="__shared_31_0_31">NA()</definedName>
    <definedName name="__shared_31_0_32">NA()</definedName>
    <definedName name="__shared_31_0_33">NA()</definedName>
    <definedName name="__shared_31_0_34">NA()</definedName>
    <definedName name="__shared_31_0_35">NA()</definedName>
    <definedName name="__shared_31_0_36">3-0.15</definedName>
    <definedName name="__shared_31_0_37">NA()</definedName>
    <definedName name="__shared_31_0_38">NA()</definedName>
    <definedName name="__shared_31_0_39">NA()</definedName>
    <definedName name="__shared_31_0_4">NA()</definedName>
    <definedName name="__shared_31_0_40">NA()</definedName>
    <definedName name="__shared_31_0_41">NA()</definedName>
    <definedName name="__shared_31_0_42">NA()</definedName>
    <definedName name="__shared_31_0_43">NA()</definedName>
    <definedName name="__shared_31_0_44">NA()</definedName>
    <definedName name="__shared_31_0_45">NA()</definedName>
    <definedName name="__shared_31_0_46">NA()</definedName>
    <definedName name="__shared_31_0_47">NA()</definedName>
    <definedName name="__shared_31_0_5">NA()</definedName>
    <definedName name="__shared_31_0_6">NA()</definedName>
    <definedName name="__shared_31_0_7">NA()</definedName>
    <definedName name="__shared_31_0_8">0.45-0.15</definedName>
    <definedName name="__shared_31_0_9">NA()</definedName>
    <definedName name="__shared_33_0_0">NA()</definedName>
    <definedName name="__shared_33_0_1">NA()</definedName>
    <definedName name="__shared_33_0_2">NA()</definedName>
    <definedName name="__shared_33_0_3">NA()</definedName>
    <definedName name="__shared_33_0_4">NA()</definedName>
    <definedName name="__shared_33_0_5">NA()</definedName>
    <definedName name="__shared_33_0_6">NA()</definedName>
    <definedName name="__shared_33_0_7">NA()</definedName>
    <definedName name="__shared_33_0_8">NA()</definedName>
    <definedName name="__shared_33_0_9">NA()</definedName>
    <definedName name="__shared_34_0_0">NA()</definedName>
    <definedName name="__shared_34_0_1">NA()</definedName>
    <definedName name="__shared_34_0_2">NA()</definedName>
    <definedName name="__shared_36_0_0">NA()</definedName>
    <definedName name="__shared_36_0_1">NA()</definedName>
    <definedName name="__shared_36_0_10">NA()</definedName>
    <definedName name="__shared_36_0_11">0.45-0.15</definedName>
    <definedName name="__shared_36_0_12">NA()</definedName>
    <definedName name="__shared_36_0_13">NA()</definedName>
    <definedName name="__shared_36_0_14">NA()</definedName>
    <definedName name="__shared_36_0_15">NA()</definedName>
    <definedName name="__shared_36_0_16">NA()</definedName>
    <definedName name="__shared_36_0_17">NA()</definedName>
    <definedName name="__shared_36_0_18">NA()</definedName>
    <definedName name="__shared_36_0_19">NA()</definedName>
    <definedName name="__shared_36_0_2">NA()</definedName>
    <definedName name="__shared_36_0_20">3-0.45</definedName>
    <definedName name="__shared_36_0_21">NA()</definedName>
    <definedName name="__shared_36_0_22">NA()</definedName>
    <definedName name="__shared_36_0_23">NA()</definedName>
    <definedName name="__shared_36_0_24">NA()</definedName>
    <definedName name="__shared_36_0_25">NA()</definedName>
    <definedName name="__shared_36_0_26">NA()</definedName>
    <definedName name="__shared_36_0_27">3-0.15</definedName>
    <definedName name="__shared_36_0_28">NA()</definedName>
    <definedName name="__shared_36_0_29">3-0.45</definedName>
    <definedName name="__shared_36_0_3">NA()</definedName>
    <definedName name="__shared_36_0_30">NA()</definedName>
    <definedName name="__shared_36_0_31">NA()</definedName>
    <definedName name="__shared_36_0_32">NA()</definedName>
    <definedName name="__shared_36_0_33">NA()</definedName>
    <definedName name="__shared_36_0_34">NA()</definedName>
    <definedName name="__shared_36_0_35">NA()</definedName>
    <definedName name="__shared_36_0_36">NA()</definedName>
    <definedName name="__shared_36_0_37">NA()</definedName>
    <definedName name="__shared_36_0_38">3-0.15</definedName>
    <definedName name="__shared_36_0_39">NA()</definedName>
    <definedName name="__shared_36_0_4">NA()</definedName>
    <definedName name="__shared_36_0_40">3-0.15</definedName>
    <definedName name="__shared_36_0_41">NA()</definedName>
    <definedName name="__shared_36_0_42">NA()</definedName>
    <definedName name="__shared_36_0_43">3-0.15</definedName>
    <definedName name="__shared_36_0_44">NA()</definedName>
    <definedName name="__shared_36_0_45">NA()</definedName>
    <definedName name="__shared_36_0_46">NA()</definedName>
    <definedName name="__shared_36_0_47">NA()</definedName>
    <definedName name="__shared_36_0_48">NA()</definedName>
    <definedName name="__shared_36_0_49">NA()</definedName>
    <definedName name="__shared_36_0_5">NA()</definedName>
    <definedName name="__shared_36_0_50">NA()</definedName>
    <definedName name="__shared_36_0_51">NA()</definedName>
    <definedName name="__shared_36_0_52">NA()</definedName>
    <definedName name="__shared_36_0_53">NA()</definedName>
    <definedName name="__shared_36_0_54">NA()</definedName>
    <definedName name="__shared_36_0_55">NA()</definedName>
    <definedName name="__shared_36_0_56">NA()</definedName>
    <definedName name="__shared_36_0_6">NA()</definedName>
    <definedName name="__shared_36_0_7">NA()</definedName>
    <definedName name="__shared_36_0_8">NA()</definedName>
    <definedName name="__shared_36_0_9">NA()</definedName>
    <definedName name="__shared_37_0_0">NA()</definedName>
    <definedName name="__shared_37_0_1">0.45-0.15</definedName>
    <definedName name="__shared_37_0_10">3-0.45</definedName>
    <definedName name="__shared_37_0_11">NA()</definedName>
    <definedName name="__shared_37_0_12">NA()</definedName>
    <definedName name="__shared_37_0_13">NA()</definedName>
    <definedName name="__shared_37_0_14">NA()</definedName>
    <definedName name="__shared_37_0_15">NA()</definedName>
    <definedName name="__shared_37_0_16">NA()</definedName>
    <definedName name="__shared_37_0_17">3-0.15</definedName>
    <definedName name="__shared_37_0_18">NA()</definedName>
    <definedName name="__shared_37_0_19">3-0.45</definedName>
    <definedName name="__shared_37_0_2">NA()</definedName>
    <definedName name="__shared_37_0_20">NA()</definedName>
    <definedName name="__shared_37_0_21">NA()</definedName>
    <definedName name="__shared_37_0_22">NA()</definedName>
    <definedName name="__shared_37_0_23">NA()</definedName>
    <definedName name="__shared_37_0_24">NA()</definedName>
    <definedName name="__shared_37_0_25">NA()</definedName>
    <definedName name="__shared_37_0_26">NA()</definedName>
    <definedName name="__shared_37_0_27">NA()</definedName>
    <definedName name="__shared_37_0_28">3-0.15</definedName>
    <definedName name="__shared_37_0_29">NA()</definedName>
    <definedName name="__shared_37_0_3">NA()</definedName>
    <definedName name="__shared_37_0_30">3-0.15</definedName>
    <definedName name="__shared_37_0_31">NA()</definedName>
    <definedName name="__shared_37_0_32">NA()</definedName>
    <definedName name="__shared_37_0_33">3-0.15</definedName>
    <definedName name="__shared_37_0_34">NA()</definedName>
    <definedName name="__shared_37_0_35">NA()</definedName>
    <definedName name="__shared_37_0_36">NA()</definedName>
    <definedName name="__shared_37_0_37">NA()</definedName>
    <definedName name="__shared_37_0_38">NA()</definedName>
    <definedName name="__shared_37_0_39">NA()</definedName>
    <definedName name="__shared_37_0_4">NA()</definedName>
    <definedName name="__shared_37_0_40">NA()</definedName>
    <definedName name="__shared_37_0_41">NA()</definedName>
    <definedName name="__shared_37_0_42">NA()</definedName>
    <definedName name="__shared_37_0_43">NA()</definedName>
    <definedName name="__shared_37_0_44">NA()</definedName>
    <definedName name="__shared_37_0_45">NA()</definedName>
    <definedName name="__shared_37_0_46">NA()</definedName>
    <definedName name="__shared_37_0_5">NA()</definedName>
    <definedName name="__shared_37_0_6">NA()</definedName>
    <definedName name="__shared_37_0_7">NA()</definedName>
    <definedName name="__shared_37_0_8">NA()</definedName>
    <definedName name="__shared_37_0_9">NA()</definedName>
    <definedName name="__shared_38_0_0">NA()</definedName>
    <definedName name="__shared_38_0_1">NA()</definedName>
    <definedName name="__shared_38_0_2">3.3-0.45</definedName>
    <definedName name="__shared_38_0_3">NA()</definedName>
    <definedName name="__shared_4_0_0">NA()</definedName>
    <definedName name="__shared_4_0_1">NA()</definedName>
    <definedName name="__shared_4_0_10">NA()</definedName>
    <definedName name="__shared_4_0_11">NA()</definedName>
    <definedName name="__shared_4_0_12">NA()</definedName>
    <definedName name="__shared_4_0_13">NA()</definedName>
    <definedName name="__shared_4_0_14">NA()</definedName>
    <definedName name="__shared_4_0_15">NA()</definedName>
    <definedName name="__shared_4_0_16">NA()</definedName>
    <definedName name="__shared_4_0_17">NA()</definedName>
    <definedName name="__shared_4_0_18">NA()</definedName>
    <definedName name="__shared_4_0_19">NA()</definedName>
    <definedName name="__shared_4_0_2">NA()</definedName>
    <definedName name="__shared_4_0_20">NA()</definedName>
    <definedName name="__shared_4_0_21">NA()</definedName>
    <definedName name="__shared_4_0_22">NA()</definedName>
    <definedName name="__shared_4_0_23">NA()</definedName>
    <definedName name="__shared_4_0_24">NA()</definedName>
    <definedName name="__shared_4_0_25">NA()</definedName>
    <definedName name="__shared_4_0_26">NA()</definedName>
    <definedName name="__shared_4_0_27">NA()</definedName>
    <definedName name="__shared_4_0_28">NA()</definedName>
    <definedName name="__shared_4_0_29">NA()</definedName>
    <definedName name="__shared_4_0_3">NA()</definedName>
    <definedName name="__shared_4_0_30">NA()</definedName>
    <definedName name="__shared_4_0_31">NA()</definedName>
    <definedName name="__shared_4_0_32">NA()</definedName>
    <definedName name="__shared_4_0_33">NA()</definedName>
    <definedName name="__shared_4_0_34">NA()</definedName>
    <definedName name="__shared_4_0_35">NA()</definedName>
    <definedName name="__shared_4_0_36">NA()</definedName>
    <definedName name="__shared_4_0_37">NA()</definedName>
    <definedName name="__shared_4_0_38">NA()</definedName>
    <definedName name="__shared_4_0_39">NA()</definedName>
    <definedName name="__shared_4_0_4">NA()</definedName>
    <definedName name="__shared_4_0_40">NA()</definedName>
    <definedName name="__shared_4_0_41">NA()</definedName>
    <definedName name="__shared_4_0_42">NA()</definedName>
    <definedName name="__shared_4_0_43">NA()</definedName>
    <definedName name="__shared_4_0_44">NA()</definedName>
    <definedName name="__shared_4_0_45">NA()</definedName>
    <definedName name="__shared_4_0_46">NA()</definedName>
    <definedName name="__shared_4_0_47">NA()</definedName>
    <definedName name="__shared_4_0_48">NA()</definedName>
    <definedName name="__shared_4_0_49">NA()</definedName>
    <definedName name="__shared_4_0_5">NA()</definedName>
    <definedName name="__shared_4_0_50">NA()</definedName>
    <definedName name="__shared_4_0_51">NA()</definedName>
    <definedName name="__shared_4_0_52">NA()</definedName>
    <definedName name="__shared_4_0_53">NA()</definedName>
    <definedName name="__shared_4_0_54">NA()</definedName>
    <definedName name="__shared_4_0_55">NA()</definedName>
    <definedName name="__shared_4_0_56">NA()</definedName>
    <definedName name="__shared_4_0_57">NA()</definedName>
    <definedName name="__shared_4_0_58">NA()</definedName>
    <definedName name="__shared_4_0_59">NA()</definedName>
    <definedName name="__shared_4_0_6">NA()</definedName>
    <definedName name="__shared_4_0_60">NA()</definedName>
    <definedName name="__shared_4_0_61">NA()</definedName>
    <definedName name="__shared_4_0_62">NA()</definedName>
    <definedName name="__shared_4_0_63">NA()</definedName>
    <definedName name="__shared_4_0_64">NA()</definedName>
    <definedName name="__shared_4_0_65">NA()</definedName>
    <definedName name="__shared_4_0_66">NA()</definedName>
    <definedName name="__shared_4_0_67">NA()</definedName>
    <definedName name="__shared_4_0_68">NA()</definedName>
    <definedName name="__shared_4_0_69">NA()</definedName>
    <definedName name="__shared_4_0_7">NA()</definedName>
    <definedName name="__shared_4_0_70">NA()</definedName>
    <definedName name="__shared_4_0_71">NA()</definedName>
    <definedName name="__shared_4_0_72">NA()</definedName>
    <definedName name="__shared_4_0_73">NA()</definedName>
    <definedName name="__shared_4_0_74">NA()</definedName>
    <definedName name="__shared_4_0_75">NA()</definedName>
    <definedName name="__shared_4_0_76">NA()</definedName>
    <definedName name="__shared_4_0_77">NA()</definedName>
    <definedName name="__shared_4_0_78">NA()</definedName>
    <definedName name="__shared_4_0_79">NA()</definedName>
    <definedName name="__shared_4_0_8">NA()</definedName>
    <definedName name="__shared_4_0_80">NA()</definedName>
    <definedName name="__shared_4_0_81">NA()</definedName>
    <definedName name="__shared_4_0_82">NA()</definedName>
    <definedName name="__shared_4_0_83">NA()</definedName>
    <definedName name="__shared_4_0_84">NA()</definedName>
    <definedName name="__shared_4_0_85">NA()</definedName>
    <definedName name="__shared_4_0_86">NA()</definedName>
    <definedName name="__shared_4_0_87">NA()</definedName>
    <definedName name="__shared_4_0_88">NA()</definedName>
    <definedName name="__shared_4_0_89">NA()</definedName>
    <definedName name="__shared_4_0_9">NA()</definedName>
    <definedName name="__shared_40_0_0">NA()</definedName>
    <definedName name="__shared_40_0_1">NA()</definedName>
    <definedName name="__shared_40_0_2">NA()</definedName>
    <definedName name="__shared_40_0_3">NA()</definedName>
    <definedName name="__shared_40_0_4">NA()</definedName>
    <definedName name="__shared_40_0_5">NA()</definedName>
    <definedName name="__shared_40_0_6">NA()</definedName>
    <definedName name="__shared_40_0_7">NA()</definedName>
    <definedName name="__shared_40_0_8">NA()</definedName>
    <definedName name="__shared_40_0_9">NA()</definedName>
    <definedName name="__shared_41_0_0">NA()</definedName>
    <definedName name="__shared_41_0_1">NA()</definedName>
    <definedName name="__shared_42_0_0">3.6-0.15</definedName>
    <definedName name="__shared_42_0_1">NA()</definedName>
    <definedName name="__shared_42_0_10">NA()</definedName>
    <definedName name="__shared_42_0_11">NA()</definedName>
    <definedName name="__shared_42_0_12">NA()</definedName>
    <definedName name="__shared_42_0_13">NA()</definedName>
    <definedName name="__shared_42_0_14">3.6-0.45</definedName>
    <definedName name="__shared_42_0_15">3.6-0.45</definedName>
    <definedName name="__shared_42_0_16">NA()</definedName>
    <definedName name="__shared_42_0_17">3.6-0.45</definedName>
    <definedName name="__shared_42_0_18">NA()</definedName>
    <definedName name="__shared_42_0_19">NA()</definedName>
    <definedName name="__shared_42_0_2">0.425-0.15</definedName>
    <definedName name="__shared_42_0_20">(3.6/0.15)-2</definedName>
    <definedName name="__shared_42_0_21">NA()</definedName>
    <definedName name="__shared_42_0_22">NA()</definedName>
    <definedName name="__shared_42_0_23">NA()</definedName>
    <definedName name="__shared_42_0_24">3.6-0.125</definedName>
    <definedName name="__shared_42_0_25">NA()</definedName>
    <definedName name="__shared_42_0_26">3.6-0.125</definedName>
    <definedName name="__shared_42_0_27">NA()</definedName>
    <definedName name="__shared_42_0_28">NA()</definedName>
    <definedName name="__shared_42_0_29">NA()</definedName>
    <definedName name="__shared_42_0_3">0.425-0.125</definedName>
    <definedName name="__shared_42_0_30">NA()</definedName>
    <definedName name="__shared_42_0_31">NA()</definedName>
    <definedName name="__shared_42_0_32">NA()</definedName>
    <definedName name="__shared_42_0_33">NA()</definedName>
    <definedName name="__shared_42_0_34">NA()</definedName>
    <definedName name="__shared_42_0_35">NA()</definedName>
    <definedName name="__shared_42_0_36">NA()</definedName>
    <definedName name="__shared_42_0_37">NA()</definedName>
    <definedName name="__shared_42_0_38">NA()</definedName>
    <definedName name="__shared_42_0_39">NA()</definedName>
    <definedName name="__shared_42_0_4">0.45-0.15</definedName>
    <definedName name="__shared_42_0_40">NA()</definedName>
    <definedName name="__shared_42_0_41">NA()</definedName>
    <definedName name="__shared_42_0_42">NA()</definedName>
    <definedName name="__shared_42_0_43">NA()</definedName>
    <definedName name="__shared_42_0_5">NA()</definedName>
    <definedName name="__shared_42_0_6">NA()</definedName>
    <definedName name="__shared_42_0_7">NA()</definedName>
    <definedName name="__shared_42_0_8">NA()</definedName>
    <definedName name="__shared_42_0_9">NA()</definedName>
    <definedName name="__shared_45_0_0">NA()</definedName>
    <definedName name="__shared_45_0_1">NA()</definedName>
    <definedName name="__shared_45_0_2">NA()</definedName>
    <definedName name="__shared_5_0_0">NA()</definedName>
    <definedName name="__shared_5_0_1">NA()</definedName>
    <definedName name="__shared_56_0_0">NA()</definedName>
    <definedName name="__shared_56_0_1">NA()</definedName>
    <definedName name="__shared_56_0_10">NA()</definedName>
    <definedName name="__shared_56_0_11">NA()</definedName>
    <definedName name="__shared_56_0_12">NA()</definedName>
    <definedName name="__shared_56_0_13">NA()</definedName>
    <definedName name="__shared_56_0_2">NA()</definedName>
    <definedName name="__shared_56_0_3">NA()</definedName>
    <definedName name="__shared_56_0_4">NA()</definedName>
    <definedName name="__shared_56_0_5">NA()</definedName>
    <definedName name="__shared_56_0_6">NA()</definedName>
    <definedName name="__shared_56_0_7">NA()</definedName>
    <definedName name="__shared_56_0_8">NA()</definedName>
    <definedName name="__shared_56_0_9">NA()</definedName>
    <definedName name="__shared_57_0_0">NA()</definedName>
    <definedName name="__shared_57_0_1">NA()</definedName>
    <definedName name="__shared_57_0_10">NA()</definedName>
    <definedName name="__shared_57_0_11">NA()</definedName>
    <definedName name="__shared_57_0_12">NA()</definedName>
    <definedName name="__shared_57_0_13">NA()</definedName>
    <definedName name="__shared_57_0_14">NA()</definedName>
    <definedName name="__shared_57_0_15">NA()</definedName>
    <definedName name="__shared_57_0_16">NA()</definedName>
    <definedName name="__shared_57_0_17">NA()</definedName>
    <definedName name="__shared_57_0_18">NA()</definedName>
    <definedName name="__shared_57_0_19">NA()</definedName>
    <definedName name="__shared_57_0_2">NA()</definedName>
    <definedName name="__shared_57_0_20">NA()</definedName>
    <definedName name="__shared_57_0_21">NA()</definedName>
    <definedName name="__shared_57_0_22">NA()</definedName>
    <definedName name="__shared_57_0_23">NA()</definedName>
    <definedName name="__shared_57_0_24">NA()</definedName>
    <definedName name="__shared_57_0_25">NA()</definedName>
    <definedName name="__shared_57_0_26">NA()</definedName>
    <definedName name="__shared_57_0_27">NA()</definedName>
    <definedName name="__shared_57_0_28">NA()</definedName>
    <definedName name="__shared_57_0_29">NA()</definedName>
    <definedName name="__shared_57_0_3">NA()</definedName>
    <definedName name="__shared_57_0_30">NA()</definedName>
    <definedName name="__shared_57_0_31">NA()</definedName>
    <definedName name="__shared_57_0_32">NA()</definedName>
    <definedName name="__shared_57_0_33">NA()</definedName>
    <definedName name="__shared_57_0_34">NA()</definedName>
    <definedName name="__shared_57_0_35">NA()</definedName>
    <definedName name="__shared_57_0_36">NA()</definedName>
    <definedName name="__shared_57_0_37">NA()</definedName>
    <definedName name="__shared_57_0_38">NA()</definedName>
    <definedName name="__shared_57_0_39">NA()</definedName>
    <definedName name="__shared_57_0_4">NA()</definedName>
    <definedName name="__shared_57_0_40">NA()</definedName>
    <definedName name="__shared_57_0_41">NA()</definedName>
    <definedName name="__shared_57_0_42">NA()</definedName>
    <definedName name="__shared_57_0_43">NA()</definedName>
    <definedName name="__shared_57_0_44">NA()</definedName>
    <definedName name="__shared_57_0_45">NA()</definedName>
    <definedName name="__shared_57_0_46">NA()</definedName>
    <definedName name="__shared_57_0_47">NA()</definedName>
    <definedName name="__shared_57_0_48">NA()</definedName>
    <definedName name="__shared_57_0_49">NA()</definedName>
    <definedName name="__shared_57_0_5">NA()</definedName>
    <definedName name="__shared_57_0_50">NA()</definedName>
    <definedName name="__shared_57_0_51">NA()</definedName>
    <definedName name="__shared_57_0_52">NA()</definedName>
    <definedName name="__shared_57_0_53">NA()</definedName>
    <definedName name="__shared_57_0_54">NA()</definedName>
    <definedName name="__shared_57_0_55">NA()</definedName>
    <definedName name="__shared_57_0_56">NA()</definedName>
    <definedName name="__shared_57_0_57">NA()</definedName>
    <definedName name="__shared_57_0_58">NA()</definedName>
    <definedName name="__shared_57_0_59">NA()</definedName>
    <definedName name="__shared_57_0_6">NA()</definedName>
    <definedName name="__shared_57_0_60">NA()</definedName>
    <definedName name="__shared_57_0_61">NA()</definedName>
    <definedName name="__shared_57_0_62">NA()</definedName>
    <definedName name="__shared_57_0_63">NA()</definedName>
    <definedName name="__shared_57_0_64">NA()</definedName>
    <definedName name="__shared_57_0_65">NA()</definedName>
    <definedName name="__shared_57_0_66">NA()</definedName>
    <definedName name="__shared_57_0_67">NA()</definedName>
    <definedName name="__shared_57_0_68">NA()</definedName>
    <definedName name="__shared_57_0_69">NA()</definedName>
    <definedName name="__shared_57_0_7">NA()</definedName>
    <definedName name="__shared_57_0_70">NA()</definedName>
    <definedName name="__shared_57_0_71">NA()</definedName>
    <definedName name="__shared_57_0_72">NA()</definedName>
    <definedName name="__shared_57_0_73">NA()</definedName>
    <definedName name="__shared_57_0_74">NA()</definedName>
    <definedName name="__shared_57_0_75">NA()</definedName>
    <definedName name="__shared_57_0_76">NA()</definedName>
    <definedName name="__shared_57_0_77">NA()</definedName>
    <definedName name="__shared_57_0_78">NA()</definedName>
    <definedName name="__shared_57_0_79">NA()</definedName>
    <definedName name="__shared_57_0_8">NA()</definedName>
    <definedName name="__shared_57_0_80">NA()</definedName>
    <definedName name="__shared_57_0_81">NA()</definedName>
    <definedName name="__shared_57_0_82">NA()</definedName>
    <definedName name="__shared_57_0_83">NA()</definedName>
    <definedName name="__shared_57_0_84">NA()</definedName>
    <definedName name="__shared_57_0_85">NA()</definedName>
    <definedName name="__shared_57_0_86">NA()</definedName>
    <definedName name="__shared_57_0_87">NA()</definedName>
    <definedName name="__shared_57_0_88">NA()</definedName>
    <definedName name="__shared_57_0_89">NA()</definedName>
    <definedName name="__shared_57_0_9">NA()</definedName>
    <definedName name="__shared_57_0_90">NA()</definedName>
    <definedName name="__shared_57_0_91">NA()</definedName>
    <definedName name="__shared_57_0_92">NA()</definedName>
    <definedName name="__shared_57_0_93">NA()</definedName>
    <definedName name="__shared_57_0_94">NA()</definedName>
    <definedName name="__shared_57_0_95">NA()</definedName>
    <definedName name="__shared_57_0_96">NA()</definedName>
    <definedName name="__shared_57_0_97">NA()</definedName>
    <definedName name="__shared_58_0_0">NA()</definedName>
    <definedName name="__shared_58_0_1">NA()</definedName>
    <definedName name="__shared_58_0_10">NA()</definedName>
    <definedName name="__shared_58_0_11">NA()</definedName>
    <definedName name="__shared_58_0_12">NA()</definedName>
    <definedName name="__shared_58_0_13">NA()</definedName>
    <definedName name="__shared_58_0_14">NA()</definedName>
    <definedName name="__shared_58_0_15">NA()</definedName>
    <definedName name="__shared_58_0_16">NA()</definedName>
    <definedName name="__shared_58_0_17">NA()</definedName>
    <definedName name="__shared_58_0_2">NA()</definedName>
    <definedName name="__shared_58_0_3">NA()</definedName>
    <definedName name="__shared_58_0_4">NA()</definedName>
    <definedName name="__shared_58_0_5">NA()</definedName>
    <definedName name="__shared_58_0_6">NA()</definedName>
    <definedName name="__shared_58_0_7">NA()</definedName>
    <definedName name="__shared_58_0_8">NA()</definedName>
    <definedName name="__shared_58_0_9">NA()</definedName>
    <definedName name="__shared_59_0_0">NA()</definedName>
    <definedName name="__shared_59_0_1">NA()</definedName>
    <definedName name="__shared_59_0_10">NA()</definedName>
    <definedName name="__shared_59_0_11">NA()</definedName>
    <definedName name="__shared_59_0_12">NA()</definedName>
    <definedName name="__shared_59_0_13">NA()</definedName>
    <definedName name="__shared_59_0_2">NA()</definedName>
    <definedName name="__shared_59_0_3">NA()</definedName>
    <definedName name="__shared_59_0_4">NA()</definedName>
    <definedName name="__shared_59_0_5">NA()</definedName>
    <definedName name="__shared_59_0_6">NA()</definedName>
    <definedName name="__shared_59_0_7">NA()</definedName>
    <definedName name="__shared_59_0_8">NA()</definedName>
    <definedName name="__shared_59_0_9">NA()</definedName>
    <definedName name="__shared_60_0_0">NA()</definedName>
    <definedName name="__shared_60_0_1">NA()</definedName>
    <definedName name="__shared_61_0_0">NA()</definedName>
    <definedName name="__shared_62_0_0">NA()</definedName>
    <definedName name="__shared_62_0_1">NA()</definedName>
    <definedName name="__shared_62_0_10">NA()</definedName>
    <definedName name="__shared_62_0_11">NA()</definedName>
    <definedName name="__shared_62_0_2">NA()</definedName>
    <definedName name="__shared_62_0_3">NA()</definedName>
    <definedName name="__shared_62_0_4">NA()</definedName>
    <definedName name="__shared_62_0_5">NA()</definedName>
    <definedName name="__shared_62_0_6">NA()</definedName>
    <definedName name="__shared_62_0_7">NA()</definedName>
    <definedName name="__shared_62_0_8">NA()</definedName>
    <definedName name="__shared_62_0_9">NA()</definedName>
    <definedName name="__shared_63_0_0">NA()</definedName>
    <definedName name="__SO016">NA()</definedName>
    <definedName name="__SP001">NA()</definedName>
    <definedName name="__SP002">NA()</definedName>
    <definedName name="__SP003">NA()</definedName>
    <definedName name="__SP004">NA()</definedName>
    <definedName name="__SP005">NA()</definedName>
    <definedName name="__SP006">NA()</definedName>
    <definedName name="__SP007">NA()</definedName>
    <definedName name="__SP008">NA()</definedName>
    <definedName name="__SP009">NA()</definedName>
    <definedName name="__SP010">NA()</definedName>
    <definedName name="__SP011">NA()</definedName>
    <definedName name="__SP012">NA()</definedName>
    <definedName name="__SP013">NA()</definedName>
    <definedName name="__SP014">NA()</definedName>
    <definedName name="__SP015">NA()</definedName>
    <definedName name="__SP016">NA()</definedName>
    <definedName name="__SP017">NA()</definedName>
    <definedName name="__SP018">NA()</definedName>
    <definedName name="__SP019">NA()</definedName>
    <definedName name="__SP020">NA()</definedName>
    <definedName name="__SP021">NA()</definedName>
    <definedName name="__SP022">NA()</definedName>
    <definedName name="__SP023">NA()</definedName>
    <definedName name="__SP024">NA()</definedName>
    <definedName name="__SP025">NA()</definedName>
    <definedName name="__SP026">NA()</definedName>
    <definedName name="__SP027">NA()</definedName>
    <definedName name="__SP028">NA()</definedName>
    <definedName name="__SP029">NA()</definedName>
    <definedName name="__SP030">NA()</definedName>
    <definedName name="__SP031">NA()</definedName>
    <definedName name="__SP032">NA()</definedName>
    <definedName name="__SP033">NA()</definedName>
    <definedName name="__SP034">NA()</definedName>
    <definedName name="__SP035">NA()</definedName>
    <definedName name="__SP036">NA()</definedName>
    <definedName name="__SP037">NA()</definedName>
    <definedName name="__SP038">NA()</definedName>
    <definedName name="__SP039">NA()</definedName>
    <definedName name="__SP040">NA()</definedName>
    <definedName name="__SP041">NA()</definedName>
    <definedName name="__SP042">NA()</definedName>
    <definedName name="__SP043">NA()</definedName>
    <definedName name="__SP044">NA()</definedName>
    <definedName name="__SP045">NA()</definedName>
    <definedName name="__SP046">NA()</definedName>
    <definedName name="__SP047">NA()</definedName>
    <definedName name="__SP048">NA()</definedName>
    <definedName name="__SP049">NA()</definedName>
    <definedName name="__SP050">NA()</definedName>
    <definedName name="__SP051">NA()</definedName>
    <definedName name="__SP052">NA()</definedName>
    <definedName name="__SP053">NA()</definedName>
    <definedName name="__SP054">NA()</definedName>
    <definedName name="__SP055">NA()</definedName>
    <definedName name="__SP056">NA()</definedName>
    <definedName name="__SP057">NA()</definedName>
    <definedName name="__SP058">NA()</definedName>
    <definedName name="__SP059">NA()</definedName>
    <definedName name="__SP060">NA()</definedName>
    <definedName name="__SP061">NA()</definedName>
    <definedName name="__SP062">NA()</definedName>
    <definedName name="__SP063">NA()</definedName>
    <definedName name="__SP064">NA()</definedName>
    <definedName name="__SP065">NA()</definedName>
    <definedName name="__SP066">NA()</definedName>
    <definedName name="__SP067">NA()</definedName>
    <definedName name="__SP068">NA()</definedName>
    <definedName name="__SP069">NA()</definedName>
    <definedName name="__SP070">NA()</definedName>
    <definedName name="__sp071">NA()</definedName>
    <definedName name="__SP072">NA()</definedName>
    <definedName name="__SP073">NA()</definedName>
    <definedName name="__SP074">NA()</definedName>
    <definedName name="__SP075">NA()</definedName>
    <definedName name="__SP076">NA()</definedName>
    <definedName name="__SP077">NA()</definedName>
    <definedName name="__sp078">NA()</definedName>
    <definedName name="__SP10">#REF!</definedName>
    <definedName name="__SP16">#REF!</definedName>
    <definedName name="__SP7">#REF!</definedName>
    <definedName name="__SPO79">NA()</definedName>
    <definedName name="__SS10">#REF!</definedName>
    <definedName name="__ss12">#REF!</definedName>
    <definedName name="__SS150">#REF!</definedName>
    <definedName name="__ss20">#REF!</definedName>
    <definedName name="__SS225">#REF!</definedName>
    <definedName name="__SS25">#REF!</definedName>
    <definedName name="__SS300">#REF!</definedName>
    <definedName name="__ss40">#REF!</definedName>
    <definedName name="__SS6">#REF!</definedName>
    <definedName name="__sw1">#REF!</definedName>
    <definedName name="__TB2">#REF!</definedName>
    <definedName name="__tw2">#REF!</definedName>
    <definedName name="__us1">#REF!</definedName>
    <definedName name="__var1">#REF!</definedName>
    <definedName name="__var4">#REF!</definedName>
    <definedName name="__vat1">NA()</definedName>
    <definedName name="__vat2">NA()</definedName>
    <definedName name="__xh11010">NA()</definedName>
    <definedName name="__xh1104">NA()</definedName>
    <definedName name="__xh1106">NA()</definedName>
    <definedName name="__xh1108">NA()</definedName>
    <definedName name="__xh12510">NA()</definedName>
    <definedName name="__xh1254">NA()</definedName>
    <definedName name="__xh1256">NA()</definedName>
    <definedName name="__xh1258">NA()</definedName>
    <definedName name="__xh14010">NA()</definedName>
    <definedName name="__xh1404">NA()</definedName>
    <definedName name="__xh1406">NA()</definedName>
    <definedName name="__xh1408">NA()</definedName>
    <definedName name="__xh16010">NA()</definedName>
    <definedName name="__xh1604">NA()</definedName>
    <definedName name="__xh1606">NA()</definedName>
    <definedName name="__xh1608">NA()</definedName>
    <definedName name="__xh18010">NA()</definedName>
    <definedName name="__xh1804">NA()</definedName>
    <definedName name="__xh1806">NA()</definedName>
    <definedName name="__xh1808">NA()</definedName>
    <definedName name="__xh20010">NA()</definedName>
    <definedName name="__xh2004">NA()</definedName>
    <definedName name="__xh2006">NA()</definedName>
    <definedName name="__xh2008">NA()</definedName>
    <definedName name="__xh22510">NA()</definedName>
    <definedName name="__xh2254">NA()</definedName>
    <definedName name="__xh2256">#REF!</definedName>
    <definedName name="__xh2258">NA()</definedName>
    <definedName name="__xh25010">NA()</definedName>
    <definedName name="__xh2504">NA()</definedName>
    <definedName name="__xh2506">#REF!</definedName>
    <definedName name="__xh2508">NA()</definedName>
    <definedName name="__xh28010">NA()</definedName>
    <definedName name="__xh2804">NA()</definedName>
    <definedName name="__xh2806">#REF!</definedName>
    <definedName name="__xh2808">NA()</definedName>
    <definedName name="__xh31510">NA()</definedName>
    <definedName name="__xh3154">NA()</definedName>
    <definedName name="__xh3156">#REF!</definedName>
    <definedName name="__xh3158">NA()</definedName>
    <definedName name="__xh3554">NA()</definedName>
    <definedName name="__xh3556">NA()</definedName>
    <definedName name="__xh6310">NA()</definedName>
    <definedName name="__xh634">#REF!</definedName>
    <definedName name="__xh636">NA()</definedName>
    <definedName name="__xh638">NA()</definedName>
    <definedName name="__xh7510">NA()</definedName>
    <definedName name="__xh754">NA()</definedName>
    <definedName name="__xh756">NA()</definedName>
    <definedName name="__xh758">NA()</definedName>
    <definedName name="__xh9010">NA()</definedName>
    <definedName name="__xh904">NA()</definedName>
    <definedName name="__xh906">NA()</definedName>
    <definedName name="__xh908">NA()</definedName>
    <definedName name="__xh9999">#REF!</definedName>
    <definedName name="__xk7100">#REF!</definedName>
    <definedName name="__xk7150">#REF!</definedName>
    <definedName name="__xk7200">NA()</definedName>
    <definedName name="__xk7250">#REF!</definedName>
    <definedName name="__xk7300">#REF!</definedName>
    <definedName name="__xk7350">NA()</definedName>
    <definedName name="__xk7400">NA()</definedName>
    <definedName name="__xk7450">NA()</definedName>
    <definedName name="__xk7500">NA()</definedName>
    <definedName name="__xk7600">NA()</definedName>
    <definedName name="__xk9100">NA()</definedName>
    <definedName name="__xk91000">NA()</definedName>
    <definedName name="__xk9150">NA()</definedName>
    <definedName name="__xk9200">NA()</definedName>
    <definedName name="__xk9250">NA()</definedName>
    <definedName name="__xk9300">NA()</definedName>
    <definedName name="__xk9350">NA()</definedName>
    <definedName name="__xk9400">NA()</definedName>
    <definedName name="__xk9450">NA()</definedName>
    <definedName name="__xk9500">NA()</definedName>
    <definedName name="__xk9600">NA()</definedName>
    <definedName name="__xk9700">NA()</definedName>
    <definedName name="__xk9750">NA()</definedName>
    <definedName name="__xk9800">NA()</definedName>
    <definedName name="__xk9900">NA()</definedName>
    <definedName name="__xlfn_BAHTTEXT">NA()</definedName>
    <definedName name="__xlfn_CEILING_MATH">NA()</definedName>
    <definedName name="__xlfn_ISFORMULA">NA()</definedName>
    <definedName name="__xlnm__FilterDatabase">NA()</definedName>
    <definedName name="__xlnm_Database">NA()</definedName>
    <definedName name="__xlnm_Print_Area">NA()</definedName>
    <definedName name="__xlnm_Print_Titles">NA()</definedName>
    <definedName name="__xlnm_Print_Titles_1">NA()</definedName>
    <definedName name="__xp11010">#REF!</definedName>
    <definedName name="__xp1104">#REF!</definedName>
    <definedName name="__xp1106">#REF!</definedName>
    <definedName name="__xp12510">NA()</definedName>
    <definedName name="__xp1254">#REF!</definedName>
    <definedName name="__xp1256">#REF!</definedName>
    <definedName name="__xp14010">#REF!</definedName>
    <definedName name="__xp1404">#REF!</definedName>
    <definedName name="__xp1406">#REF!</definedName>
    <definedName name="__xp16010">NA()</definedName>
    <definedName name="__xp1604">#REF!</definedName>
    <definedName name="__xp1606">#REF!</definedName>
    <definedName name="__xp18010">NA()</definedName>
    <definedName name="__xp1804">#REF!</definedName>
    <definedName name="__xp1806">#REF!</definedName>
    <definedName name="__xp20010">NA()</definedName>
    <definedName name="__xp2004">NA()</definedName>
    <definedName name="__xp2006">#REF!</definedName>
    <definedName name="__xp22510">NA()</definedName>
    <definedName name="__xp2254">NA()</definedName>
    <definedName name="__xp2256">NA()</definedName>
    <definedName name="__xp25010">NA()</definedName>
    <definedName name="__xp2504">NA()</definedName>
    <definedName name="__xp2506">NA()</definedName>
    <definedName name="__xp28010">NA()</definedName>
    <definedName name="__xp2804">NA()</definedName>
    <definedName name="__xp2806">NA()</definedName>
    <definedName name="__xp31510">NA()</definedName>
    <definedName name="__xp3154">NA()</definedName>
    <definedName name="__xp3156">NA()</definedName>
    <definedName name="__xp6310">#REF!</definedName>
    <definedName name="__xp634">NA()</definedName>
    <definedName name="__xp636">#REF!</definedName>
    <definedName name="__xp7510">#REF!</definedName>
    <definedName name="__xp754">#REF!</definedName>
    <definedName name="__xp756">#REF!</definedName>
    <definedName name="__xp9010">#REF!</definedName>
    <definedName name="__xp904">#REF!</definedName>
    <definedName name="__xp906">#REF!</definedName>
    <definedName name="_0">NA()</definedName>
    <definedName name="_0_10">NA()</definedName>
    <definedName name="_055">NA()</definedName>
    <definedName name="_0knrothpfinal">#REF!</definedName>
    <definedName name="_1__Bitumen_pressure">#REF!</definedName>
    <definedName name="_1_1">NA()</definedName>
    <definedName name="_10_mm">NA()</definedName>
    <definedName name="_1000_mm_diameter">NA()</definedName>
    <definedName name="_12_mm">NA()</definedName>
    <definedName name="_1220_mm_diameter">NA()</definedName>
    <definedName name="_13">NA()</definedName>
    <definedName name="_150_mm_thickness">#REF!</definedName>
    <definedName name="_2_and_3">#REF!</definedName>
    <definedName name="_20_mm">NA()</definedName>
    <definedName name="_25_mm">NA()</definedName>
    <definedName name="_250_mm_diameter">NA()</definedName>
    <definedName name="_2m_100">NA()</definedName>
    <definedName name="_2m_150">NA()</definedName>
    <definedName name="_2m_200">NA()</definedName>
    <definedName name="_2m_25">NA()</definedName>
    <definedName name="_2m_250">NA()</definedName>
    <definedName name="_2m_300">NA()</definedName>
    <definedName name="_2m_32">NA()</definedName>
    <definedName name="_2m_40">NA()</definedName>
    <definedName name="_2m_50">NA()</definedName>
    <definedName name="_2m_65">NA()</definedName>
    <definedName name="_2m_80">NA()</definedName>
    <definedName name="_3" hidden="1">#REF!</definedName>
    <definedName name="_300_mm_diameter">NA()</definedName>
    <definedName name="_3m_100">NA()</definedName>
    <definedName name="_3m_150">NA()</definedName>
    <definedName name="_3m_200">NA()</definedName>
    <definedName name="_3m_25">NA()</definedName>
    <definedName name="_3m_250">NA()</definedName>
    <definedName name="_3m_300">NA()</definedName>
    <definedName name="_3m_32">NA()</definedName>
    <definedName name="_3m_40">NA()</definedName>
    <definedName name="_3m_50">NA()</definedName>
    <definedName name="_3m_65">NA()</definedName>
    <definedName name="_3m_80">NA()</definedName>
    <definedName name="_40_mm">NA()</definedName>
    <definedName name="_40_mm_size_OG">NA()</definedName>
    <definedName name="_40_mm_SS_5_HBG">"[71]material!#ref!"</definedName>
    <definedName name="_40_mm_thick_ness">NA()</definedName>
    <definedName name="_40MM_HBG">NA()</definedName>
    <definedName name="_45_mm">NA()</definedName>
    <definedName name="_450_mm_diameter">NA()</definedName>
    <definedName name="_50_mm">NA()</definedName>
    <definedName name="_6_mm">NA()</definedName>
    <definedName name="_6_mm_SS_5_HBG_m_c">"[71]material!#ref!"</definedName>
    <definedName name="_600_mm_diameter">NA()</definedName>
    <definedName name="_65MM_HBG">NA()</definedName>
    <definedName name="_65MM_HBT">NA()</definedName>
    <definedName name="_65MM_OG">NA()</definedName>
    <definedName name="_75_mm_thick_ness">#REF!</definedName>
    <definedName name="_750_mm_diameter">NA()</definedName>
    <definedName name="_800_mm_diameter">NA()</definedName>
    <definedName name="_a">NA()</definedName>
    <definedName name="_a_10">NA()</definedName>
    <definedName name="_aaa10">NA()</definedName>
    <definedName name="_aaa5">NA()</definedName>
    <definedName name="_AAA51">NA()</definedName>
    <definedName name="_aaa55">NA()</definedName>
    <definedName name="_AAA6">NA()</definedName>
    <definedName name="_AAA7">NA()</definedName>
    <definedName name="_AAD5">NA()</definedName>
    <definedName name="_aad55">NA()</definedName>
    <definedName name="_Apr02">"[72]newabstract!#ref!"</definedName>
    <definedName name="_Apr03">"[72]newabstract!#ref!"</definedName>
    <definedName name="_Apr04">"[72]newabstract!#ref!"</definedName>
    <definedName name="_Apr05">"[72]newabstract!#ref!"</definedName>
    <definedName name="_Apr06">"[72]newabstract!#ref!"</definedName>
    <definedName name="_Apr07">"[72]newabstract!#ref!"</definedName>
    <definedName name="_Apr08">"[72]newabstract!#ref!"</definedName>
    <definedName name="_Apr09">"[72]newabstract!#ref!"</definedName>
    <definedName name="_Apr10">"[72]newabstract!#ref!"</definedName>
    <definedName name="_Apr11">"[72]newabstract!#ref!"</definedName>
    <definedName name="_Apr13">"[72]newabstract!#ref!"</definedName>
    <definedName name="_Apr14">"[72]newabstract!#ref!"</definedName>
    <definedName name="_Apr15">"[72]newabstract!#ref!"</definedName>
    <definedName name="_Apr16">"[72]newabstract!#ref!"</definedName>
    <definedName name="_Apr17">"[72]newabstract!#ref!"</definedName>
    <definedName name="_Apr20">"[72]newabstract!#ref!"</definedName>
    <definedName name="_Apr21">"[72]newabstract!#ref!"</definedName>
    <definedName name="_Apr22">"[72]newabstract!#ref!"</definedName>
    <definedName name="_Apr23">"[72]newabstract!#ref!"</definedName>
    <definedName name="_Apr24">"[72]newabstract!#ref!"</definedName>
    <definedName name="_Apr27">"[72]newabstract!#ref!"</definedName>
    <definedName name="_Apr28">"[72]newabstract!#ref!"</definedName>
    <definedName name="_Apr29">"[72]newabstract!#ref!"</definedName>
    <definedName name="_Apr30">"[72]newabstract!#ref!"</definedName>
    <definedName name="_atw2">NA()</definedName>
    <definedName name="_AUX1">NA()</definedName>
    <definedName name="_AUX111">#REF!</definedName>
    <definedName name="_aux2">#REF!</definedName>
    <definedName name="_AUX3">#REF!</definedName>
    <definedName name="_b">NA()</definedName>
    <definedName name="_bla1">#REF!</definedName>
    <definedName name="_bol1">NA()</definedName>
    <definedName name="_brush">NA()</definedName>
    <definedName name="_BSG100">NA()</definedName>
    <definedName name="_BSG150">NA()</definedName>
    <definedName name="_BSG5">NA()</definedName>
    <definedName name="_BSG75">NA()</definedName>
    <definedName name="_BTC1">NA()</definedName>
    <definedName name="_BTC10">NA()</definedName>
    <definedName name="_BTC11">NA()</definedName>
    <definedName name="_BTC12">NA()</definedName>
    <definedName name="_BTC13">NA()</definedName>
    <definedName name="_BTC14">NA()</definedName>
    <definedName name="_BTC15">NA()</definedName>
    <definedName name="_BTC16">NA()</definedName>
    <definedName name="_BTC17">NA()</definedName>
    <definedName name="_BTC18">NA()</definedName>
    <definedName name="_BTC19">NA()</definedName>
    <definedName name="_BTC2">NA()</definedName>
    <definedName name="_BTC20">NA()</definedName>
    <definedName name="_BTC21">NA()</definedName>
    <definedName name="_BTC22">NA()</definedName>
    <definedName name="_BTC23">NA()</definedName>
    <definedName name="_BTC24">NA()</definedName>
    <definedName name="_BTC3">NA()</definedName>
    <definedName name="_BTC4">NA()</definedName>
    <definedName name="_BTC5">NA()</definedName>
    <definedName name="_BTC6">NA()</definedName>
    <definedName name="_BTC7">NA()</definedName>
    <definedName name="_BTC8">NA()</definedName>
    <definedName name="_BTC9">NA()</definedName>
    <definedName name="_BTR1">NA()</definedName>
    <definedName name="_BTR10">NA()</definedName>
    <definedName name="_BTR11">NA()</definedName>
    <definedName name="_BTR12">NA()</definedName>
    <definedName name="_BTR13">NA()</definedName>
    <definedName name="_BTR14">NA()</definedName>
    <definedName name="_BTR15">NA()</definedName>
    <definedName name="_BTR16">NA()</definedName>
    <definedName name="_BTR17">NA()</definedName>
    <definedName name="_BTR18">NA()</definedName>
    <definedName name="_BTR19">NA()</definedName>
    <definedName name="_BTR2">NA()</definedName>
    <definedName name="_BTR20">NA()</definedName>
    <definedName name="_BTR21">NA()</definedName>
    <definedName name="_BTR22">NA()</definedName>
    <definedName name="_BTR23">NA()</definedName>
    <definedName name="_BTR24">NA()</definedName>
    <definedName name="_BTR3">NA()</definedName>
    <definedName name="_BTR4">NA()</definedName>
    <definedName name="_BTR5">NA()</definedName>
    <definedName name="_BTR6">NA()</definedName>
    <definedName name="_BTR7">NA()</definedName>
    <definedName name="_BTR8">NA()</definedName>
    <definedName name="_BTR9">NA()</definedName>
    <definedName name="_BTS1">NA()</definedName>
    <definedName name="_BTS10">NA()</definedName>
    <definedName name="_BTS11">NA()</definedName>
    <definedName name="_BTS12">NA()</definedName>
    <definedName name="_BTS13">NA()</definedName>
    <definedName name="_BTS14">NA()</definedName>
    <definedName name="_BTS15">NA()</definedName>
    <definedName name="_BTS16">NA()</definedName>
    <definedName name="_BTS17">NA()</definedName>
    <definedName name="_BTS18">NA()</definedName>
    <definedName name="_BTS19">NA()</definedName>
    <definedName name="_BTS2">NA()</definedName>
    <definedName name="_BTS20">NA()</definedName>
    <definedName name="_BTS21">NA()</definedName>
    <definedName name="_BTS22">NA()</definedName>
    <definedName name="_BTS23">NA()</definedName>
    <definedName name="_BTS24">NA()</definedName>
    <definedName name="_BTS3">NA()</definedName>
    <definedName name="_BTS4">NA()</definedName>
    <definedName name="_BTS5">NA()</definedName>
    <definedName name="_BTS6">NA()</definedName>
    <definedName name="_BTS7">NA()</definedName>
    <definedName name="_BTS8">NA()</definedName>
    <definedName name="_BTS9">NA()</definedName>
    <definedName name="_C">NA()</definedName>
    <definedName name="_C_10">NA()</definedName>
    <definedName name="_can430">40.73</definedName>
    <definedName name="_can435">43.3</definedName>
    <definedName name="_cbr1">NA()</definedName>
    <definedName name="_cbr2">NA()</definedName>
    <definedName name="_cbr3">NA()</definedName>
    <definedName name="_cbr4">NA()</definedName>
    <definedName name="_CCW1">#REF!</definedName>
    <definedName name="_CCW2">#REF!</definedName>
    <definedName name="_CD2">NA()</definedName>
    <definedName name="_CEM">NA()</definedName>
    <definedName name="_ceramic">NA()</definedName>
    <definedName name="_cir">#REF!</definedName>
    <definedName name="_COL10">NA()</definedName>
    <definedName name="_COL101">NA()</definedName>
    <definedName name="_COL11">NA()</definedName>
    <definedName name="_COL111">NA()</definedName>
    <definedName name="_cp">NA()</definedName>
    <definedName name="_Ctr10">NA()</definedName>
    <definedName name="_cur1">#REF!</definedName>
    <definedName name="_CY53__">NA()</definedName>
    <definedName name="_CY53___10">NA()</definedName>
    <definedName name="_dadoing">NA()</definedName>
    <definedName name="_df3">NA()</definedName>
    <definedName name="_div">#REF!</definedName>
    <definedName name="_E02">#REF!</definedName>
    <definedName name="_E05">#REF!</definedName>
    <definedName name="_E12">#REF!</definedName>
    <definedName name="_E29">#REF!</definedName>
    <definedName name="_E38">#REF!</definedName>
    <definedName name="_emulsion">NA()</definedName>
    <definedName name="_er1">NA()</definedName>
    <definedName name="_ewe1">#REF!</definedName>
    <definedName name="_exc1">NA()</definedName>
    <definedName name="_exc11">NA()</definedName>
    <definedName name="_exc2">NA()</definedName>
    <definedName name="_EXC3">NA()</definedName>
    <definedName name="_EXC4">NA()</definedName>
    <definedName name="_f1">NA()</definedName>
    <definedName name="_Fill" hidden="1">#REF!</definedName>
    <definedName name="_xlnm._FilterDatabase" localSheetId="0" hidden="1">RE!$M$6:$M$508</definedName>
    <definedName name="_flx200">NA()</definedName>
    <definedName name="_flx250">NA()</definedName>
    <definedName name="_flx300">NA()</definedName>
    <definedName name="_foo1">NA()</definedName>
    <definedName name="_foo2">NA()</definedName>
    <definedName name="_foo3">NA()</definedName>
    <definedName name="_FOO4">NA()</definedName>
    <definedName name="_G">NA()</definedName>
    <definedName name="_G120907">#REF!</definedName>
    <definedName name="_GBS11">NA()</definedName>
    <definedName name="_GBS110">NA()</definedName>
    <definedName name="_GBS111">NA()</definedName>
    <definedName name="_GBS112">NA()</definedName>
    <definedName name="_GBS113">NA()</definedName>
    <definedName name="_GBS114">NA()</definedName>
    <definedName name="_GBS115">NA()</definedName>
    <definedName name="_GBS116">NA()</definedName>
    <definedName name="_GBS117">NA()</definedName>
    <definedName name="_GBS118">NA()</definedName>
    <definedName name="_GBS119">NA()</definedName>
    <definedName name="_GBS12">NA()</definedName>
    <definedName name="_GBS120">NA()</definedName>
    <definedName name="_GBS121">NA()</definedName>
    <definedName name="_GBS122">NA()</definedName>
    <definedName name="_GBS123">NA()</definedName>
    <definedName name="_GBS124">NA()</definedName>
    <definedName name="_GBS13">NA()</definedName>
    <definedName name="_GBS14">NA()</definedName>
    <definedName name="_GBS15">NA()</definedName>
    <definedName name="_GBS16">NA()</definedName>
    <definedName name="_GBS17">NA()</definedName>
    <definedName name="_GBS18">NA()</definedName>
    <definedName name="_GBS19">NA()</definedName>
    <definedName name="_GBS21">NA()</definedName>
    <definedName name="_GBS210">NA()</definedName>
    <definedName name="_GBS211">NA()</definedName>
    <definedName name="_GBS212">NA()</definedName>
    <definedName name="_GBS213">NA()</definedName>
    <definedName name="_GBS214">NA()</definedName>
    <definedName name="_GBS215">NA()</definedName>
    <definedName name="_GBS216">NA()</definedName>
    <definedName name="_GBS217">NA()</definedName>
    <definedName name="_GBS218">NA()</definedName>
    <definedName name="_GBS219">NA()</definedName>
    <definedName name="_GBS22">NA()</definedName>
    <definedName name="_GBS220">NA()</definedName>
    <definedName name="_GBS221">NA()</definedName>
    <definedName name="_GBS222">NA()</definedName>
    <definedName name="_GBS223">NA()</definedName>
    <definedName name="_GBS224">NA()</definedName>
    <definedName name="_GBS23">NA()</definedName>
    <definedName name="_GBS24">NA()</definedName>
    <definedName name="_GBS25">NA()</definedName>
    <definedName name="_GBS26">NA()</definedName>
    <definedName name="_GBS27">NA()</definedName>
    <definedName name="_GBS28">NA()</definedName>
    <definedName name="_GBS29">NA()</definedName>
    <definedName name="_gk">NA()</definedName>
    <definedName name="_GOTO_I10_">NA()</definedName>
    <definedName name="_GOTO_I10__10">NA()</definedName>
    <definedName name="_GRA">NA()</definedName>
    <definedName name="_grp10003">NA()</definedName>
    <definedName name="_grp3503">NA()</definedName>
    <definedName name="_grp4003">NA()</definedName>
    <definedName name="_grp4503">NA()</definedName>
    <definedName name="_grp5003">NA()</definedName>
    <definedName name="_grp6003">NA()</definedName>
    <definedName name="_grp7003">NA()</definedName>
    <definedName name="_grp8003">NA()</definedName>
    <definedName name="_grp9003">NA()</definedName>
    <definedName name="_grstn">NA()</definedName>
    <definedName name="_grstn1">NA()</definedName>
    <definedName name="_gus1">NA()</definedName>
    <definedName name="_hab1">#REF!</definedName>
    <definedName name="_hpm1">#REF!</definedName>
    <definedName name="_I">NA()</definedName>
    <definedName name="_I06">NA()</definedName>
    <definedName name="_I10">NA()</definedName>
    <definedName name="_I12">NA()</definedName>
    <definedName name="_I150">NA()</definedName>
    <definedName name="_I20">NA()</definedName>
    <definedName name="_I25">NA()</definedName>
    <definedName name="_I40">NA()</definedName>
    <definedName name="_I50">NA()</definedName>
    <definedName name="_I60">NA()</definedName>
    <definedName name="_I65">NA()</definedName>
    <definedName name="_I75">NA()</definedName>
    <definedName name="_imp1">#REF!</definedName>
    <definedName name="_IRC12">#REF!</definedName>
    <definedName name="_IRC19">#REF!</definedName>
    <definedName name="_IRC25">#REF!</definedName>
    <definedName name="_IRC40">#REF!</definedName>
    <definedName name="_IRC5">#REF!</definedName>
    <definedName name="_IRC50">#REF!</definedName>
    <definedName name="_IRC60">#REF!</definedName>
    <definedName name="_IRC9">#REF!</definedName>
    <definedName name="_J">NA()</definedName>
    <definedName name="_ja">"[83]labour!#ref!"</definedName>
    <definedName name="_JCR23">NA()</definedName>
    <definedName name="_k1">NA()</definedName>
    <definedName name="_KC139">NA()</definedName>
    <definedName name="_KC580">NA()</definedName>
    <definedName name="_Key1" hidden="1">#REF!</definedName>
    <definedName name="_knr2">#REF!</definedName>
    <definedName name="_knr3">NA()</definedName>
    <definedName name="_L_BX">NA()</definedName>
    <definedName name="_L_CX">NA()</definedName>
    <definedName name="_l1">#REF!</definedName>
    <definedName name="_l12">#REF!</definedName>
    <definedName name="_l2">#REF!</definedName>
    <definedName name="_l3">#REF!</definedName>
    <definedName name="_l4">#REF!</definedName>
    <definedName name="_l5">#REF!</definedName>
    <definedName name="_l6">#REF!</definedName>
    <definedName name="_l7">#REF!</definedName>
    <definedName name="_l8">#REF!</definedName>
    <definedName name="_l9">#REF!</definedName>
    <definedName name="_LC1">"[84]labour!#ref!"</definedName>
    <definedName name="_LC2">"[84]labour!#ref!"</definedName>
    <definedName name="_lcn1">#REF!</definedName>
    <definedName name="_LEAD">#REF!</definedName>
    <definedName name="_LJ6">#REF!</definedName>
    <definedName name="_lj600">NA()</definedName>
    <definedName name="_lj900">NA()</definedName>
    <definedName name="_LL3">NA()</definedName>
    <definedName name="_lm1">NA()</definedName>
    <definedName name="_LSO24">"[14]lead!#ref!"</definedName>
    <definedName name="_m">NA()</definedName>
    <definedName name="_m_10">NA()</definedName>
    <definedName name="_M17">#REF!</definedName>
    <definedName name="_M38">#REF!</definedName>
    <definedName name="_M55">NA()</definedName>
    <definedName name="_M67">#REF!</definedName>
    <definedName name="_ma">NA()</definedName>
    <definedName name="_ma1">NA()</definedName>
    <definedName name="_ma2">NA()</definedName>
    <definedName name="_Mar06">"[72]newabstract!#ref!"</definedName>
    <definedName name="_Mar09">"[72]newabstract!#ref!"</definedName>
    <definedName name="_Mar10">"[72]newabstract!#ref!"</definedName>
    <definedName name="_Mar11">"[72]newabstract!#ref!"</definedName>
    <definedName name="_Mar12">"[72]newabstract!#ref!"</definedName>
    <definedName name="_Mar13">"[72]newabstract!#ref!"</definedName>
    <definedName name="_Mar16">"[72]newabstract!#ref!"</definedName>
    <definedName name="_Mar17">"[72]newabstract!#ref!"</definedName>
    <definedName name="_Mar18">"[72]newabstract!#ref!"</definedName>
    <definedName name="_Mar19">"[72]newabstract!#ref!"</definedName>
    <definedName name="_Mar20">"[72]newabstract!#ref!"</definedName>
    <definedName name="_Mar23">"[72]newabstract!#ref!"</definedName>
    <definedName name="_Mar24">"[72]newabstract!#ref!"</definedName>
    <definedName name="_Mar25">"[72]newabstract!#ref!"</definedName>
    <definedName name="_Mar26">"[72]newabstract!#ref!"</definedName>
    <definedName name="_Mar27">"[72]newabstract!#ref!"</definedName>
    <definedName name="_Mar28">"[72]newabstract!#ref!"</definedName>
    <definedName name="_Mar30">"[72]newabstract!#ref!"</definedName>
    <definedName name="_Mar31">"[72]newabstract!#ref!"</definedName>
    <definedName name="_me12">#REF!</definedName>
    <definedName name="_me15">#REF!</definedName>
    <definedName name="_me20">#REF!</definedName>
    <definedName name="_me40">#REF!</definedName>
    <definedName name="_melamine">NA()</definedName>
    <definedName name="_Met21">NA()</definedName>
    <definedName name="_Met22">NA()</definedName>
    <definedName name="_Met45">NA()</definedName>
    <definedName name="_MEt55">NA()</definedName>
    <definedName name="_Met63">NA()</definedName>
    <definedName name="_ML21">NA()</definedName>
    <definedName name="_ML210">NA()</definedName>
    <definedName name="_ML211">NA()</definedName>
    <definedName name="_ML212">NA()</definedName>
    <definedName name="_ML213">NA()</definedName>
    <definedName name="_ML214">NA()</definedName>
    <definedName name="_ML215">NA()</definedName>
    <definedName name="_ML216">NA()</definedName>
    <definedName name="_ML217">NA()</definedName>
    <definedName name="_ML218">NA()</definedName>
    <definedName name="_ML219">NA()</definedName>
    <definedName name="_ML22">NA()</definedName>
    <definedName name="_ML220">NA()</definedName>
    <definedName name="_ML221">NA()</definedName>
    <definedName name="_ML222">NA()</definedName>
    <definedName name="_ML223">NA()</definedName>
    <definedName name="_ML224">NA()</definedName>
    <definedName name="_ML23">NA()</definedName>
    <definedName name="_ML24">NA()</definedName>
    <definedName name="_ML25">NA()</definedName>
    <definedName name="_ML26">NA()</definedName>
    <definedName name="_ML27">NA()</definedName>
    <definedName name="_ML28">NA()</definedName>
    <definedName name="_ML29">NA()</definedName>
    <definedName name="_ML31">NA()</definedName>
    <definedName name="_ML310">NA()</definedName>
    <definedName name="_ML311">NA()</definedName>
    <definedName name="_ML312">NA()</definedName>
    <definedName name="_ML313">NA()</definedName>
    <definedName name="_ML314">NA()</definedName>
    <definedName name="_ML315">NA()</definedName>
    <definedName name="_ML316">NA()</definedName>
    <definedName name="_ML317">NA()</definedName>
    <definedName name="_ML318">NA()</definedName>
    <definedName name="_ML319">NA()</definedName>
    <definedName name="_ML32">NA()</definedName>
    <definedName name="_ML320">NA()</definedName>
    <definedName name="_ML321">NA()</definedName>
    <definedName name="_ML322">NA()</definedName>
    <definedName name="_ML323">NA()</definedName>
    <definedName name="_ML324">NA()</definedName>
    <definedName name="_ML33">NA()</definedName>
    <definedName name="_ML34">NA()</definedName>
    <definedName name="_ML35">NA()</definedName>
    <definedName name="_ML36">NA()</definedName>
    <definedName name="_ML37">NA()</definedName>
    <definedName name="_ML38">NA()</definedName>
    <definedName name="_ML39">NA()</definedName>
    <definedName name="_ML7">NA()</definedName>
    <definedName name="_ML8">NA()</definedName>
    <definedName name="_ML9">NA()</definedName>
    <definedName name="_mm">NA()</definedName>
    <definedName name="_mm1">#REF!</definedName>
    <definedName name="_mm1000">NA()</definedName>
    <definedName name="_mm1001">NA()</definedName>
    <definedName name="_mm11">#REF!</definedName>
    <definedName name="_mm111">#REF!</definedName>
    <definedName name="_mm20">NA()</definedName>
    <definedName name="_mm40">NA()</definedName>
    <definedName name="_mm600">NA()</definedName>
    <definedName name="_mm800">NA()</definedName>
    <definedName name="_MS6">#REF!</definedName>
    <definedName name="_MT1">NA()</definedName>
    <definedName name="_MT10">NA()</definedName>
    <definedName name="_MT100">NA()</definedName>
    <definedName name="_MT101">NA()</definedName>
    <definedName name="_MT102">NA()</definedName>
    <definedName name="_MT103">NA()</definedName>
    <definedName name="_MT104">NA()</definedName>
    <definedName name="_MT105">NA()</definedName>
    <definedName name="_MT106">NA()</definedName>
    <definedName name="_MT107">NA()</definedName>
    <definedName name="_MT108">NA()</definedName>
    <definedName name="_MT109">NA()</definedName>
    <definedName name="_MT11">NA()</definedName>
    <definedName name="_MT110">NA()</definedName>
    <definedName name="_MT111">NA()</definedName>
    <definedName name="_MT112">NA()</definedName>
    <definedName name="_MT113">NA()</definedName>
    <definedName name="_MT114">NA()</definedName>
    <definedName name="_MT115">NA()</definedName>
    <definedName name="_MT116">NA()</definedName>
    <definedName name="_MT117">NA()</definedName>
    <definedName name="_MT118">NA()</definedName>
    <definedName name="_MT119">NA()</definedName>
    <definedName name="_MT12">NA()</definedName>
    <definedName name="_MT120">NA()</definedName>
    <definedName name="_MT121">NA()</definedName>
    <definedName name="_MT122">NA()</definedName>
    <definedName name="_MT123">NA()</definedName>
    <definedName name="_MT124">NA()</definedName>
    <definedName name="_MT125">NA()</definedName>
    <definedName name="_MT126">NA()</definedName>
    <definedName name="_MT127">NA()</definedName>
    <definedName name="_MT128">NA()</definedName>
    <definedName name="_MT129">NA()</definedName>
    <definedName name="_MT13">NA()</definedName>
    <definedName name="_MT130">NA()</definedName>
    <definedName name="_MT131">NA()</definedName>
    <definedName name="_MT132">NA()</definedName>
    <definedName name="_MT133">NA()</definedName>
    <definedName name="_MT134">NA()</definedName>
    <definedName name="_MT135">NA()</definedName>
    <definedName name="_MT136">NA()</definedName>
    <definedName name="_MT137">NA()</definedName>
    <definedName name="_MT138">NA()</definedName>
    <definedName name="_MT139">NA()</definedName>
    <definedName name="_MT14">NA()</definedName>
    <definedName name="_MT140">NA()</definedName>
    <definedName name="_MT141">NA()</definedName>
    <definedName name="_MT142">NA()</definedName>
    <definedName name="_MT143">NA()</definedName>
    <definedName name="_MT144">NA()</definedName>
    <definedName name="_MT145">NA()</definedName>
    <definedName name="_MT146">NA()</definedName>
    <definedName name="_MT147">NA()</definedName>
    <definedName name="_MT148">NA()</definedName>
    <definedName name="_MT149">NA()</definedName>
    <definedName name="_MT15">NA()</definedName>
    <definedName name="_MT150">NA()</definedName>
    <definedName name="_MT16">NA()</definedName>
    <definedName name="_MT17">NA()</definedName>
    <definedName name="_MT18">NA()</definedName>
    <definedName name="_MT19">NA()</definedName>
    <definedName name="_MT2">NA()</definedName>
    <definedName name="_MT20">NA()</definedName>
    <definedName name="_MT21">NA()</definedName>
    <definedName name="_MT22">NA()</definedName>
    <definedName name="_MT23">NA()</definedName>
    <definedName name="_MT24">NA()</definedName>
    <definedName name="_MT25">NA()</definedName>
    <definedName name="_MT26">NA()</definedName>
    <definedName name="_MT27">NA()</definedName>
    <definedName name="_MT28">NA()</definedName>
    <definedName name="_MT29">NA()</definedName>
    <definedName name="_MT3">NA()</definedName>
    <definedName name="_MT30">NA()</definedName>
    <definedName name="_MT31">NA()</definedName>
    <definedName name="_MT32">NA()</definedName>
    <definedName name="_MT33">NA()</definedName>
    <definedName name="_MT34">NA()</definedName>
    <definedName name="_MT35">NA()</definedName>
    <definedName name="_MT36">NA()</definedName>
    <definedName name="_MT37">NA()</definedName>
    <definedName name="_MT38">NA()</definedName>
    <definedName name="_MT39">NA()</definedName>
    <definedName name="_MT4">NA()</definedName>
    <definedName name="_MT40">NA()</definedName>
    <definedName name="_MT41">NA()</definedName>
    <definedName name="_MT42">NA()</definedName>
    <definedName name="_MT43">NA()</definedName>
    <definedName name="_MT44">NA()</definedName>
    <definedName name="_MT45">NA()</definedName>
    <definedName name="_MT46">NA()</definedName>
    <definedName name="_MT47">NA()</definedName>
    <definedName name="_MT48">NA()</definedName>
    <definedName name="_MT49">NA()</definedName>
    <definedName name="_MT5">NA()</definedName>
    <definedName name="_MT50">NA()</definedName>
    <definedName name="_MT500">NA()</definedName>
    <definedName name="_MT51">NA()</definedName>
    <definedName name="_MT52">NA()</definedName>
    <definedName name="_MT53">NA()</definedName>
    <definedName name="_MT54">NA()</definedName>
    <definedName name="_MT55">NA()</definedName>
    <definedName name="_MT56">NA()</definedName>
    <definedName name="_MT57">NA()</definedName>
    <definedName name="_MT58">NA()</definedName>
    <definedName name="_MT59">NA()</definedName>
    <definedName name="_MT6">NA()</definedName>
    <definedName name="_MT60">NA()</definedName>
    <definedName name="_MT61">NA()</definedName>
    <definedName name="_MT62">NA()</definedName>
    <definedName name="_MT63">NA()</definedName>
    <definedName name="_MT64">NA()</definedName>
    <definedName name="_MT65">NA()</definedName>
    <definedName name="_MT66">NA()</definedName>
    <definedName name="_MT67">NA()</definedName>
    <definedName name="_MT68">NA()</definedName>
    <definedName name="_MT69">NA()</definedName>
    <definedName name="_MT7">NA()</definedName>
    <definedName name="_MT70">NA()</definedName>
    <definedName name="_MT71">NA()</definedName>
    <definedName name="_MT72">NA()</definedName>
    <definedName name="_MT73">NA()</definedName>
    <definedName name="_MT74">NA()</definedName>
    <definedName name="_MT75">NA()</definedName>
    <definedName name="_MT76">NA()</definedName>
    <definedName name="_MT77">NA()</definedName>
    <definedName name="_MT78">NA()</definedName>
    <definedName name="_MT79">NA()</definedName>
    <definedName name="_MT8">NA()</definedName>
    <definedName name="_MT80">NA()</definedName>
    <definedName name="_MT81">NA()</definedName>
    <definedName name="_MT82">NA()</definedName>
    <definedName name="_MT83">NA()</definedName>
    <definedName name="_MT84">NA()</definedName>
    <definedName name="_MT85">NA()</definedName>
    <definedName name="_MT86">NA()</definedName>
    <definedName name="_MT87">NA()</definedName>
    <definedName name="_MT88">NA()</definedName>
    <definedName name="_MT89">NA()</definedName>
    <definedName name="_MT9">NA()</definedName>
    <definedName name="_MT90">NA()</definedName>
    <definedName name="_MT91">NA()</definedName>
    <definedName name="_MT92">NA()</definedName>
    <definedName name="_MT93">NA()</definedName>
    <definedName name="_MT94">NA()</definedName>
    <definedName name="_MT95">NA()</definedName>
    <definedName name="_MT96">NA()</definedName>
    <definedName name="_MT97">NA()</definedName>
    <definedName name="_MT98">NA()</definedName>
    <definedName name="_MT99">NA()</definedName>
    <definedName name="_N">NA()</definedName>
    <definedName name="_n_10">NA()</definedName>
    <definedName name="_ne10">#REF!</definedName>
    <definedName name="_New1">#REF!</definedName>
    <definedName name="_NW">#REF!</definedName>
    <definedName name="_o">NA()</definedName>
    <definedName name="_O10">NA()</definedName>
    <definedName name="_O100">NA()</definedName>
    <definedName name="_O12">NA()</definedName>
    <definedName name="_O150">NA()</definedName>
    <definedName name="_O20">NA()</definedName>
    <definedName name="_O300">NA()</definedName>
    <definedName name="_O45">NA()</definedName>
    <definedName name="_O450">NA()</definedName>
    <definedName name="_O55">NA()</definedName>
    <definedName name="_O65">NA()</definedName>
    <definedName name="_O75">NA()</definedName>
    <definedName name="_OCM01">"[98]office!$a$19"</definedName>
    <definedName name="_od1">NA()</definedName>
    <definedName name="_OH1">#REF!</definedName>
    <definedName name="_OQUA">NA()</definedName>
    <definedName name="_Order1" hidden="1">255</definedName>
    <definedName name="_p">NA()</definedName>
    <definedName name="_p_10">NA()</definedName>
    <definedName name="_p5">NA()</definedName>
    <definedName name="_pa1">#REF!</definedName>
    <definedName name="_pa2">#REF!</definedName>
    <definedName name="_PC1">NA()</definedName>
    <definedName name="_PC10">NA()</definedName>
    <definedName name="_PC11">NA()</definedName>
    <definedName name="_PC12">NA()</definedName>
    <definedName name="_PC13">NA()</definedName>
    <definedName name="_PC14">NA()</definedName>
    <definedName name="_PC15">NA()</definedName>
    <definedName name="_PC16">NA()</definedName>
    <definedName name="_PC17">NA()</definedName>
    <definedName name="_PC18">NA()</definedName>
    <definedName name="_PC19">NA()</definedName>
    <definedName name="_pc2">#REF!</definedName>
    <definedName name="_PC20">NA()</definedName>
    <definedName name="_PC21">NA()</definedName>
    <definedName name="_PC22">NA()</definedName>
    <definedName name="_PC23">NA()</definedName>
    <definedName name="_PC24">NA()</definedName>
    <definedName name="_PC3">NA()</definedName>
    <definedName name="_PC4">NA()</definedName>
    <definedName name="_PC5">NA()</definedName>
    <definedName name="_PC6">NA()</definedName>
    <definedName name="_pc600">NA()</definedName>
    <definedName name="_PC7">NA()</definedName>
    <definedName name="_PC8">NA()</definedName>
    <definedName name="_PC9">NA()</definedName>
    <definedName name="_pc900">NA()</definedName>
    <definedName name="_pcc1">NA()</definedName>
    <definedName name="_pcc2">NA()</definedName>
    <definedName name="_pcc3">NA()</definedName>
    <definedName name="_PCC4">NA()</definedName>
    <definedName name="_pipe_con_1100">"[99]mlead!#ref!"</definedName>
    <definedName name="_pipe_con_500">#REF!</definedName>
    <definedName name="_pipe_con_700">#REF!</definedName>
    <definedName name="_pipe_ic_1100">#REF!</definedName>
    <definedName name="_pipe_ic_500">#REF!</definedName>
    <definedName name="_pipe_ic_700">#REF!</definedName>
    <definedName name="_PL">NA()</definedName>
    <definedName name="_pla4">#REF!</definedName>
    <definedName name="_plb1">NA()</definedName>
    <definedName name="_plb2">NA()</definedName>
    <definedName name="_plb3">NA()</definedName>
    <definedName name="_plb4">NA()</definedName>
    <definedName name="_PPA14">NA()</definedName>
    <definedName name="_PPB154">NA()</definedName>
    <definedName name="_PPB155">NA()</definedName>
    <definedName name="_PPB16">NA()</definedName>
    <definedName name="_PPB17">NA()</definedName>
    <definedName name="_PPB18">NA()</definedName>
    <definedName name="_PPB19">NA()</definedName>
    <definedName name="_PPB2">NA()</definedName>
    <definedName name="_PPB20">NA()</definedName>
    <definedName name="_PPB21">NA()</definedName>
    <definedName name="_PPB22">NA()</definedName>
    <definedName name="_PPB23">NA()</definedName>
    <definedName name="_PPB24">NA()</definedName>
    <definedName name="_PPB25">NA()</definedName>
    <definedName name="_PPB26">NA()</definedName>
    <definedName name="_PPB27">NA()</definedName>
    <definedName name="_PPB28">NA()</definedName>
    <definedName name="_PPB29">NA()</definedName>
    <definedName name="_PPB3">NA()</definedName>
    <definedName name="_PPB30">NA()</definedName>
    <definedName name="_PPB31">NA()</definedName>
    <definedName name="_PPB32">NA()</definedName>
    <definedName name="_PPB33">NA()</definedName>
    <definedName name="_PPB34">NA()</definedName>
    <definedName name="_PPB35">NA()</definedName>
    <definedName name="_PPB36">NA()</definedName>
    <definedName name="_PPB37">NA()</definedName>
    <definedName name="_PPB38">NA()</definedName>
    <definedName name="_PPB39">NA()</definedName>
    <definedName name="_PPB4">NA()</definedName>
    <definedName name="_PPB40">NA()</definedName>
    <definedName name="_PPB41">NA()</definedName>
    <definedName name="_PPB42">NA()</definedName>
    <definedName name="_PPB43">NA()</definedName>
    <definedName name="_PPB44">NA()</definedName>
    <definedName name="_PPB45">NA()</definedName>
    <definedName name="_PPB46">NA()</definedName>
    <definedName name="_PPB47">NA()</definedName>
    <definedName name="_PPB48">NA()</definedName>
    <definedName name="_PPB49">NA()</definedName>
    <definedName name="_PPB5">NA()</definedName>
    <definedName name="_PPB50">NA()</definedName>
    <definedName name="_PPB51">NA()</definedName>
    <definedName name="_PPB52">NA()</definedName>
    <definedName name="_PPB53">NA()</definedName>
    <definedName name="_PPB54">NA()</definedName>
    <definedName name="_PPB55">NA()</definedName>
    <definedName name="_PPB56">NA()</definedName>
    <definedName name="_PPB57">NA()</definedName>
    <definedName name="_PPB58">NA()</definedName>
    <definedName name="_PPB59">NA()</definedName>
    <definedName name="_PPB6">NA()</definedName>
    <definedName name="_PPB60">NA()</definedName>
    <definedName name="_PPB61">NA()</definedName>
    <definedName name="_PPB62">NA()</definedName>
    <definedName name="_PPB63">NA()</definedName>
    <definedName name="_PPB64">NA()</definedName>
    <definedName name="_PPB65">NA()</definedName>
    <definedName name="_PPB66">NA()</definedName>
    <definedName name="_PPB67">NA()</definedName>
    <definedName name="_PPB68">NA()</definedName>
    <definedName name="_PPB69">NA()</definedName>
    <definedName name="_PPB7">NA()</definedName>
    <definedName name="_PPB70">NA()</definedName>
    <definedName name="_PPB71">NA()</definedName>
    <definedName name="_PPB72">NA()</definedName>
    <definedName name="_PPB73">NA()</definedName>
    <definedName name="_PPB74">NA()</definedName>
    <definedName name="_PPB75">NA()</definedName>
    <definedName name="_PPB76">NA()</definedName>
    <definedName name="_PPB77">NA()</definedName>
    <definedName name="_PPB78">NA()</definedName>
    <definedName name="_PPB79">NA()</definedName>
    <definedName name="_PPB8">NA()</definedName>
    <definedName name="_PPB80">NA()</definedName>
    <definedName name="_PPB81">NA()</definedName>
    <definedName name="_PPB82">NA()</definedName>
    <definedName name="_PPB83">NA()</definedName>
    <definedName name="_PPB84">NA()</definedName>
    <definedName name="_PPB85">NA()</definedName>
    <definedName name="_PPB86">NA()</definedName>
    <definedName name="_PPB87">NA()</definedName>
    <definedName name="_PPB88">NA()</definedName>
    <definedName name="_PPB89">NA()</definedName>
    <definedName name="_PPB9">NA()</definedName>
    <definedName name="_PPB90">NA()</definedName>
    <definedName name="_PPB91">NA()</definedName>
    <definedName name="_PPB92">NA()</definedName>
    <definedName name="_PPB93">NA()</definedName>
    <definedName name="_PPB94">NA()</definedName>
    <definedName name="_PPB95">NA()</definedName>
    <definedName name="_PPB96">NA()</definedName>
    <definedName name="_PPB97">NA()</definedName>
    <definedName name="_PPB98">NA()</definedName>
    <definedName name="_PPB99">NA()</definedName>
    <definedName name="_PPC1">NA()</definedName>
    <definedName name="_PPC10">NA()</definedName>
    <definedName name="_PPC100">NA()</definedName>
    <definedName name="_PPC101">NA()</definedName>
    <definedName name="_PPC102">NA()</definedName>
    <definedName name="_PPC103">NA()</definedName>
    <definedName name="_PPC104">NA()</definedName>
    <definedName name="_PPC105">NA()</definedName>
    <definedName name="_PPC106">NA()</definedName>
    <definedName name="_PPC107">NA()</definedName>
    <definedName name="_PPC108">NA()</definedName>
    <definedName name="_PPC109">NA()</definedName>
    <definedName name="_PPC11">NA()</definedName>
    <definedName name="_PPC110">NA()</definedName>
    <definedName name="_PPC111">NA()</definedName>
    <definedName name="_PPC112">NA()</definedName>
    <definedName name="_PPC113">NA()</definedName>
    <definedName name="_PPC114">NA()</definedName>
    <definedName name="_PPC115">NA()</definedName>
    <definedName name="_PPC116">NA()</definedName>
    <definedName name="_PPC117">NA()</definedName>
    <definedName name="_PPC118">NA()</definedName>
    <definedName name="_PPC119">NA()</definedName>
    <definedName name="_PPC12">NA()</definedName>
    <definedName name="_PPC120">NA()</definedName>
    <definedName name="_PPC121">NA()</definedName>
    <definedName name="_PPC122">NA()</definedName>
    <definedName name="_PPC123">NA()</definedName>
    <definedName name="_PPC124">NA()</definedName>
    <definedName name="_PPC125">NA()</definedName>
    <definedName name="_PPC126">NA()</definedName>
    <definedName name="_PPC127">NA()</definedName>
    <definedName name="_PPC128">NA()</definedName>
    <definedName name="_PPC129">NA()</definedName>
    <definedName name="_PPC13">NA()</definedName>
    <definedName name="_PPC130">NA()</definedName>
    <definedName name="_PPC131">NA()</definedName>
    <definedName name="_PPC132">NA()</definedName>
    <definedName name="_PPC133">NA()</definedName>
    <definedName name="_PPC134">NA()</definedName>
    <definedName name="_PPC135">NA()</definedName>
    <definedName name="_PPC136">NA()</definedName>
    <definedName name="_PPC137">NA()</definedName>
    <definedName name="_PPC138">NA()</definedName>
    <definedName name="_PPC139">NA()</definedName>
    <definedName name="_PPC14">NA()</definedName>
    <definedName name="_PPC140">NA()</definedName>
    <definedName name="_PPC141">NA()</definedName>
    <definedName name="_PPC142">NA()</definedName>
    <definedName name="_PPC143">NA()</definedName>
    <definedName name="_PPC144">NA()</definedName>
    <definedName name="_PPC145">NA()</definedName>
    <definedName name="_PPC146">NA()</definedName>
    <definedName name="_PPC147">NA()</definedName>
    <definedName name="_PPC148">NA()</definedName>
    <definedName name="_PPC149">NA()</definedName>
    <definedName name="_PPC15">NA()</definedName>
    <definedName name="_PPC150">NA()</definedName>
    <definedName name="_PPC151">NA()</definedName>
    <definedName name="_PPC152">NA()</definedName>
    <definedName name="_PPC153">NA()</definedName>
    <definedName name="_PPC154">NA()</definedName>
    <definedName name="_PPC155">NA()</definedName>
    <definedName name="_PPC16">NA()</definedName>
    <definedName name="_PPC17">NA()</definedName>
    <definedName name="_PPC18">NA()</definedName>
    <definedName name="_PPC19">NA()</definedName>
    <definedName name="_PPC2">NA()</definedName>
    <definedName name="_PPC20">NA()</definedName>
    <definedName name="_PPC21">NA()</definedName>
    <definedName name="_PPC22">NA()</definedName>
    <definedName name="_PPC23">NA()</definedName>
    <definedName name="_PPC24">NA()</definedName>
    <definedName name="_PPC25">NA()</definedName>
    <definedName name="_PPC26">NA()</definedName>
    <definedName name="_PPC27">NA()</definedName>
    <definedName name="_PPC28">NA()</definedName>
    <definedName name="_PPC29">NA()</definedName>
    <definedName name="_PPC3">NA()</definedName>
    <definedName name="_PPC30">NA()</definedName>
    <definedName name="_PPC31">NA()</definedName>
    <definedName name="_PPC32">NA()</definedName>
    <definedName name="_PPC33">NA()</definedName>
    <definedName name="_PPC34">NA()</definedName>
    <definedName name="_PPC35">NA()</definedName>
    <definedName name="_PPC36">NA()</definedName>
    <definedName name="_PPC37">NA()</definedName>
    <definedName name="_PPC38">NA()</definedName>
    <definedName name="_PPC39">NA()</definedName>
    <definedName name="_PPC4">NA()</definedName>
    <definedName name="_PPC40">NA()</definedName>
    <definedName name="_PPC41">NA()</definedName>
    <definedName name="_PPC42">NA()</definedName>
    <definedName name="_PPC43">NA()</definedName>
    <definedName name="_PPC44">NA()</definedName>
    <definedName name="_PPC45">NA()</definedName>
    <definedName name="_PPC46">NA()</definedName>
    <definedName name="_PPC47">NA()</definedName>
    <definedName name="_PPC48">NA()</definedName>
    <definedName name="_PPC49">NA()</definedName>
    <definedName name="_PPC5">NA()</definedName>
    <definedName name="_PPC50">NA()</definedName>
    <definedName name="_PPC51">NA()</definedName>
    <definedName name="_PPC52">NA()</definedName>
    <definedName name="_PPC53">NA()</definedName>
    <definedName name="_PPC54">NA()</definedName>
    <definedName name="_PPC55">NA()</definedName>
    <definedName name="_PPC56">NA()</definedName>
    <definedName name="_PPC57">NA()</definedName>
    <definedName name="_PPC58">NA()</definedName>
    <definedName name="_PPC59">NA()</definedName>
    <definedName name="_PPC6">NA()</definedName>
    <definedName name="_PPC60">NA()</definedName>
    <definedName name="_PPC61">NA()</definedName>
    <definedName name="_PPC62">NA()</definedName>
    <definedName name="_PPC63">NA()</definedName>
    <definedName name="_PPC64">NA()</definedName>
    <definedName name="_PPC65">NA()</definedName>
    <definedName name="_PPC66">NA()</definedName>
    <definedName name="_PPC67">NA()</definedName>
    <definedName name="_PPC68">NA()</definedName>
    <definedName name="_PPC69">NA()</definedName>
    <definedName name="_PPC7">NA()</definedName>
    <definedName name="_PPC70">NA()</definedName>
    <definedName name="_PPC71">NA()</definedName>
    <definedName name="_PPC72">NA()</definedName>
    <definedName name="_PPC73">NA()</definedName>
    <definedName name="_PPC74">NA()</definedName>
    <definedName name="_PPC75">NA()</definedName>
    <definedName name="_PPC76">NA()</definedName>
    <definedName name="_PPC77">NA()</definedName>
    <definedName name="_PPC78">NA()</definedName>
    <definedName name="_PPC79">NA()</definedName>
    <definedName name="_PPC8">NA()</definedName>
    <definedName name="_PPC80">NA()</definedName>
    <definedName name="_PPC81">NA()</definedName>
    <definedName name="_PPC82">NA()</definedName>
    <definedName name="_PPC83">NA()</definedName>
    <definedName name="_PPC84">NA()</definedName>
    <definedName name="_PPC85">NA()</definedName>
    <definedName name="_PPC86">NA()</definedName>
    <definedName name="_PPC87">NA()</definedName>
    <definedName name="_PPC88">NA()</definedName>
    <definedName name="_PPC89">NA()</definedName>
    <definedName name="_PPC9">NA()</definedName>
    <definedName name="_PPC90">NA()</definedName>
    <definedName name="_PPC91">NA()</definedName>
    <definedName name="_PPC92">NA()</definedName>
    <definedName name="_PPC93">NA()</definedName>
    <definedName name="_PPC94">NA()</definedName>
    <definedName name="_PPC95">NA()</definedName>
    <definedName name="_PPD114">NA()</definedName>
    <definedName name="_PPD89">NA()</definedName>
    <definedName name="_PPRN3__AF242">NA()</definedName>
    <definedName name="_PPRN3__AF242_10">NA()</definedName>
    <definedName name="_PR1">NA()</definedName>
    <definedName name="_PR2">NA()</definedName>
    <definedName name="_PR3">NA()</definedName>
    <definedName name="_PR4">NA()</definedName>
    <definedName name="_PR5">NA()</definedName>
    <definedName name="_PR6">NA()</definedName>
    <definedName name="_PR7">NA()</definedName>
    <definedName name="_psc10006">NA()</definedName>
    <definedName name="_psc10008">NA()</definedName>
    <definedName name="_psc3506">NA()</definedName>
    <definedName name="_psc3508">NA()</definedName>
    <definedName name="_psc4006">NA()</definedName>
    <definedName name="_psc4008">NA()</definedName>
    <definedName name="_psc4506">NA()</definedName>
    <definedName name="_psc4508">NA()</definedName>
    <definedName name="_psc5006">NA()</definedName>
    <definedName name="_psc5008">NA()</definedName>
    <definedName name="_psc6006">NA()</definedName>
    <definedName name="_psc6008">NA()</definedName>
    <definedName name="_psc7006">NA()</definedName>
    <definedName name="_psc7008">NA()</definedName>
    <definedName name="_psc8006">NA()</definedName>
    <definedName name="_psc8008">NA()</definedName>
    <definedName name="_psc9006">NA()</definedName>
    <definedName name="_psc9008">NA()</definedName>
    <definedName name="_pv1">NA()</definedName>
    <definedName name="_pv2">#REF!</definedName>
    <definedName name="_Q">NA()</definedName>
    <definedName name="_QS25">#REF!</definedName>
    <definedName name="_QS40">#REF!</definedName>
    <definedName name="_QUA">NA()</definedName>
    <definedName name="_QUA_RABBISH">NA()</definedName>
    <definedName name="_r">NA()</definedName>
    <definedName name="_r_10">NA()</definedName>
    <definedName name="_rabbit">NA()</definedName>
    <definedName name="_RNN1">"[101]column!#ref!"</definedName>
    <definedName name="_rr3">#REF!</definedName>
    <definedName name="_rrr1">#REF!</definedName>
    <definedName name="_RS300">NA()</definedName>
    <definedName name="_RT5565">#REF!</definedName>
    <definedName name="_RVAE306___DOWN">NA()</definedName>
    <definedName name="_RVAE306___DOWN_10">NA()</definedName>
    <definedName name="_RVAE358___DOWN">NA()</definedName>
    <definedName name="_RVAE358___DOWN_10">NA()</definedName>
    <definedName name="_RVAE395___DOWN">NA()</definedName>
    <definedName name="_RVAE395___DOWN_10">NA()</definedName>
    <definedName name="_RVY53__AE53__">NA()</definedName>
    <definedName name="_RVY53__AE53___10">NA()</definedName>
    <definedName name="_S">#REF!</definedName>
    <definedName name="_s_10">NA()</definedName>
    <definedName name="_S06">NA()</definedName>
    <definedName name="_s1">NA()</definedName>
    <definedName name="_S10">NA()</definedName>
    <definedName name="_S100">NA()</definedName>
    <definedName name="_S12">NA()</definedName>
    <definedName name="_S20">NA()</definedName>
    <definedName name="_S25">NA()</definedName>
    <definedName name="_S40">NA()</definedName>
    <definedName name="_S50">NA()</definedName>
    <definedName name="_S60">NA()</definedName>
    <definedName name="_S65">NA()</definedName>
    <definedName name="_S75">NA()</definedName>
    <definedName name="_SANF">NA()</definedName>
    <definedName name="_SANM">NA()</definedName>
    <definedName name="_SD10">NA()</definedName>
    <definedName name="_SD100">NA()</definedName>
    <definedName name="_SD101">NA()</definedName>
    <definedName name="_SD102">NA()</definedName>
    <definedName name="_SD103">NA()</definedName>
    <definedName name="_SD104">NA()</definedName>
    <definedName name="_SD105">NA()</definedName>
    <definedName name="_SD106">NA()</definedName>
    <definedName name="_SD107">NA()</definedName>
    <definedName name="_SD108">NA()</definedName>
    <definedName name="_SD109">NA()</definedName>
    <definedName name="_SD11">NA()</definedName>
    <definedName name="_SD110">NA()</definedName>
    <definedName name="_SD111">NA()</definedName>
    <definedName name="_SD112">NA()</definedName>
    <definedName name="_SD113">NA()</definedName>
    <definedName name="_SD114">NA()</definedName>
    <definedName name="_SD115">NA()</definedName>
    <definedName name="_SD116">NA()</definedName>
    <definedName name="_SD117">NA()</definedName>
    <definedName name="_SD118">NA()</definedName>
    <definedName name="_SD119">NA()</definedName>
    <definedName name="_SD12">NA()</definedName>
    <definedName name="_SD120">NA()</definedName>
    <definedName name="_SD121">NA()</definedName>
    <definedName name="_SD122">NA()</definedName>
    <definedName name="_SD123">NA()</definedName>
    <definedName name="_SD124">NA()</definedName>
    <definedName name="_SD125">NA()</definedName>
    <definedName name="_SD126">NA()</definedName>
    <definedName name="_SD127">NA()</definedName>
    <definedName name="_SD128">NA()</definedName>
    <definedName name="_SD129">NA()</definedName>
    <definedName name="_SD13">NA()</definedName>
    <definedName name="_SD130">NA()</definedName>
    <definedName name="_SD131">NA()</definedName>
    <definedName name="_SD132">NA()</definedName>
    <definedName name="_SD133">NA()</definedName>
    <definedName name="_SD134">NA()</definedName>
    <definedName name="_SD135">NA()</definedName>
    <definedName name="_SD136">NA()</definedName>
    <definedName name="_SD137">NA()</definedName>
    <definedName name="_SD138">NA()</definedName>
    <definedName name="_SD139">NA()</definedName>
    <definedName name="_SD14">NA()</definedName>
    <definedName name="_SD140">NA()</definedName>
    <definedName name="_SD141">NA()</definedName>
    <definedName name="_SD142">NA()</definedName>
    <definedName name="_SD143">NA()</definedName>
    <definedName name="_SD144">NA()</definedName>
    <definedName name="_SD145">NA()</definedName>
    <definedName name="_SD146">NA()</definedName>
    <definedName name="_SD147">NA()</definedName>
    <definedName name="_SD148">NA()</definedName>
    <definedName name="_SD149">NA()</definedName>
    <definedName name="_SD15">NA()</definedName>
    <definedName name="_SD150">NA()</definedName>
    <definedName name="_SD16">NA()</definedName>
    <definedName name="_SD17">NA()</definedName>
    <definedName name="_SD18">NA()</definedName>
    <definedName name="_SD19">NA()</definedName>
    <definedName name="_SD2">NA()</definedName>
    <definedName name="_SD20">NA()</definedName>
    <definedName name="_SD21">NA()</definedName>
    <definedName name="_SD22">NA()</definedName>
    <definedName name="_SD23">NA()</definedName>
    <definedName name="_SD24">NA()</definedName>
    <definedName name="_SD25">NA()</definedName>
    <definedName name="_SD250">NA()</definedName>
    <definedName name="_SD26">NA()</definedName>
    <definedName name="_SD27">NA()</definedName>
    <definedName name="_SD28">NA()</definedName>
    <definedName name="_SD29">NA()</definedName>
    <definedName name="_SD3">NA()</definedName>
    <definedName name="_SD30">NA()</definedName>
    <definedName name="_SD31">NA()</definedName>
    <definedName name="_SD32">NA()</definedName>
    <definedName name="_SD33">NA()</definedName>
    <definedName name="_SD34">NA()</definedName>
    <definedName name="_SD35">NA()</definedName>
    <definedName name="_SD36">NA()</definedName>
    <definedName name="_SD37">NA()</definedName>
    <definedName name="_SD38">NA()</definedName>
    <definedName name="_SD39">NA()</definedName>
    <definedName name="_SD4">NA()</definedName>
    <definedName name="_SD40">NA()</definedName>
    <definedName name="_SD41">NA()</definedName>
    <definedName name="_SD42">NA()</definedName>
    <definedName name="_SD43">NA()</definedName>
    <definedName name="_SD44">NA()</definedName>
    <definedName name="_SD45">NA()</definedName>
    <definedName name="_SD46">NA()</definedName>
    <definedName name="_SD47">NA()</definedName>
    <definedName name="_SD48">NA()</definedName>
    <definedName name="_SD49">NA()</definedName>
    <definedName name="_SD5">NA()</definedName>
    <definedName name="_SD50">NA()</definedName>
    <definedName name="_SD500">NA()</definedName>
    <definedName name="_SD51">NA()</definedName>
    <definedName name="_SD52">NA()</definedName>
    <definedName name="_SD53">NA()</definedName>
    <definedName name="_SD54">NA()</definedName>
    <definedName name="_SD55">NA()</definedName>
    <definedName name="_SD56">NA()</definedName>
    <definedName name="_SD57">NA()</definedName>
    <definedName name="_SD58">NA()</definedName>
    <definedName name="_SD59">NA()</definedName>
    <definedName name="_SD6">NA()</definedName>
    <definedName name="_SD60">NA()</definedName>
    <definedName name="_SD61">NA()</definedName>
    <definedName name="_SD62">NA()</definedName>
    <definedName name="_SD63">NA()</definedName>
    <definedName name="_SD64">NA()</definedName>
    <definedName name="_SD65">NA()</definedName>
    <definedName name="_SD66">NA()</definedName>
    <definedName name="_SD67">NA()</definedName>
    <definedName name="_SD68">NA()</definedName>
    <definedName name="_SD69">NA()</definedName>
    <definedName name="_SD7">NA()</definedName>
    <definedName name="_SD70">NA()</definedName>
    <definedName name="_SD71">NA()</definedName>
    <definedName name="_SD72">NA()</definedName>
    <definedName name="_SD73">NA()</definedName>
    <definedName name="_SD74">NA()</definedName>
    <definedName name="_SD75">NA()</definedName>
    <definedName name="_SD76">NA()</definedName>
    <definedName name="_SD77">NA()</definedName>
    <definedName name="_SD78">NA()</definedName>
    <definedName name="_SD79">NA()</definedName>
    <definedName name="_SD8">NA()</definedName>
    <definedName name="_SD80">NA()</definedName>
    <definedName name="_SD81">NA()</definedName>
    <definedName name="_SD82">NA()</definedName>
    <definedName name="_SD83">NA()</definedName>
    <definedName name="_SD84">NA()</definedName>
    <definedName name="_SD85">NA()</definedName>
    <definedName name="_SD86">NA()</definedName>
    <definedName name="_SD87">NA()</definedName>
    <definedName name="_SD88">NA()</definedName>
    <definedName name="_SD89">NA()</definedName>
    <definedName name="_SD9">NA()</definedName>
    <definedName name="_SD90">NA()</definedName>
    <definedName name="_SD91">NA()</definedName>
    <definedName name="_SD92">NA()</definedName>
    <definedName name="_SD93">NA()</definedName>
    <definedName name="_SD94">NA()</definedName>
    <definedName name="_SD95">NA()</definedName>
    <definedName name="_SD96">NA()</definedName>
    <definedName name="_SD97">NA()</definedName>
    <definedName name="_SD98">NA()</definedName>
    <definedName name="_SD99">NA()</definedName>
    <definedName name="_sec1">NA()</definedName>
    <definedName name="_Sec2">NA()</definedName>
    <definedName name="_sec3">NA()</definedName>
    <definedName name="_Sec4">NA()</definedName>
    <definedName name="_sec5">NA()</definedName>
    <definedName name="_sec6">NA()</definedName>
    <definedName name="_sec7">NA()</definedName>
    <definedName name="_sec71">NA()</definedName>
    <definedName name="_SEC77">NA()</definedName>
    <definedName name="_sec8">NA()</definedName>
    <definedName name="_sec81">NA()</definedName>
    <definedName name="_SEC88">NA()</definedName>
    <definedName name="_SEC9">NA()</definedName>
    <definedName name="_SEG1">"[98]lab!$h$1:$i$65535"</definedName>
    <definedName name="_sep1">#REF!</definedName>
    <definedName name="_SH1">NA()</definedName>
    <definedName name="_SH2">NA()</definedName>
    <definedName name="_SH3">NA()</definedName>
    <definedName name="_SH4">NA()</definedName>
    <definedName name="_SH5">NA()</definedName>
    <definedName name="_shahbad">NA()</definedName>
    <definedName name="_skirting_grn">NA()</definedName>
    <definedName name="_skirting_vit">NA()</definedName>
    <definedName name="_SO016">NA()</definedName>
    <definedName name="_Sort">NA()</definedName>
    <definedName name="_SP001">NA()</definedName>
    <definedName name="_SP002">NA()</definedName>
    <definedName name="_SP003">NA()</definedName>
    <definedName name="_SP004">NA()</definedName>
    <definedName name="_SP005">NA()</definedName>
    <definedName name="_SP006">NA()</definedName>
    <definedName name="_SP007">NA()</definedName>
    <definedName name="_SP008">NA()</definedName>
    <definedName name="_SP009">NA()</definedName>
    <definedName name="_SP010">NA()</definedName>
    <definedName name="_SP011">NA()</definedName>
    <definedName name="_SP012">NA()</definedName>
    <definedName name="_SP013">NA()</definedName>
    <definedName name="_SP014">NA()</definedName>
    <definedName name="_SP015">NA()</definedName>
    <definedName name="_SP016">NA()</definedName>
    <definedName name="_SP017">NA()</definedName>
    <definedName name="_SP018">NA()</definedName>
    <definedName name="_SP019">NA()</definedName>
    <definedName name="_SP020">NA()</definedName>
    <definedName name="_SP021">NA()</definedName>
    <definedName name="_SP022">NA()</definedName>
    <definedName name="_SP023">NA()</definedName>
    <definedName name="_SP024">NA()</definedName>
    <definedName name="_SP025">NA()</definedName>
    <definedName name="_SP026">NA()</definedName>
    <definedName name="_SP027">NA()</definedName>
    <definedName name="_SP028">NA()</definedName>
    <definedName name="_SP029">NA()</definedName>
    <definedName name="_SP030">NA()</definedName>
    <definedName name="_SP031">NA()</definedName>
    <definedName name="_SP032">NA()</definedName>
    <definedName name="_SP033">NA()</definedName>
    <definedName name="_SP034">NA()</definedName>
    <definedName name="_SP035">NA()</definedName>
    <definedName name="_SP036">NA()</definedName>
    <definedName name="_SP037">NA()</definedName>
    <definedName name="_SP038">NA()</definedName>
    <definedName name="_SP039">NA()</definedName>
    <definedName name="_SP040">NA()</definedName>
    <definedName name="_SP041">NA()</definedName>
    <definedName name="_SP042">NA()</definedName>
    <definedName name="_SP043">NA()</definedName>
    <definedName name="_SP044">NA()</definedName>
    <definedName name="_SP045">NA()</definedName>
    <definedName name="_SP046">NA()</definedName>
    <definedName name="_SP047">NA()</definedName>
    <definedName name="_SP048">NA()</definedName>
    <definedName name="_SP049">NA()</definedName>
    <definedName name="_SP050">NA()</definedName>
    <definedName name="_SP051">NA()</definedName>
    <definedName name="_SP052">NA()</definedName>
    <definedName name="_SP053">NA()</definedName>
    <definedName name="_SP054">NA()</definedName>
    <definedName name="_SP055">NA()</definedName>
    <definedName name="_SP056">NA()</definedName>
    <definedName name="_SP057">NA()</definedName>
    <definedName name="_SP058">NA()</definedName>
    <definedName name="_SP059">NA()</definedName>
    <definedName name="_SP060">NA()</definedName>
    <definedName name="_SP061">NA()</definedName>
    <definedName name="_SP062">NA()</definedName>
    <definedName name="_SP063">NA()</definedName>
    <definedName name="_SP064">NA()</definedName>
    <definedName name="_SP065">NA()</definedName>
    <definedName name="_SP066">NA()</definedName>
    <definedName name="_SP067">NA()</definedName>
    <definedName name="_SP068">NA()</definedName>
    <definedName name="_SP069">NA()</definedName>
    <definedName name="_SP070">NA()</definedName>
    <definedName name="_sp071">NA()</definedName>
    <definedName name="_SP072">NA()</definedName>
    <definedName name="_SP073">NA()</definedName>
    <definedName name="_SP074">NA()</definedName>
    <definedName name="_SP075">NA()</definedName>
    <definedName name="_SP076">NA()</definedName>
    <definedName name="_SP077">NA()</definedName>
    <definedName name="_sp078">NA()</definedName>
    <definedName name="_SP10">#REF!</definedName>
    <definedName name="_SP16">#REF!</definedName>
    <definedName name="_SP7">#REF!</definedName>
    <definedName name="_SPO79">NA()</definedName>
    <definedName name="_SS10">#REF!</definedName>
    <definedName name="_ss12">#REF!</definedName>
    <definedName name="_SS150">#REF!</definedName>
    <definedName name="_ss20">#REF!</definedName>
    <definedName name="_SS225">#REF!</definedName>
    <definedName name="_SS25">#REF!</definedName>
    <definedName name="_SS300">#REF!</definedName>
    <definedName name="_ss40">#REF!</definedName>
    <definedName name="_SS6">#REF!</definedName>
    <definedName name="_SSS3">NA()</definedName>
    <definedName name="_ST">NA()</definedName>
    <definedName name="_sum010">NA()</definedName>
    <definedName name="_sum020">NA()</definedName>
    <definedName name="_sum120">NA()</definedName>
    <definedName name="_sum140">NA()</definedName>
    <definedName name="_SUM200">NA()</definedName>
    <definedName name="_SUM400">NA()</definedName>
    <definedName name="_SUM410">NA()</definedName>
    <definedName name="_SUM420">NA()</definedName>
    <definedName name="_SUM440">NA()</definedName>
    <definedName name="_SUM460">NA()</definedName>
    <definedName name="_SUM480">NA()</definedName>
    <definedName name="_SUM500">NA()</definedName>
    <definedName name="_SUM510">NA()</definedName>
    <definedName name="_SUM530">NA()</definedName>
    <definedName name="_SUM540">NA()</definedName>
    <definedName name="_SUM560">NA()</definedName>
    <definedName name="_SUM570">NA()</definedName>
    <definedName name="_SUM580">NA()</definedName>
    <definedName name="_SUM590">NA()</definedName>
    <definedName name="_SUM700">NA()</definedName>
    <definedName name="_SUM701">NA()</definedName>
    <definedName name="_SUM702">NA()</definedName>
    <definedName name="_SUM703">NA()</definedName>
    <definedName name="_SUM704">NA()</definedName>
    <definedName name="_sum770">NA()</definedName>
    <definedName name="_SUM800">NA()</definedName>
    <definedName name="_sum900">NA()</definedName>
    <definedName name="_SUM901">NA()</definedName>
    <definedName name="_SUM902">NA()</definedName>
    <definedName name="_SUM903">NA()</definedName>
    <definedName name="_SUM904">NA()</definedName>
    <definedName name="_sw1">#REF!</definedName>
    <definedName name="_t1">NA()</definedName>
    <definedName name="_t2">NA()</definedName>
    <definedName name="_tab1">NA()</definedName>
    <definedName name="_th_week_water_transp_habs">#REF!</definedName>
    <definedName name="_tk1">NA()</definedName>
    <definedName name="_tw2">NA()</definedName>
    <definedName name="_upa4">"[104]upa!$i$1:$m$65536"</definedName>
    <definedName name="_us1">NA()</definedName>
    <definedName name="_var1">#REF!</definedName>
    <definedName name="_var4">#REF!</definedName>
    <definedName name="_vat">NA()</definedName>
    <definedName name="_vat1">NA()</definedName>
    <definedName name="_vat2">NA()</definedName>
    <definedName name="_vzrzam">NA()</definedName>
    <definedName name="_WGZY_">NA()</definedName>
    <definedName name="_WGZY__10">NA()</definedName>
    <definedName name="_woodprimer">NA()</definedName>
    <definedName name="_wp">NA()</definedName>
    <definedName name="_x">NA()</definedName>
    <definedName name="_x_10">NA()</definedName>
    <definedName name="_xcc1153">NA()</definedName>
    <definedName name="_xcc124">NA()</definedName>
    <definedName name="_xcc136">NA()</definedName>
    <definedName name="_xcc148">NA()</definedName>
    <definedName name="_xcc1510">NA()</definedName>
    <definedName name="_xcm16">NA()</definedName>
    <definedName name="_xh11010">NA()</definedName>
    <definedName name="_xh1104">NA()</definedName>
    <definedName name="_xh1106">NA()</definedName>
    <definedName name="_xh1108">NA()</definedName>
    <definedName name="_xh12510">NA()</definedName>
    <definedName name="_xh1254">NA()</definedName>
    <definedName name="_xh1256">NA()</definedName>
    <definedName name="_xh1258">NA()</definedName>
    <definedName name="_xh14010">NA()</definedName>
    <definedName name="_xh1404">NA()</definedName>
    <definedName name="_xh1406">NA()</definedName>
    <definedName name="_xh1408">NA()</definedName>
    <definedName name="_xh16010">NA()</definedName>
    <definedName name="_xh1604">NA()</definedName>
    <definedName name="_xh1606">NA()</definedName>
    <definedName name="_xh1608">NA()</definedName>
    <definedName name="_xh18010">NA()</definedName>
    <definedName name="_xh1804">NA()</definedName>
    <definedName name="_xh1806">NA()</definedName>
    <definedName name="_xh1808">NA()</definedName>
    <definedName name="_xh20010">NA()</definedName>
    <definedName name="_xh2004">NA()</definedName>
    <definedName name="_xh2006">NA()</definedName>
    <definedName name="_xh2008">NA()</definedName>
    <definedName name="_xh22510">NA()</definedName>
    <definedName name="_xh2254">NA()</definedName>
    <definedName name="_xh2256">#REF!</definedName>
    <definedName name="_xh2258">NA()</definedName>
    <definedName name="_xh25010">NA()</definedName>
    <definedName name="_xh2504">NA()</definedName>
    <definedName name="_xh2506">#REF!</definedName>
    <definedName name="_xh2508">NA()</definedName>
    <definedName name="_xh28010">NA()</definedName>
    <definedName name="_xh2804">NA()</definedName>
    <definedName name="_xh2806">#REF!</definedName>
    <definedName name="_xh2808">NA()</definedName>
    <definedName name="_xh31510">NA()</definedName>
    <definedName name="_xh3154">NA()</definedName>
    <definedName name="_xh3156">#REF!</definedName>
    <definedName name="_xh3158">NA()</definedName>
    <definedName name="_xh3554">NA()</definedName>
    <definedName name="_xh3556">NA()</definedName>
    <definedName name="_xh6310">NA()</definedName>
    <definedName name="_xh634">#REF!</definedName>
    <definedName name="_xh636">NA()</definedName>
    <definedName name="_xh638">NA()</definedName>
    <definedName name="_xh7510">NA()</definedName>
    <definedName name="_xh754">NA()</definedName>
    <definedName name="_xh756">NA()</definedName>
    <definedName name="_xh758">NA()</definedName>
    <definedName name="_xh9010">NA()</definedName>
    <definedName name="_xh904">NA()</definedName>
    <definedName name="_xh906">NA()</definedName>
    <definedName name="_xh908">NA()</definedName>
    <definedName name="_xh9999">#REF!</definedName>
    <definedName name="_xk7100">#REF!</definedName>
    <definedName name="_xk7150">#REF!</definedName>
    <definedName name="_xk7200">NA()</definedName>
    <definedName name="_xk7250">#REF!</definedName>
    <definedName name="_xk7300">#REF!</definedName>
    <definedName name="_xk7350">NA()</definedName>
    <definedName name="_xk7400">NA()</definedName>
    <definedName name="_xk7450">NA()</definedName>
    <definedName name="_xk7500">NA()</definedName>
    <definedName name="_xk7600">NA()</definedName>
    <definedName name="_xk9100">NA()</definedName>
    <definedName name="_xk91000">NA()</definedName>
    <definedName name="_xk9150">NA()</definedName>
    <definedName name="_xk9200">NA()</definedName>
    <definedName name="_xk9250">NA()</definedName>
    <definedName name="_xk9300">NA()</definedName>
    <definedName name="_xk9350">NA()</definedName>
    <definedName name="_xk9400">NA()</definedName>
    <definedName name="_xk9450">NA()</definedName>
    <definedName name="_xk9500">NA()</definedName>
    <definedName name="_xk9600">NA()</definedName>
    <definedName name="_xk9700">NA()</definedName>
    <definedName name="_xk9750">NA()</definedName>
    <definedName name="_xk9800">NA()</definedName>
    <definedName name="_xk9900">NA()</definedName>
    <definedName name="_xp11010">#REF!</definedName>
    <definedName name="_xp1104">#REF!</definedName>
    <definedName name="_xp1106">#REF!</definedName>
    <definedName name="_xp12510">NA()</definedName>
    <definedName name="_xp1254">#REF!</definedName>
    <definedName name="_xp1256">#REF!</definedName>
    <definedName name="_xp14010">#REF!</definedName>
    <definedName name="_xp1404">#REF!</definedName>
    <definedName name="_xp1406">#REF!</definedName>
    <definedName name="_xp16010">NA()</definedName>
    <definedName name="_xp1604">#REF!</definedName>
    <definedName name="_xp1606">#REF!</definedName>
    <definedName name="_xp18010">NA()</definedName>
    <definedName name="_xp1804">#REF!</definedName>
    <definedName name="_xp1806">#REF!</definedName>
    <definedName name="_xp20010">NA()</definedName>
    <definedName name="_xp2004">NA()</definedName>
    <definedName name="_xp2006">#REF!</definedName>
    <definedName name="_xp22510">NA()</definedName>
    <definedName name="_xp2254">NA()</definedName>
    <definedName name="_xp2256">NA()</definedName>
    <definedName name="_xp25010">NA()</definedName>
    <definedName name="_xp2504">NA()</definedName>
    <definedName name="_xp2506">NA()</definedName>
    <definedName name="_xp28010">NA()</definedName>
    <definedName name="_xp2804">NA()</definedName>
    <definedName name="_xp2806">NA()</definedName>
    <definedName name="_xp31510">NA()</definedName>
    <definedName name="_xp3154">NA()</definedName>
    <definedName name="_xp3156">NA()</definedName>
    <definedName name="_xp6310">#REF!</definedName>
    <definedName name="_xp634">NA()</definedName>
    <definedName name="_xp636">#REF!</definedName>
    <definedName name="_xp7510">#REF!</definedName>
    <definedName name="_xp754">#REF!</definedName>
    <definedName name="_xp756">#REF!</definedName>
    <definedName name="_xp9010">#REF!</definedName>
    <definedName name="_xp904">#REF!</definedName>
    <definedName name="_xp906">#REF!</definedName>
    <definedName name="_Y1">NA()</definedName>
    <definedName name="_Y2">NA()</definedName>
    <definedName name="_Y3">NA()</definedName>
    <definedName name="a">#REF!</definedName>
    <definedName name="a_10">"[106]boq!#ref!"</definedName>
    <definedName name="a_11">"[108]boq!#ref!"</definedName>
    <definedName name="a_2">"[110]boq!#ref!"</definedName>
    <definedName name="a_4">"'file:///C:/Tender/Excel/Mahe/Sports%20Complex/Final%20offer%208-1-07/Revised%20offer%20on%208-1-07.xls'#$'Boq - Flats'.CX1"</definedName>
    <definedName name="a_5">"'file:///C:/Tender/Excel/Mahe/Sports%20Complex/Final%20offer%208-1-07/Revised%20offer%20on%208-1-07.xls'#$'Boq - Flats'.CX1"</definedName>
    <definedName name="a_6">"'smb://Tender2/d/Vinod/Excel/Tender/Garuda%20Resorts.xls'#$Boq.CX1"</definedName>
    <definedName name="a_8">"'smb://Tender2/d/Vinod/Excel/Tender/Garuda%20Resorts.xls'#$Boq.CX1"</definedName>
    <definedName name="a_9">"[112]boq!#ref!"</definedName>
    <definedName name="a_f">NA()</definedName>
    <definedName name="A1M170">NA()</definedName>
    <definedName name="aa" hidden="1">#REF!</definedName>
    <definedName name="AAA">#REF!</definedName>
    <definedName name="aaaa">NA()</definedName>
    <definedName name="aaaa_8">NA()</definedName>
    <definedName name="aaaa5">NA()</definedName>
    <definedName name="aaaaa">"[93]data!#ref!"</definedName>
    <definedName name="aaaaa_8">NA()</definedName>
    <definedName name="AAAAAA">"[93]data!#ref!"</definedName>
    <definedName name="aaaaaaaaa">NA()</definedName>
    <definedName name="aadf">#REF!</definedName>
    <definedName name="aastrb">NA()</definedName>
    <definedName name="aat">NA()</definedName>
    <definedName name="aawa">#REF!</definedName>
    <definedName name="ab">#REF!</definedName>
    <definedName name="Abbbbb">NA()</definedName>
    <definedName name="ABC">NA()</definedName>
    <definedName name="abcdes">NA()</definedName>
    <definedName name="abf">NA()</definedName>
    <definedName name="ABM">NA()</definedName>
    <definedName name="abs">#REF!</definedName>
    <definedName name="ABSTRACT">NA()</definedName>
    <definedName name="ABSTRUCT">NA()</definedName>
    <definedName name="AC">NA()</definedName>
    <definedName name="AC_C">#REF!</definedName>
    <definedName name="AC_CL">#REF!</definedName>
    <definedName name="AC_CLL">#REF!</definedName>
    <definedName name="AC_CLR">#REF!</definedName>
    <definedName name="AC_CLS">#REF!</definedName>
    <definedName name="AC_D_R">#REF!</definedName>
    <definedName name="AC_DC">#REF!</definedName>
    <definedName name="AC_DL_RANGE">#REF!</definedName>
    <definedName name="AC_DR">#REF!</definedName>
    <definedName name="AC_G">#REF!</definedName>
    <definedName name="AC_P">#REF!</definedName>
    <definedName name="AC_PIPES">#REF!</definedName>
    <definedName name="AC_RATES">#REF!</definedName>
    <definedName name="ac_sheet">NA()</definedName>
    <definedName name="academic" hidden="1">#REF!</definedName>
    <definedName name="ACCIDI">NA()</definedName>
    <definedName name="acl">NA()</definedName>
    <definedName name="acs">NA()</definedName>
    <definedName name="acsheet">NA()</definedName>
    <definedName name="acsheet1">NA()</definedName>
    <definedName name="ACTEA">NA()</definedName>
    <definedName name="actual">NA()</definedName>
    <definedName name="ad">NA()</definedName>
    <definedName name="ADB">NA()</definedName>
    <definedName name="ADD">NA()</definedName>
    <definedName name="additional">NA()</definedName>
    <definedName name="Address">#REF!</definedName>
    <definedName name="adfa">NA()</definedName>
    <definedName name="adfas">#REF!</definedName>
    <definedName name="adfd">NA()</definedName>
    <definedName name="ADFDSFSD1111">#REF!</definedName>
    <definedName name="Admin__Building">NA()</definedName>
    <definedName name="admn_off">NA()</definedName>
    <definedName name="admn_site">NA()</definedName>
    <definedName name="adsa">NA()</definedName>
    <definedName name="adsf">NA()</definedName>
    <definedName name="ae">#REF!</definedName>
    <definedName name="ae.">#REF!</definedName>
    <definedName name="ae_">NA()</definedName>
    <definedName name="aea">NA()</definedName>
    <definedName name="AEE">NA()</definedName>
    <definedName name="AEW">NA()</definedName>
    <definedName name="AEW_FOR">#REF!</definedName>
    <definedName name="AEW_SIDE">#REF!</definedName>
    <definedName name="af">NA()</definedName>
    <definedName name="afb">"[122]process!#ref!"</definedName>
    <definedName name="ag">#REF!</definedName>
    <definedName name="Aggregate">NA()</definedName>
    <definedName name="agl">NA()</definedName>
    <definedName name="AGRA_SHOULDERS">#REF!</definedName>
    <definedName name="AGSB">#REF!</definedName>
    <definedName name="ahdfla">NA()</definedName>
    <definedName name="ai">NA()</definedName>
    <definedName name="aii">NA()</definedName>
    <definedName name="Air_Compressor">NA()</definedName>
    <definedName name="airvalve">NA()</definedName>
    <definedName name="AIRVALVES">NA()</definedName>
    <definedName name="AlampurABCDCivil" hidden="1">#REF!</definedName>
    <definedName name="ald">NA()</definedName>
    <definedName name="ALDROPS">#REF!</definedName>
    <definedName name="ALLPIPE_TYPES">#REF!</definedName>
    <definedName name="alw">NA()</definedName>
    <definedName name="AMOUNT">NA()</definedName>
    <definedName name="analysis">NA()</definedName>
    <definedName name="ANALYSIS_DATA">#REF!</definedName>
    <definedName name="Aname">#REF!</definedName>
    <definedName name="Anganwad">NA()</definedName>
    <definedName name="ann">NA()</definedName>
    <definedName name="anne">NA()</definedName>
    <definedName name="annealing">NA()</definedName>
    <definedName name="annealing1">NA()</definedName>
    <definedName name="ANNUAL_ELECTRICAL1_CHARGES">#REF!</definedName>
    <definedName name="ANNUAL_ELECTRICAL2_CHARGES">#REF!</definedName>
    <definedName name="anscount" hidden="1">1</definedName>
    <definedName name="antitermite">NA()</definedName>
    <definedName name="anu">NA()</definedName>
    <definedName name="ap">NA()</definedName>
    <definedName name="apet">NA()</definedName>
    <definedName name="APHB">NA()</definedName>
    <definedName name="APLIF">NA()</definedName>
    <definedName name="AR">#REF!</definedName>
    <definedName name="Arb">NA()</definedName>
    <definedName name="Arches___1_5m">NA()</definedName>
    <definedName name="Arches__1_5m">NA()</definedName>
    <definedName name="AREAS_CA_CANOPY__WAREHOUSE">NA()</definedName>
    <definedName name="AREAS_CA_CANOPY__WAREHOUSE_8">NA()</definedName>
    <definedName name="AREAS_CB_Canteen_Building">NA()</definedName>
    <definedName name="AREAS_CB_Canteen_Building_8">NA()</definedName>
    <definedName name="AREAS_CIPT_Tanker_CIP_Shed">NA()</definedName>
    <definedName name="AREAS_CIPT_Tanker_CIP_Shed_8">NA()</definedName>
    <definedName name="AREAS_CLRR_Contract_Labour_Rest_Room">NA()</definedName>
    <definedName name="AREAS_CLRR_Contract_Labour_Rest_Room_8">NA()</definedName>
    <definedName name="AREAS_CS_Chemical_Store">NA()</definedName>
    <definedName name="AREAS_CS_Chemical_Store_8">NA()</definedName>
    <definedName name="AREAS_ETPC_ETP_Civil_Works">NA()</definedName>
    <definedName name="AREAS_ETPC_ETP_Civil_Works_8">NA()</definedName>
    <definedName name="AREAS_EX_EXTERNAL_WORKS">NA()</definedName>
    <definedName name="AREAS_EX_EXTERNAL_WORKS_8">NA()</definedName>
    <definedName name="AREAS_FC_Farmer_s_Conference">NA()</definedName>
    <definedName name="AREAS_FC_Farmer_s_Conference_8">NA()</definedName>
    <definedName name="AREAS_FU_Fumigation">NA()</definedName>
    <definedName name="AREAS_FU_Fumigation_8">NA()</definedName>
    <definedName name="AREAS_GA_General_Area___Overall">NA()</definedName>
    <definedName name="AREAS_GA_General_Area___Overall_8">NA()</definedName>
    <definedName name="AREAS_GP_Guard_Posts">NA()</definedName>
    <definedName name="AREAS_GP_Guard_Posts_8">NA()</definedName>
    <definedName name="AREAS_LS_LubeOil_Stores">NA()</definedName>
    <definedName name="AREAS_LS_LubeOil_Stores_8">NA()</definedName>
    <definedName name="AREAS_MR_TB_Milk_Reception_Tanker_s_Bay">NA()</definedName>
    <definedName name="AREAS_MR_TB_Milk_Reception_Tanker_s_Bay_8">NA()</definedName>
    <definedName name="AREAS_MTF_Milk_Tank_Foundations">NA()</definedName>
    <definedName name="AREAS_MTF_Milk_Tank_Foundations_8">NA()</definedName>
    <definedName name="AREAS_PB_PROCESS_BUILDING">NA()</definedName>
    <definedName name="AREAS_PB_PROCESS_BUILDING_8">NA()</definedName>
    <definedName name="AREAS_PR_Pipe_Racks">NA()</definedName>
    <definedName name="AREAS_PR_Pipe_Racks_8">NA()</definedName>
    <definedName name="AREAS_SR_2_Security_Room___2">NA()</definedName>
    <definedName name="AREAS_SR_2_Security_Room___2_8">NA()</definedName>
    <definedName name="AREAS_SR_3_Store_Room">NA()</definedName>
    <definedName name="AREAS_SR_3_Store_Room_8">NA()</definedName>
    <definedName name="AREAS_ST_Stacks_near_Utility_Buildings">NA()</definedName>
    <definedName name="AREAS_ST_Stacks_near_Utility_Buildings_8">NA()</definedName>
    <definedName name="AREAS_SY_Scrap_Yard">NA()</definedName>
    <definedName name="AREAS_SY_Scrap_Yard_8">NA()</definedName>
    <definedName name="AREAS_TWW_Truck_Wheel_Wash">NA()</definedName>
    <definedName name="AREAS_TWW_Truck_Wheel_Wash_8">NA()</definedName>
    <definedName name="AREAS_TY_Transformer_Yard">NA()</definedName>
    <definedName name="AREAS_TY_Transformer_Yard_8">NA()</definedName>
    <definedName name="AREAS_UB_UTILITY_BLOCK">NA()</definedName>
    <definedName name="AREAS_UB_UTILITY_BLOCK_8">NA()</definedName>
    <definedName name="AREAS_WH_Ware_House_Area">NA()</definedName>
    <definedName name="AREAS_WH_Ware_House_Area_8">NA()</definedName>
    <definedName name="as">#REF!</definedName>
    <definedName name="AS_6">"'smb://M-h1/FORMATS/Documents%20and%20Settings/Administrator/Local%20Settings/Temporary%20Internet%20Files/Content.IE5/YRUJ6X63/Excel/K%20&amp;%20L/Part%20-%20A%20workings%20(revised%20on%2018-01-06).xls'#$'Boq (Main Building)'.CX1"</definedName>
    <definedName name="ASadws">"[71]material!#ref!"</definedName>
    <definedName name="asAS">"[71]material!#ref!"</definedName>
    <definedName name="asas_6">"'smb://Tender2/d/Vinod/Excel/Tender/Garuda%20Resorts.xls'#$Boq.CX1"</definedName>
    <definedName name="asc">NA()</definedName>
    <definedName name="ASCSD">#REF!</definedName>
    <definedName name="asd">#REF!</definedName>
    <definedName name="ASDBC">NA()</definedName>
    <definedName name="ASDF">{"'ridftotal'!$A$4:$S$27"}</definedName>
    <definedName name="asdfs">NA()</definedName>
    <definedName name="asds">NA()</definedName>
    <definedName name="asdsdfsf">NA()</definedName>
    <definedName name="asf">#REF!</definedName>
    <definedName name="ASFDA">{"'ridftotal'!$A$4:$S$27"}</definedName>
    <definedName name="ash">NA()</definedName>
    <definedName name="asmin">NA()</definedName>
    <definedName name="ASS">NA()</definedName>
    <definedName name="ass_6">"'smb://M-h1/FORMATS/Documents%20and%20Settings/Administrator/Local%20Settings/Temporary%20Internet%20Files/Content.IE5/YRUJ6X63/Excel/K%20&amp;%20L/Part%20-%20A%20workings%20(revised%20on%2018-01-06).xls'#$'Boq (Main Building)'.CX1"</definedName>
    <definedName name="Assam_TW_flanks">"[71]material!#ref!"</definedName>
    <definedName name="Assam_TW_frames">"[71]material!#ref!"</definedName>
    <definedName name="ASSS">NA()</definedName>
    <definedName name="ASSS_4">"'file:///C:/Sudha%20Documents/Sudha%20-%20Planning%20&amp;%20Monitoring/Site%20Info/MJES/Documents%20and%20Settings/Venkat/Local%20Settings/Temp/My%20Documents/zero.xls'#$'p&amp;m'.$H$264:$H$264"</definedName>
    <definedName name="ASSS_5">"'file:///C:/Sudha%20Documents/Sudha%20-%20Planning%20&amp;%20Monitoring/Site%20Info/MJES/Documents%20and%20Settings/Venkat/Local%20Settings/Temp/My%20Documents/zero.xls'#$'p&amp;m'.$H$264:$H$264"</definedName>
    <definedName name="ASSS_6">"'smb://Mh2/e/Documents%20and%20Settings/Venkat/Local%20Settings/Temp/My%20Documents/zero.xls'#$'p&amp;m'.$H$264:$H$264"</definedName>
    <definedName name="astas">NA()</definedName>
    <definedName name="astb">NA()</definedName>
    <definedName name="astdm">NA()</definedName>
    <definedName name="Asth">NA()</definedName>
    <definedName name="asti">NA()</definedName>
    <definedName name="astm">NA()</definedName>
    <definedName name="astmid">NA()</definedName>
    <definedName name="astmin">NA()</definedName>
    <definedName name="asto">NA()</definedName>
    <definedName name="astr">NA()</definedName>
    <definedName name="astsup">NA()</definedName>
    <definedName name="asttp">NA()</definedName>
    <definedName name="asttrb">NA()</definedName>
    <definedName name="aswdertyh">"[65]usage!#ref!"</definedName>
    <definedName name="aswsws">NA()</definedName>
    <definedName name="at">NA()</definedName>
    <definedName name="ATACK">NA()</definedName>
    <definedName name="atm">NA()</definedName>
    <definedName name="att">NA()</definedName>
    <definedName name="Auftragswert">NA()</definedName>
    <definedName name="AUX">NA()</definedName>
    <definedName name="AVCC">NA()</definedName>
    <definedName name="AVG_HRS_PUMP_ULTI">#REF!</definedName>
    <definedName name="AVRCC">NA()</definedName>
    <definedName name="AWBM">NA()</definedName>
    <definedName name="AWBM2">#REF!</definedName>
    <definedName name="AWBM3">#REF!</definedName>
    <definedName name="Axs">NA()</definedName>
    <definedName name="Axs_4">"'smb://rajkishor/f/FILES/2%20KC258%20PASADINA/My%20Documents/zero.xls'#$'p&amp;m'.$H$264:$H$264"</definedName>
    <definedName name="Axs_5">"'smb://rajkishor/f/FILES/2%20KC258%20PASADINA/My%20Documents/zero.xls'#$'p&amp;m'.$H$264:$H$264"</definedName>
    <definedName name="Axs_6">"'smb://rajkishor/f/FILES/2%20KC258%20PASADINA/My%20Documents/zero.xls'#$'p&amp;m'.$H$264:$H$264"</definedName>
    <definedName name="Axs_9">NA()</definedName>
    <definedName name="b">#REF!</definedName>
    <definedName name="B_2">NA()</definedName>
    <definedName name="B_4">"'smb://Planning2/d/ECC%20bbsr/tech/FinalZCR.xls'#$''.$A$20:$AMJ$20"</definedName>
    <definedName name="B_5">"'smb://Planning2/d/ECC%20bbsr/tech/FinalZCR.xls'#$''.$A$20:$AMJ$20"</definedName>
    <definedName name="B_6">"'smb://Planning2/d/ECC%20bbsr/tech/FinalZCR.xls'#$''.$A$20:$AMJ$20"</definedName>
    <definedName name="b_9">"[139]boq!#ref!"</definedName>
    <definedName name="baggage">"'[141]10'!$a$1:$u$65536"</definedName>
    <definedName name="bala">#REF!</definedName>
    <definedName name="banilad">#REF!</definedName>
    <definedName name="bar_bender">NA()</definedName>
    <definedName name="basic">NA()</definedName>
    <definedName name="bb" hidden="1">#REF!</definedName>
    <definedName name="bbbbb">NA()</definedName>
    <definedName name="bbn">NA()</definedName>
    <definedName name="BE">NA()</definedName>
    <definedName name="beam">NA()</definedName>
    <definedName name="Beam_Length">NA()</definedName>
    <definedName name="BEAMS">NA()</definedName>
    <definedName name="Beg_Bal">NA()</definedName>
    <definedName name="Benching__chiselling__wedging_and_boring_in_rock_in_foundation_grade_levelling_">NA()</definedName>
    <definedName name="Bethamcherla_stone_25_4mm">NA()</definedName>
    <definedName name="Bethamcherla_stone_25_4mm_colour">NA()</definedName>
    <definedName name="bfh">NA()</definedName>
    <definedName name="BFR">NA()</definedName>
    <definedName name="BFVA">NA()</definedName>
    <definedName name="bgljkb">"[130]boq!#ref!"</definedName>
    <definedName name="bgljkb_6">"'smb://Tender2/d/Vinod/Excel/Tender/Garuda%20Resorts.xls'#$Boq.CX1"</definedName>
    <definedName name="bh">NA()</definedName>
    <definedName name="BINDING">NA()</definedName>
    <definedName name="bindingwire">NA()</definedName>
    <definedName name="Bitumen_Boilor">#REF!</definedName>
    <definedName name="BITUMEN_TRUNK_ROAD_SECTIONS">#REF!</definedName>
    <definedName name="bjlc">NA()</definedName>
    <definedName name="bkk">NA()</definedName>
    <definedName name="bl">NA()</definedName>
    <definedName name="BLA">NA()</definedName>
    <definedName name="BLAST">#REF!</definedName>
    <definedName name="blast1">#REF!</definedName>
    <definedName name="blast2">#REF!</definedName>
    <definedName name="BLAST3">#REF!</definedName>
    <definedName name="Blasting">NA()</definedName>
    <definedName name="blv_100">NA()</definedName>
    <definedName name="blv_150">NA()</definedName>
    <definedName name="blv_200">NA()</definedName>
    <definedName name="blv_25">NA()</definedName>
    <definedName name="blv_250">NA()</definedName>
    <definedName name="blv_300">NA()</definedName>
    <definedName name="blv_32">NA()</definedName>
    <definedName name="blv_40">NA()</definedName>
    <definedName name="blv_400">NA()</definedName>
    <definedName name="blv_50">NA()</definedName>
    <definedName name="blv_500">NA()</definedName>
    <definedName name="blv_65">NA()</definedName>
    <definedName name="blv_80">NA()</definedName>
    <definedName name="BM">NA()</definedName>
    <definedName name="bmas">NA()</definedName>
    <definedName name="bmcf">NA()</definedName>
    <definedName name="bmcfo">NA()</definedName>
    <definedName name="bmm">NA()</definedName>
    <definedName name="bmo">NA()</definedName>
    <definedName name="BMP">NA()</definedName>
    <definedName name="bmpcf">NA()</definedName>
    <definedName name="bmpcfo">NA()</definedName>
    <definedName name="bo">NA()</definedName>
    <definedName name="Bobby">NA()</definedName>
    <definedName name="bol">NA()</definedName>
    <definedName name="BoltsNuts">#REF!</definedName>
    <definedName name="boml">NA()</definedName>
    <definedName name="boml1">NA()</definedName>
    <definedName name="BOND600">#REF!</definedName>
    <definedName name="boo">NA()</definedName>
    <definedName name="boq">#REF!</definedName>
    <definedName name="boq_8">NA()</definedName>
    <definedName name="boreWell">NA()</definedName>
    <definedName name="borewells">NA()</definedName>
    <definedName name="botl">NA()</definedName>
    <definedName name="botl1">NA()</definedName>
    <definedName name="botn">NA()</definedName>
    <definedName name="BOTTOMDOMEONETOSIX">#REF!</definedName>
    <definedName name="BOTTOMDOMESIXTOTHIRTEEN">#REF!</definedName>
    <definedName name="BOTTOMRINGGIRDERONETOSIX">#REF!</definedName>
    <definedName name="BOTTOMRINGGIRDERSEVENTOTHIRTEEN">#REF!</definedName>
    <definedName name="bp">NA()</definedName>
    <definedName name="bpr">NA()</definedName>
    <definedName name="br">#REF!</definedName>
    <definedName name="br_230">NA()</definedName>
    <definedName name="Breaks">NA()</definedName>
    <definedName name="brick">NA()</definedName>
    <definedName name="brick_four">NA()</definedName>
    <definedName name="brick_II">NA()</definedName>
    <definedName name="brick_nine">NA()</definedName>
    <definedName name="brickjelly_basic">NA()</definedName>
    <definedName name="bricks">"[71]rmr!#ref!"</definedName>
    <definedName name="Bricks_23_11_7cm_2nd_class">NA()</definedName>
    <definedName name="Bricks_Tiles">"[71]general!#ref!"</definedName>
    <definedName name="Bridge">NA()</definedName>
    <definedName name="brk">NA()</definedName>
    <definedName name="brnm">#REF!</definedName>
    <definedName name="bs">#REF!</definedName>
    <definedName name="BSB5_Reinigung_in_BiopurC">"[148]balan1!#ref!"</definedName>
    <definedName name="BSB5_Reinigung_in_BiopurN">"[148]balan1!#ref!"</definedName>
    <definedName name="BSB5vorklmg">#REF!</definedName>
    <definedName name="bsec1">NA()</definedName>
    <definedName name="bsec2">NA()</definedName>
    <definedName name="bsec3">NA()</definedName>
    <definedName name="bsec4">NA()</definedName>
    <definedName name="bsec5">NA()</definedName>
    <definedName name="bsec6">NA()</definedName>
    <definedName name="BSG">NA()</definedName>
    <definedName name="bsth">NA()</definedName>
    <definedName name="bsthi">NA()</definedName>
    <definedName name="bt">NA()</definedName>
    <definedName name="BT_60_70">NA()</definedName>
    <definedName name="BT_80_100">NA()</definedName>
    <definedName name="bt_boil">NA()</definedName>
    <definedName name="BT_E">NA()</definedName>
    <definedName name="bt_lead">NA()</definedName>
    <definedName name="BT_MIX_SEAL">NA()</definedName>
    <definedName name="bt_rate">NA()</definedName>
    <definedName name="BT_SEAL_COAT">NA()</definedName>
    <definedName name="BT_SEAL_ON_BTSD">NA()</definedName>
    <definedName name="BT_SINGLE_30_45">NA()</definedName>
    <definedName name="BT_WEARING_COAT">NA()</definedName>
    <definedName name="BTC">NA()</definedName>
    <definedName name="BTEMULTIONSS1">NA()</definedName>
    <definedName name="BTSD_23">NA()</definedName>
    <definedName name="BTSD_DRY">NA()</definedName>
    <definedName name="BTSD_SEAL">NA()</definedName>
    <definedName name="bua">NA()</definedName>
    <definedName name="buildings">NA()</definedName>
    <definedName name="BuiltIn_Print_Area">NA()</definedName>
    <definedName name="BuiltIn_Print_Area___0">NA()</definedName>
    <definedName name="BuiltIn_Print_Titles">NA()</definedName>
    <definedName name="bul">NA()</definedName>
    <definedName name="Bulk">#REF!</definedName>
    <definedName name="BUT_HINGES">#REF!</definedName>
    <definedName name="bw">NA()</definedName>
    <definedName name="BWF1B">NA()</definedName>
    <definedName name="bwfb">"[122]process!#ref!"</definedName>
    <definedName name="BWIRE">#REF!</definedName>
    <definedName name="bwl">"[122]process!#ref!"</definedName>
    <definedName name="bwld">NA()</definedName>
    <definedName name="BWSC_PIPES">#REF!</definedName>
    <definedName name="BWSP_C">#REF!</definedName>
    <definedName name="BWSP_CL">#REF!</definedName>
    <definedName name="BWSP_CL_RATES">#REF!</definedName>
    <definedName name="BWSP_CLL">#REF!</definedName>
    <definedName name="BWSP_CLR">#REF!</definedName>
    <definedName name="BWSP_CLS">#REF!</definedName>
    <definedName name="BWSP_D_R">#REF!</definedName>
    <definedName name="BWSP_D_RATES">#REF!</definedName>
    <definedName name="BWSP_DC">#REF!</definedName>
    <definedName name="BWSP_DL_RANGE">#REF!</definedName>
    <definedName name="BWSP_DR">#REF!</definedName>
    <definedName name="BWSP_FR_12KG">#REF!</definedName>
    <definedName name="BWSP_FR_14KG">#REF!</definedName>
    <definedName name="BWSP_FR_16KG">#REF!</definedName>
    <definedName name="BWSP_FR_18KG">#REF!</definedName>
    <definedName name="BWSP_FR_20KG">#REF!</definedName>
    <definedName name="BWSP_FR_22KG">#REF!</definedName>
    <definedName name="BWSP_FR_24KG">#REF!</definedName>
    <definedName name="BWSP_FR_26KG">#REF!</definedName>
    <definedName name="BWSP_FR_28KG">#REF!</definedName>
    <definedName name="BWSP_FR_30KG">#REF!</definedName>
    <definedName name="BWSP_G">#REF!</definedName>
    <definedName name="BWSP_P">#REF!</definedName>
    <definedName name="BWSP_RATES">#REF!</definedName>
    <definedName name="BWSP_T">#REF!</definedName>
    <definedName name="bwssb">NA()</definedName>
    <definedName name="bww">"[122]process!#ref!"</definedName>
    <definedName name="bx">NA()</definedName>
    <definedName name="c.c136">#REF!</definedName>
    <definedName name="C_">NA()</definedName>
    <definedName name="C_L_WALL">NA()</definedName>
    <definedName name="C_S_WALL">NA()</definedName>
    <definedName name="CA">NA()</definedName>
    <definedName name="can">NA()</definedName>
    <definedName name="cant">NA()</definedName>
    <definedName name="CANTILEVERONETOSIX">NA()</definedName>
    <definedName name="CANTILEVERSEVENTOTHIRTEEN">#REF!</definedName>
    <definedName name="capital">NA()</definedName>
    <definedName name="cash_bank">NA()</definedName>
    <definedName name="CASH_OUT">NA()</definedName>
    <definedName name="cb">NA()</definedName>
    <definedName name="cbeams">NA()</definedName>
    <definedName name="cbgl1">NA()</definedName>
    <definedName name="cbgl2">NA()</definedName>
    <definedName name="cbgl3">NA()</definedName>
    <definedName name="cbgl4">NA()</definedName>
    <definedName name="cbr">NA()</definedName>
    <definedName name="CC">#REF!</definedName>
    <definedName name="CC_1">#REF!</definedName>
    <definedName name="CC_1_6_10__using_40MM_OTG_Meteal_including_cost_and_conveyance_of_all_materials_and_labour_charge._etc.__Complete">#REF!</definedName>
    <definedName name="CC_1_6_10__using_40MM_OTG_Meteal_including_cost_and_conveyance_of_all_materials_and_labour_charge__etc___Complete">NA()</definedName>
    <definedName name="cc_mix">#REF!</definedName>
    <definedName name="CC1_2_4">NA()</definedName>
    <definedName name="cc1_5_10">NA()</definedName>
    <definedName name="CC11A">"'[141]11'!$a$1:$w$65536"</definedName>
    <definedName name="CC11B">"'[141]11'!$a$1:$u$65536"</definedName>
    <definedName name="CC12A">#REF!</definedName>
    <definedName name="CC12B">#REF!</definedName>
    <definedName name="CC2A">#REF!</definedName>
    <definedName name="CC2B">#REF!</definedName>
    <definedName name="CC2C">#REF!</definedName>
    <definedName name="CC2D">#REF!</definedName>
    <definedName name="CC2E">#REF!</definedName>
    <definedName name="CC2F">#REF!</definedName>
    <definedName name="CC2G">#REF!</definedName>
    <definedName name="CC2H">#REF!</definedName>
    <definedName name="CC3A">#REF!</definedName>
    <definedName name="CC3B">#REF!</definedName>
    <definedName name="CC4a">#REF!</definedName>
    <definedName name="CC5a">NA()</definedName>
    <definedName name="CC5a1">NA()</definedName>
    <definedName name="CC6A">"'[141]6a'!$a$1:$v$65536"</definedName>
    <definedName name="CC6B">"'[141]6b'!$a$1:$v$65536"</definedName>
    <definedName name="CC7A">#REF!</definedName>
    <definedName name="CC7B">#REF!</definedName>
    <definedName name="CC8A">#REF!</definedName>
    <definedName name="CC8B">#REF!</definedName>
    <definedName name="CC9A">#REF!</definedName>
    <definedName name="CC9B">#REF!</definedName>
    <definedName name="CC9C">#REF!</definedName>
    <definedName name="CC9D">#REF!</definedName>
    <definedName name="CC9E">#REF!</definedName>
    <definedName name="CC9F">#REF!</definedName>
    <definedName name="CC9G">#REF!</definedName>
    <definedName name="CC9H">#REF!</definedName>
    <definedName name="CC9I">#REF!</definedName>
    <definedName name="CC9J">#REF!</definedName>
    <definedName name="CC9K">#REF!</definedName>
    <definedName name="cca">NA()</definedName>
    <definedName name="CCAAMP">NA()</definedName>
    <definedName name="cccc">NA()</definedName>
    <definedName name="cci">NA()</definedName>
    <definedName name="ccir">#REF!</definedName>
    <definedName name="ccolagl">NA()</definedName>
    <definedName name="ccp">NA()</definedName>
    <definedName name="ccwc1">NA()</definedName>
    <definedName name="ccwc2">NA()</definedName>
    <definedName name="cd">#REF!</definedName>
    <definedName name="cd10mm">NA()</definedName>
    <definedName name="cd12mm">NA()</definedName>
    <definedName name="cd20mm">NA()</definedName>
    <definedName name="cd25mm">NA()</definedName>
    <definedName name="cd2m">NA()</definedName>
    <definedName name="cd40mm">NA()</definedName>
    <definedName name="cd40mm08">NA()</definedName>
    <definedName name="cd6mm">NA()</definedName>
    <definedName name="cddata">NA()</definedName>
    <definedName name="CDECV">NA()</definedName>
    <definedName name="CDNO">#REF!</definedName>
    <definedName name="cdno_600">#REF!</definedName>
    <definedName name="ce">#REF!</definedName>
    <definedName name="CED">NA()</definedName>
    <definedName name="cem">#REF!</definedName>
    <definedName name="cem_w">NA()</definedName>
    <definedName name="CEMENT">#REF!</definedName>
    <definedName name="CEMENT_CONCRETE">#REF!</definedName>
    <definedName name="CEMENT_CONCRETE_BASIC_COST">#REF!</definedName>
    <definedName name="Cement_excluding_cost_of_empty_cement_bags">NA()</definedName>
    <definedName name="cementpaint">NA()</definedName>
    <definedName name="cenchrcol">NA()</definedName>
    <definedName name="cenchrfoot">NA()</definedName>
    <definedName name="cenchrpb">NA()</definedName>
    <definedName name="cenchrped">NA()</definedName>
    <definedName name="Centering_charges_for_bed_blocks_and_culvert_slabs_and_other_structures_of_less_than_3_mts__span_">NA()</definedName>
    <definedName name="Centering_charges_for_culvert_slabs_and_other_structures_of__3_mts__span_and_above">NA()</definedName>
    <definedName name="CENTERING_SCAFFOLDING_COLUMNS">#REF!</definedName>
    <definedName name="ceramic">NA()</definedName>
    <definedName name="Cess">NA()</definedName>
    <definedName name="CEW">NA()</definedName>
    <definedName name="cfb">NA()</definedName>
    <definedName name="cfbeams">NA()</definedName>
    <definedName name="cfsalb">NA()</definedName>
    <definedName name="cfslab">NA()</definedName>
    <definedName name="cg">NA()</definedName>
    <definedName name="chdyrrr">"[118]lead!#ref!"</definedName>
    <definedName name="check">NA()</definedName>
    <definedName name="checked">NA()</definedName>
    <definedName name="chemicalcalculationperungudi">NA()</definedName>
    <definedName name="chemsludgecal">NA()</definedName>
    <definedName name="chenchu">NA()</definedName>
    <definedName name="chips_10">NA()</definedName>
    <definedName name="chips_12">NA()</definedName>
    <definedName name="chips_5">NA()</definedName>
    <definedName name="CI">NA()</definedName>
    <definedName name="CI_CL">#REF!</definedName>
    <definedName name="CI_CL_RATES">#REF!</definedName>
    <definedName name="CI_CLL">#REF!</definedName>
    <definedName name="CI_CLR">#REF!</definedName>
    <definedName name="CI_CLS">#REF!</definedName>
    <definedName name="CI_D_R">#REF!</definedName>
    <definedName name="CI_D_RATES">#REF!</definedName>
    <definedName name="CI_DC">#REF!</definedName>
    <definedName name="CI_DL_RANGE">#REF!</definedName>
    <definedName name="CI_DR">#REF!</definedName>
    <definedName name="CI_FR_A">#REF!</definedName>
    <definedName name="CI_FR_B">#REF!</definedName>
    <definedName name="CI_FR_LA">#REF!</definedName>
    <definedName name="CI_G">#REF!</definedName>
    <definedName name="CI_P">#REF!</definedName>
    <definedName name="CI_PIPES">#REF!</definedName>
    <definedName name="CI_RATES">#REF!</definedName>
    <definedName name="CI_T">#REF!</definedName>
    <definedName name="CIcheckValve">NA()</definedName>
    <definedName name="cidjoint">#REF!</definedName>
    <definedName name="CIDjoints">#REF!</definedName>
    <definedName name="CIdummy">NA()</definedName>
    <definedName name="CIfootValve">NA()</definedName>
    <definedName name="cii">NA()</definedName>
    <definedName name="ciii">NA()</definedName>
    <definedName name="cikkk">NA()</definedName>
    <definedName name="CILA_PIPES">#REF!</definedName>
    <definedName name="cila100">NA()</definedName>
    <definedName name="cila1000">NA()</definedName>
    <definedName name="cila125">NA()</definedName>
    <definedName name="cila150">NA()</definedName>
    <definedName name="cila200">NA()</definedName>
    <definedName name="cila250">NA()</definedName>
    <definedName name="cila300">NA()</definedName>
    <definedName name="cila350">NA()</definedName>
    <definedName name="cila400">NA()</definedName>
    <definedName name="cila450">NA()</definedName>
    <definedName name="cila500">NA()</definedName>
    <definedName name="cila600">NA()</definedName>
    <definedName name="cila700">NA()</definedName>
    <definedName name="cila750">NA()</definedName>
    <definedName name="cila80">NA()</definedName>
    <definedName name="cila800">NA()</definedName>
    <definedName name="cila900">NA()</definedName>
    <definedName name="Cinder">"[71]material!#ref!"</definedName>
    <definedName name="City">#REF!</definedName>
    <definedName name="cjv">NA()</definedName>
    <definedName name="ckeck1">NA()</definedName>
    <definedName name="CLASSS">NA()</definedName>
    <definedName name="Clayey_Soil_in_wet_and_slushy_condition_________SS_20_B">NA()</definedName>
    <definedName name="CLEAR_PAGE_BREA">NA()</definedName>
    <definedName name="Clearing_alchi__tilla">NA()</definedName>
    <definedName name="Clearing_heavy_Jungle">NA()</definedName>
    <definedName name="Clearing_Juliflora__Prosafis__jungle_including_up_rooting_and_removing_of_Juliflora_stumps_">NA()</definedName>
    <definedName name="Clearing_light_Jungle">NA()</definedName>
    <definedName name="Clearing_Scrub_Jungle">NA()</definedName>
    <definedName name="clintels">NA()</definedName>
    <definedName name="clp">NA()</definedName>
    <definedName name="cm">NA()</definedName>
    <definedName name="CM_1_10">"[71]data!#ref!"</definedName>
    <definedName name="CM_1_2">"[71]data!#ref!"</definedName>
    <definedName name="CM_1_3">"[71]data!#ref!"</definedName>
    <definedName name="CM_1_4">"[71]data!#ref!"</definedName>
    <definedName name="CM_1_5">"[71]data!#ref!"</definedName>
    <definedName name="CM_1_6">"[71]data!#ref!"</definedName>
    <definedName name="CM_1_8">"[71]data!#ref!"</definedName>
    <definedName name="cmes">NA()</definedName>
    <definedName name="CO">NA()</definedName>
    <definedName name="code">#REF!</definedName>
    <definedName name="coimbatore">NA()</definedName>
    <definedName name="col">#REF!</definedName>
    <definedName name="Colbgl">NA()</definedName>
    <definedName name="colbgl2">NA()</definedName>
    <definedName name="Columns">NA()</definedName>
    <definedName name="COMM_MLD">#REF!</definedName>
    <definedName name="COMM_POP">#REF!</definedName>
    <definedName name="COMM_YEAR">#REF!</definedName>
    <definedName name="COMM_YR_LPM">#REF!</definedName>
    <definedName name="Comp.Stat">#REF!</definedName>
    <definedName name="Comp_Stat">"[168]data!#ref!"</definedName>
    <definedName name="comp0001">"[170]work_sheet!#ref!"</definedName>
    <definedName name="Company">#REF!</definedName>
    <definedName name="Compressor_Charges___10_5_cum_per_minit_capacity">NA()</definedName>
    <definedName name="Compressor_Charges___6_cum_per_minit_capacity">NA()</definedName>
    <definedName name="con_mixer">NA()</definedName>
    <definedName name="con_pro">NA()</definedName>
    <definedName name="concludied5550">NA()</definedName>
    <definedName name="Concrete_Mixture">NA()</definedName>
    <definedName name="Concrete_Pump">NA()</definedName>
    <definedName name="conmixer">#REF!</definedName>
    <definedName name="conns_">NA()</definedName>
    <definedName name="constrn">NA()</definedName>
    <definedName name="Construction">#REF!</definedName>
    <definedName name="CONVEYANCE">NA()</definedName>
    <definedName name="copy">NA()</definedName>
    <definedName name="cost">#REF!</definedName>
    <definedName name="Cost10">NA()</definedName>
    <definedName name="Cost5">"'[141]5'!$a$1:$v$65536"</definedName>
    <definedName name="costcentre13">"'[141]13'!$a$1:$u$65536"</definedName>
    <definedName name="COTTAGE" hidden="1">#REF!</definedName>
    <definedName name="Country">#REF!</definedName>
    <definedName name="cover2">NA()</definedName>
    <definedName name="CP">#REF!</definedName>
    <definedName name="cpcl">NA()</definedName>
    <definedName name="cpcl26_4">NA()</definedName>
    <definedName name="cpcl26_4mldnew">NA()</definedName>
    <definedName name="cr">#REF!</definedName>
    <definedName name="cr_mpl_divn_corenet_cn_mpl">NA()</definedName>
    <definedName name="CR_stone">#REF!</definedName>
    <definedName name="CR_stone_HBG">#REF!</definedName>
    <definedName name="Crane__Rate_of_sinking_0_8_mts__per_day">NA()</definedName>
    <definedName name="crccslab">NA()</definedName>
    <definedName name="crccslab150">NA()</definedName>
    <definedName name="crs">#REF!</definedName>
    <definedName name="crsg">NA()</definedName>
    <definedName name="crsrate">#REF!</definedName>
    <definedName name="crss">#REF!</definedName>
    <definedName name="crush">#REF!</definedName>
    <definedName name="Crushing">NA()</definedName>
    <definedName name="crust">#REF!</definedName>
    <definedName name="CSAND">#REF!</definedName>
    <definedName name="cshewcen">NA()</definedName>
    <definedName name="cshewcenchrfoot">NA()</definedName>
    <definedName name="cshewcenchrpb">NA()</definedName>
    <definedName name="cshewcenchrped">NA()</definedName>
    <definedName name="csshade">NA()</definedName>
    <definedName name="cst">NA()</definedName>
    <definedName name="ct_basic">NA()</definedName>
    <definedName name="ctrhabstat">NA()</definedName>
    <definedName name="cu">NA()</definedName>
    <definedName name="Cuddapah_Shahabad_slabs_40mm">"[71]material!#ref!"</definedName>
    <definedName name="Cuddapah_Shahabad_slabs_50_mm">"[71]material!#ref!"</definedName>
    <definedName name="curr_liab_prov">NA()</definedName>
    <definedName name="CustomDuty">NA()</definedName>
    <definedName name="cut_holes_bw">NA()</definedName>
    <definedName name="cut_holes_rcc">NA()</definedName>
    <definedName name="Cutting_and_removing_other_kindof_trees_including_stacking_of_girth_30_to_100_cm">NA()</definedName>
    <definedName name="Cutting_and_removing_Palmyrah_trees_including_stacking_of_girth_30_to_100_cm_">NA()</definedName>
    <definedName name="cv_100">NA()</definedName>
    <definedName name="cv_150">NA()</definedName>
    <definedName name="cv_200">NA()</definedName>
    <definedName name="cv_25">NA()</definedName>
    <definedName name="cv_250">NA()</definedName>
    <definedName name="cv_300">NA()</definedName>
    <definedName name="cv_32">NA()</definedName>
    <definedName name="cv_40">NA()</definedName>
    <definedName name="cv_400">NA()</definedName>
    <definedName name="cv_50">NA()</definedName>
    <definedName name="cv_500">NA()</definedName>
    <definedName name="cv_65">NA()</definedName>
    <definedName name="cv_80">NA()</definedName>
    <definedName name="cvbt">#REF!</definedName>
    <definedName name="CWSUMP">#REF!</definedName>
    <definedName name="cx">NA()</definedName>
    <definedName name="d">#REF!</definedName>
    <definedName name="D.t">#REF!</definedName>
    <definedName name="D_t">NA()</definedName>
    <definedName name="d_ts">"[93]data!#ref!"</definedName>
    <definedName name="D206xE206">NA()</definedName>
    <definedName name="D206xE206_1">"'smb://Venkat/1%20KC222%20-%20TEXAS/My%20Documents/zero.xls'#$'p&amp;m'.$H$264:$H$264"</definedName>
    <definedName name="D206xE206_10">NA()</definedName>
    <definedName name="D206xE206_11">"'smb://rajkishor/f/FILES/2%20KC258%20PASADINA/My%20Documents/zero.xls'#$'p&amp;m'.$H$264:$H$264"</definedName>
    <definedName name="D206xE206_12">"'smb://rajkishor/f/FILES/2%20KC258%20PASADINA/My%20Documents/zero.xls'#$'p&amp;m'.$H$264:$H$264"</definedName>
    <definedName name="D206xE206_2">"'smb://rajkishor/f/FILES/2%20KC258%20PASADINA/My%20Documents/zero.xls'#$'p&amp;m'.$H$264:$H$264"</definedName>
    <definedName name="D206xE206_3">"'smb://rajkishor/f/FILES/2%20KC258%20PASADINA/My%20Documents/zero.xls'#$'p&amp;m'.$H$264:$H$264"</definedName>
    <definedName name="D206xE206_4">"'smb://Venkat/VENKAT''S%20(D)/FILES/2%20KC258%20PASADINA/My%20Documents/zero.xls'#$'p&amp;m'.$H$264:$H$264"</definedName>
    <definedName name="D206xE206_5">"'smb://Venkat/VENKAT''S%20(D)/FILES/2%20KC258%20PASADINA/My%20Documents/zero.xls'#$'p&amp;m'.$H$264:$H$264"</definedName>
    <definedName name="D206xE206_6">"'smb://Balaguru/Documents/My%20Documents/zero.xls'#$'p&amp;m'.$H$264:$H$264"</definedName>
    <definedName name="D206xE206_7">"'smb://rajkishor/f/My%20Documents/zero.xls'#$'p&amp;m'.$H$264:$H$264"</definedName>
    <definedName name="D206xE206_8">"'smb://rajkishor/f/FILES/2%20KC258%20PASADINA/My%20Documents/zero.xls'#$'p&amp;m'.$H$264:$H$264"</definedName>
    <definedName name="D206xE206_9">"'smb://rajkishor/f/FILES/2%20KC258%20PASADINA/My%20Documents/zero.xls'#$'p&amp;m'.$H$264:$H$264"</definedName>
    <definedName name="Da">#REF!</definedName>
    <definedName name="dadoing">NA()</definedName>
    <definedName name="Damerchela">"[184]v!#ref!"</definedName>
    <definedName name="data">#REF!</definedName>
    <definedName name="data_">"[185]data!#ref!"</definedName>
    <definedName name="data_1">"'smb://192.168.4.17/workings%20(e)/Files/BZ001%20-%20RO/Seminar/SEMINAR.xls'#$'labour coeff'.$A$3:$S$74"</definedName>
    <definedName name="data_11">"'smb://192.168.4.17/workings%20(e)/Files/BZ001%20-%20RO/Seminar/SEMINAR.xls'#$'labour coeff'.$A$3:$S$74"</definedName>
    <definedName name="data_12">"'smb://192.168.4.17/workings%20(e)/Files/BZ001%20-%20RO/Seminar/SEMINAR.xls'#$'labour coeff'.$A$3:$S$74"</definedName>
    <definedName name="data_2">"'smb://192.168.4.17/workings%20(e)/Files/BZ001%20-%20RO/Seminar/SEMINAR.xls'#$'labour coeff'.$A$3:$S$74"</definedName>
    <definedName name="data_3">"'smb://192.168.4.17/workings%20(e)/Files/BZ001%20-%20RO/Seminar/SEMINAR.xls'#$'labour coeff'.$A$3:$S$74"</definedName>
    <definedName name="data_4">"'smb://192.168.4.17/workings%20(e)/Files/BZ001%20-%20RO/Seminar/SEMINAR.xls'#$'labour coeff'.$A$3:$S$74"</definedName>
    <definedName name="data_5">"'smb://192.168.4.17/workings%20(e)/Files/BZ001%20-%20RO/Seminar/SEMINAR.xls'#$'labour coeff'.$A$3:$S$74"</definedName>
    <definedName name="data_6">"'smb://192.168.4.17/workings%20(e)/Files/BZ001%20-%20RO/Seminar/SEMINAR.xls'#$'labour coeff'.$A$3:$S$74"</definedName>
    <definedName name="data_7">"'smb://192.168.4.17/workings%20(e)/Files/BZ001%20-%20RO/Seminar/SEMINAR.xls'#$'labour coeff'.$A$3:$S$74"</definedName>
    <definedName name="data_8">"'smb://192.168.4.17/workings%20(e)/Files/BZ001%20-%20RO/Seminar/SEMINAR.xls'#$'labour coeff'.$A$3:$S$74"</definedName>
    <definedName name="data_9">"'smb://192.168.4.17/workings%20(e)/Files/BZ001%20-%20RO/Seminar/SEMINAR.xls'#$'labour coeff'.$A$3:$S$74"</definedName>
    <definedName name="data1" hidden="1">#REF!</definedName>
    <definedName name="DATA10">NA()</definedName>
    <definedName name="DATA100">NA()</definedName>
    <definedName name="DATA1011">NA()</definedName>
    <definedName name="DATA1012">NA()</definedName>
    <definedName name="DATA1013">NA()</definedName>
    <definedName name="DATA1014">NA()</definedName>
    <definedName name="DATA1015">NA()</definedName>
    <definedName name="DATA102">NA()</definedName>
    <definedName name="DATA103">NA()</definedName>
    <definedName name="DATA104">NA()</definedName>
    <definedName name="DATA105">NA()</definedName>
    <definedName name="DATA106">NA()</definedName>
    <definedName name="DATA107A">NA()</definedName>
    <definedName name="DATA107B">NA()</definedName>
    <definedName name="DATA107C">NA()</definedName>
    <definedName name="DATA107D">NA()</definedName>
    <definedName name="DATA107E">NA()</definedName>
    <definedName name="DATA107F">NA()</definedName>
    <definedName name="DATA107G">NA()</definedName>
    <definedName name="DATA108A">NA()</definedName>
    <definedName name="DATA108B">NA()</definedName>
    <definedName name="DATA108C">NA()</definedName>
    <definedName name="DATA108D">NA()</definedName>
    <definedName name="DATA108E">NA()</definedName>
    <definedName name="DATA108F">NA()</definedName>
    <definedName name="DATA108G">NA()</definedName>
    <definedName name="DATA108H">NA()</definedName>
    <definedName name="DATA108I">NA()</definedName>
    <definedName name="DATA108J">NA()</definedName>
    <definedName name="DATA108K">NA()</definedName>
    <definedName name="DATA108L">NA()</definedName>
    <definedName name="DATA108M">NA()</definedName>
    <definedName name="DATA108N">NA()</definedName>
    <definedName name="DATA108O">NA()</definedName>
    <definedName name="DATA108P">NA()</definedName>
    <definedName name="DATA109A">NA()</definedName>
    <definedName name="DATA109B">NA()</definedName>
    <definedName name="DATA109C">NA()</definedName>
    <definedName name="DATA109D">NA()</definedName>
    <definedName name="DATA109E">NA()</definedName>
    <definedName name="DATA109F">NA()</definedName>
    <definedName name="DATA109G">NA()</definedName>
    <definedName name="DATA109H">NA()</definedName>
    <definedName name="DATA109I">NA()</definedName>
    <definedName name="DATA109J">NA()</definedName>
    <definedName name="DATA109K">NA()</definedName>
    <definedName name="DATA109L">NA()</definedName>
    <definedName name="DATA109M">NA()</definedName>
    <definedName name="DATA109N">NA()</definedName>
    <definedName name="DATA109O">NA()</definedName>
    <definedName name="DATA109P">NA()</definedName>
    <definedName name="DATA11">NA()</definedName>
    <definedName name="DATA110A">NA()</definedName>
    <definedName name="DATA110B">NA()</definedName>
    <definedName name="DATA110C">NA()</definedName>
    <definedName name="DATA110D">NA()</definedName>
    <definedName name="DATA110E">NA()</definedName>
    <definedName name="DATA110F">NA()</definedName>
    <definedName name="DATA110G">NA()</definedName>
    <definedName name="DATA110H">NA()</definedName>
    <definedName name="DATA110I">NA()</definedName>
    <definedName name="DATA110J">NA()</definedName>
    <definedName name="DATA110K">NA()</definedName>
    <definedName name="DATA110L">NA()</definedName>
    <definedName name="DATA110M">NA()</definedName>
    <definedName name="DATA110N">NA()</definedName>
    <definedName name="DATA110O">NA()</definedName>
    <definedName name="DATA110P">NA()</definedName>
    <definedName name="DATA111A">NA()</definedName>
    <definedName name="DATA111B">NA()</definedName>
    <definedName name="DATA111C">NA()</definedName>
    <definedName name="DATA111D">NA()</definedName>
    <definedName name="DATA111E">NA()</definedName>
    <definedName name="DATA111F">NA()</definedName>
    <definedName name="DATA111G">NA()</definedName>
    <definedName name="DATA111H">NA()</definedName>
    <definedName name="DATA111I">NA()</definedName>
    <definedName name="DATA111J">NA()</definedName>
    <definedName name="DATA111K">NA()</definedName>
    <definedName name="DATA111L">NA()</definedName>
    <definedName name="DATA111M">NA()</definedName>
    <definedName name="DATA111N">NA()</definedName>
    <definedName name="DATA111O">NA()</definedName>
    <definedName name="DATA111P">NA()</definedName>
    <definedName name="DATA112A">NA()</definedName>
    <definedName name="DATA112B">NA()</definedName>
    <definedName name="DATA112C">NA()</definedName>
    <definedName name="DATA112D">NA()</definedName>
    <definedName name="DATA112E">NA()</definedName>
    <definedName name="DATA112F">NA()</definedName>
    <definedName name="DATA112G">NA()</definedName>
    <definedName name="DATA112H">NA()</definedName>
    <definedName name="DATA112I">NA()</definedName>
    <definedName name="DATA112J">NA()</definedName>
    <definedName name="DATA112K">NA()</definedName>
    <definedName name="DATA112L">NA()</definedName>
    <definedName name="DATA112M">NA()</definedName>
    <definedName name="DATA112N">NA()</definedName>
    <definedName name="DATA112O">NA()</definedName>
    <definedName name="DATA112P">NA()</definedName>
    <definedName name="DATA113A">NA()</definedName>
    <definedName name="DATA113B">NA()</definedName>
    <definedName name="DATA113C">NA()</definedName>
    <definedName name="DATA113D">NA()</definedName>
    <definedName name="DATA113E">NA()</definedName>
    <definedName name="DATA113F">NA()</definedName>
    <definedName name="DATA113G">NA()</definedName>
    <definedName name="DATA113H">NA()</definedName>
    <definedName name="DATA113I">NA()</definedName>
    <definedName name="DATA113J">NA()</definedName>
    <definedName name="DATA113K">NA()</definedName>
    <definedName name="DATA114">NA()</definedName>
    <definedName name="DATA114A">NA()</definedName>
    <definedName name="DATA115">NA()</definedName>
    <definedName name="DATA116">NA()</definedName>
    <definedName name="DATA117">NA()</definedName>
    <definedName name="DATA118">NA()</definedName>
    <definedName name="DATA119">NA()</definedName>
    <definedName name="DATA12">NA()</definedName>
    <definedName name="DATA120">NA()</definedName>
    <definedName name="DATA121">NA()</definedName>
    <definedName name="DATA122">NA()</definedName>
    <definedName name="DATA123">NA()</definedName>
    <definedName name="DATA124">NA()</definedName>
    <definedName name="DATA125">NA()</definedName>
    <definedName name="DATA126">NA()</definedName>
    <definedName name="DATA127A">NA()</definedName>
    <definedName name="DATA127B">NA()</definedName>
    <definedName name="DATA127C">NA()</definedName>
    <definedName name="DATA127D">NA()</definedName>
    <definedName name="DATA127E">NA()</definedName>
    <definedName name="DATA127F">NA()</definedName>
    <definedName name="DATA127G">NA()</definedName>
    <definedName name="DATA127H">NA()</definedName>
    <definedName name="DATA127I">NA()</definedName>
    <definedName name="DATA127J">NA()</definedName>
    <definedName name="DATA128A">NA()</definedName>
    <definedName name="DATA128B">NA()</definedName>
    <definedName name="DATA128C">NA()</definedName>
    <definedName name="DATA128D">NA()</definedName>
    <definedName name="DATA128E">NA()</definedName>
    <definedName name="DATA128F">NA()</definedName>
    <definedName name="DATA128G">NA()</definedName>
    <definedName name="DATA129A">NA()</definedName>
    <definedName name="DATA129B">NA()</definedName>
    <definedName name="DATA129C">NA()</definedName>
    <definedName name="DATA129D">NA()</definedName>
    <definedName name="DATA13">NA()</definedName>
    <definedName name="DATA130A">NA()</definedName>
    <definedName name="DATA130B">NA()</definedName>
    <definedName name="DATA131">NA()</definedName>
    <definedName name="DATA132">NA()</definedName>
    <definedName name="DATA133">NA()</definedName>
    <definedName name="DATA134110">NA()</definedName>
    <definedName name="DATA134125">NA()</definedName>
    <definedName name="DATA134140">NA()</definedName>
    <definedName name="DATA134160">NA()</definedName>
    <definedName name="DATA134180">NA()</definedName>
    <definedName name="DATA134200">NA()</definedName>
    <definedName name="DATA134225">NA()</definedName>
    <definedName name="DATA134250">NA()</definedName>
    <definedName name="DATA134280">NA()</definedName>
    <definedName name="DATA134315">NA()</definedName>
    <definedName name="DATA134355">NA()</definedName>
    <definedName name="DATA134400">NA()</definedName>
    <definedName name="DATA13450">NA()</definedName>
    <definedName name="DATA13463">NA()</definedName>
    <definedName name="DATA13475">NA()</definedName>
    <definedName name="DATA13490">NA()</definedName>
    <definedName name="DATA135110">NA()</definedName>
    <definedName name="DATA135125">NA()</definedName>
    <definedName name="DATA135140">NA()</definedName>
    <definedName name="DATA135160">NA()</definedName>
    <definedName name="DATA135180">NA()</definedName>
    <definedName name="DATA135200">NA()</definedName>
    <definedName name="DATA135225">NA()</definedName>
    <definedName name="DATA135250">NA()</definedName>
    <definedName name="DATA135280">NA()</definedName>
    <definedName name="DATA135315">NA()</definedName>
    <definedName name="DATA135355">NA()</definedName>
    <definedName name="DATA135400">NA()</definedName>
    <definedName name="DATA13550">NA()</definedName>
    <definedName name="DATA13563">NA()</definedName>
    <definedName name="DATA13575">NA()</definedName>
    <definedName name="DATA13590">NA()</definedName>
    <definedName name="DATA136A">NA()</definedName>
    <definedName name="DATA136B">NA()</definedName>
    <definedName name="DATA136C">NA()</definedName>
    <definedName name="DATA136D">NA()</definedName>
    <definedName name="DATA136E">NA()</definedName>
    <definedName name="DATA136F">NA()</definedName>
    <definedName name="DATA136G">NA()</definedName>
    <definedName name="DATA136H">NA()</definedName>
    <definedName name="DATA136I">NA()</definedName>
    <definedName name="DATA136J">NA()</definedName>
    <definedName name="DATA136K">NA()</definedName>
    <definedName name="DATA136L">NA()</definedName>
    <definedName name="DATA136M">NA()</definedName>
    <definedName name="DATA136N">NA()</definedName>
    <definedName name="DATA136O">NA()</definedName>
    <definedName name="DATA136P">NA()</definedName>
    <definedName name="DATA137I">NA()</definedName>
    <definedName name="DATA137II">NA()</definedName>
    <definedName name="DATA137III">NA()</definedName>
    <definedName name="DATA137IV">NA()</definedName>
    <definedName name="DATA137V">NA()</definedName>
    <definedName name="DATA138I">NA()</definedName>
    <definedName name="DATA138II">NA()</definedName>
    <definedName name="DATA138III">NA()</definedName>
    <definedName name="DATA138IV">NA()</definedName>
    <definedName name="DATA138V">NA()</definedName>
    <definedName name="DATA138VI">NA()</definedName>
    <definedName name="DATA139IX">NA()</definedName>
    <definedName name="DATA139V">NA()</definedName>
    <definedName name="DATA139VI">NA()</definedName>
    <definedName name="DATA139VII">NA()</definedName>
    <definedName name="DATA139VIII">NA()</definedName>
    <definedName name="DATA14">NA()</definedName>
    <definedName name="DATA140I">NA()</definedName>
    <definedName name="DATA140II">NA()</definedName>
    <definedName name="DATA140III">NA()</definedName>
    <definedName name="DATA140IV">NA()</definedName>
    <definedName name="DATA140V">NA()</definedName>
    <definedName name="DATA141I">NA()</definedName>
    <definedName name="DATA141II">NA()</definedName>
    <definedName name="DATA141III">NA()</definedName>
    <definedName name="DATA141IV">NA()</definedName>
    <definedName name="DATA141V">NA()</definedName>
    <definedName name="DATA142I">NA()</definedName>
    <definedName name="DATA142II">NA()</definedName>
    <definedName name="DATA142III">NA()</definedName>
    <definedName name="DATA142IV">NA()</definedName>
    <definedName name="DATA142V">NA()</definedName>
    <definedName name="DATA143">NA()</definedName>
    <definedName name="DATA144">NA()</definedName>
    <definedName name="DATA145">NA()</definedName>
    <definedName name="DATA146">NA()</definedName>
    <definedName name="DATA147">NA()</definedName>
    <definedName name="DATA148">NA()</definedName>
    <definedName name="DATA149">NA()</definedName>
    <definedName name="DATA15">NA()</definedName>
    <definedName name="DATA150">NA()</definedName>
    <definedName name="DATA151A">NA()</definedName>
    <definedName name="DATA151B">NA()</definedName>
    <definedName name="DATA151C">NA()</definedName>
    <definedName name="DATA151D">NA()</definedName>
    <definedName name="DATA152">NA()</definedName>
    <definedName name="DATA153">NA()</definedName>
    <definedName name="DATA154">NA()</definedName>
    <definedName name="DATA155">NA()</definedName>
    <definedName name="DATA156">NA()</definedName>
    <definedName name="DATA157">NA()</definedName>
    <definedName name="DATA158">NA()</definedName>
    <definedName name="DATA159A">NA()</definedName>
    <definedName name="DATA159B">NA()</definedName>
    <definedName name="DATA159C">NA()</definedName>
    <definedName name="DATA159D">NA()</definedName>
    <definedName name="DATA16">NA()</definedName>
    <definedName name="DATA160">NA()</definedName>
    <definedName name="DATA161">NA()</definedName>
    <definedName name="DATA162">NA()</definedName>
    <definedName name="DATA163">NA()</definedName>
    <definedName name="DATA17">NA()</definedName>
    <definedName name="DATA18">NA()</definedName>
    <definedName name="DATA19">NA()</definedName>
    <definedName name="data2" hidden="1">#REF!</definedName>
    <definedName name="DATA20">NA()</definedName>
    <definedName name="DATA21">NA()</definedName>
    <definedName name="DATA22">NA()</definedName>
    <definedName name="DATA23">NA()</definedName>
    <definedName name="DATA24">NA()</definedName>
    <definedName name="DATA25">NA()</definedName>
    <definedName name="data25555555">NA()</definedName>
    <definedName name="DATA26">NA()</definedName>
    <definedName name="DATA27">NA()</definedName>
    <definedName name="DATA28">NA()</definedName>
    <definedName name="DATA29">NA()</definedName>
    <definedName name="data3" hidden="1">#REF!</definedName>
    <definedName name="DATA30">NA()</definedName>
    <definedName name="DATA31">NA()</definedName>
    <definedName name="DATA32">NA()</definedName>
    <definedName name="DATA33">NA()</definedName>
    <definedName name="DATA34">NA()</definedName>
    <definedName name="DATA35">NA()</definedName>
    <definedName name="DATA36">NA()</definedName>
    <definedName name="DATA37">NA()</definedName>
    <definedName name="DATA38">NA()</definedName>
    <definedName name="DATA39">NA()</definedName>
    <definedName name="DATA4">NA()</definedName>
    <definedName name="DATA40">NA()</definedName>
    <definedName name="DATA41">NA()</definedName>
    <definedName name="DATA42">NA()</definedName>
    <definedName name="DATA43">NA()</definedName>
    <definedName name="DATA44">NA()</definedName>
    <definedName name="DATA45">NA()</definedName>
    <definedName name="DATA46">NA()</definedName>
    <definedName name="DATA47">NA()</definedName>
    <definedName name="DATA48">NA()</definedName>
    <definedName name="DATA49">NA()</definedName>
    <definedName name="DATA5">NA()</definedName>
    <definedName name="DATA50">NA()</definedName>
    <definedName name="DATA51">NA()</definedName>
    <definedName name="DATA52">NA()</definedName>
    <definedName name="DATA53">NA()</definedName>
    <definedName name="DATA54">NA()</definedName>
    <definedName name="DATA55">NA()</definedName>
    <definedName name="DATA56">NA()</definedName>
    <definedName name="DATA57">NA()</definedName>
    <definedName name="DATA58">NA()</definedName>
    <definedName name="DATA59">NA()</definedName>
    <definedName name="DATA6">#REF!</definedName>
    <definedName name="DATA60">NA()</definedName>
    <definedName name="DATA61">NA()</definedName>
    <definedName name="DATA62">NA()</definedName>
    <definedName name="DATA63">NA()</definedName>
    <definedName name="DATA64">NA()</definedName>
    <definedName name="DATA65">NA()</definedName>
    <definedName name="DATA66">NA()</definedName>
    <definedName name="DATA67">NA()</definedName>
    <definedName name="DATA68">NA()</definedName>
    <definedName name="DATA69">NA()</definedName>
    <definedName name="DATA7">NA()</definedName>
    <definedName name="DATA70">NA()</definedName>
    <definedName name="DATA71">NA()</definedName>
    <definedName name="DATA72">NA()</definedName>
    <definedName name="DATA73">NA()</definedName>
    <definedName name="DATA74">NA()</definedName>
    <definedName name="DATA75">NA()</definedName>
    <definedName name="DATA76">NA()</definedName>
    <definedName name="DATA77A">NA()</definedName>
    <definedName name="DATA77B">NA()</definedName>
    <definedName name="DATA78">NA()</definedName>
    <definedName name="DATA79A">NA()</definedName>
    <definedName name="DATA79B">NA()</definedName>
    <definedName name="DATA79C">NA()</definedName>
    <definedName name="DATA8">NA()</definedName>
    <definedName name="DATA80A">NA()</definedName>
    <definedName name="DATA80B">NA()</definedName>
    <definedName name="DATA80C">NA()</definedName>
    <definedName name="DATA81">NA()</definedName>
    <definedName name="DATA82">NA()</definedName>
    <definedName name="DATA83">NA()</definedName>
    <definedName name="DATA84">NA()</definedName>
    <definedName name="DATA85">NA()</definedName>
    <definedName name="DATA86">NA()</definedName>
    <definedName name="DATA87">NA()</definedName>
    <definedName name="DATA88">NA()</definedName>
    <definedName name="DATA89">NA()</definedName>
    <definedName name="DATA9">NA()</definedName>
    <definedName name="DATA90">NA()</definedName>
    <definedName name="DATA91">NA()</definedName>
    <definedName name="DATA92">NA()</definedName>
    <definedName name="DATA93">NA()</definedName>
    <definedName name="DATA94">NA()</definedName>
    <definedName name="DATA95">NA()</definedName>
    <definedName name="DATA96">NA()</definedName>
    <definedName name="DATA97">NA()</definedName>
    <definedName name="DATA98">NA()</definedName>
    <definedName name="DATA99">NA()</definedName>
    <definedName name="_xlnm.Database">#REF!</definedName>
    <definedName name="Database_MI">NA()</definedName>
    <definedName name="database1">NA()</definedName>
    <definedName name="datafsdf">#REF!</definedName>
    <definedName name="datanew">#REF!</definedName>
    <definedName name="date">"[192]data!#ref!"</definedName>
    <definedName name="Daywork">NA()</definedName>
    <definedName name="db">#REF!</definedName>
    <definedName name="dbas">NA()</definedName>
    <definedName name="dbbs">NA()</definedName>
    <definedName name="dbbsb">NA()</definedName>
    <definedName name="dbc">NA()</definedName>
    <definedName name="dbd">NA()</definedName>
    <definedName name="dbh">NA()</definedName>
    <definedName name="dbi">NA()</definedName>
    <definedName name="DBM">NA()</definedName>
    <definedName name="dbo">NA()</definedName>
    <definedName name="dbrb">NA()</definedName>
    <definedName name="dbs">NA()</definedName>
    <definedName name="dbsi">NA()</definedName>
    <definedName name="dbst">NA()</definedName>
    <definedName name="dbt">NA()</definedName>
    <definedName name="dc">NA()</definedName>
    <definedName name="dcd">NA()</definedName>
    <definedName name="DD">#REF!</definedName>
    <definedName name="ddd" hidden="1">#REF!</definedName>
    <definedName name="dddd">NA()</definedName>
    <definedName name="ddddd">"[71]material!#ref!"</definedName>
    <definedName name="dddddddd">"[71]material!#ref!"</definedName>
    <definedName name="ddddddddddddd">"[71]material!#ref!"</definedName>
    <definedName name="DDSS">NA()</definedName>
    <definedName name="de">#REF!</definedName>
    <definedName name="de.">#REF!</definedName>
    <definedName name="deaf">NA()</definedName>
    <definedName name="dee">#REF!</definedName>
    <definedName name="dee.">#REF!</definedName>
    <definedName name="dee_">NA()</definedName>
    <definedName name="deff">NA()</definedName>
    <definedName name="delifting_depths">#REF!</definedName>
    <definedName name="dem">NA()</definedName>
    <definedName name="Depn">NA()</definedName>
    <definedName name="depr">NA()</definedName>
    <definedName name="derse">"[199]lead!#ref!"</definedName>
    <definedName name="DES">NA()</definedName>
    <definedName name="DES_10">NA()</definedName>
    <definedName name="DESC1">NA()</definedName>
    <definedName name="DESC10">NA()</definedName>
    <definedName name="DESC100">NA()</definedName>
    <definedName name="DESC101">NA()</definedName>
    <definedName name="DESC1011">NA()</definedName>
    <definedName name="DESC1012">NA()</definedName>
    <definedName name="DESC1013">NA()</definedName>
    <definedName name="DESC1014">NA()</definedName>
    <definedName name="DESC1015">NA()</definedName>
    <definedName name="DESC102">NA()</definedName>
    <definedName name="DESC103">NA()</definedName>
    <definedName name="DESC104">NA()</definedName>
    <definedName name="DESC105">NA()</definedName>
    <definedName name="DESC106">NA()</definedName>
    <definedName name="DESC107">NA()</definedName>
    <definedName name="DESC107A">NA()</definedName>
    <definedName name="DESC107B">NA()</definedName>
    <definedName name="DESC107C">NA()</definedName>
    <definedName name="DESC107D">NA()</definedName>
    <definedName name="DESC107E">NA()</definedName>
    <definedName name="DESC107F">NA()</definedName>
    <definedName name="DESC107G">NA()</definedName>
    <definedName name="DESC108">NA()</definedName>
    <definedName name="DESC108A">NA()</definedName>
    <definedName name="DESC108B">NA()</definedName>
    <definedName name="DESC108C">NA()</definedName>
    <definedName name="DESC108D">NA()</definedName>
    <definedName name="DESC108E">NA()</definedName>
    <definedName name="DESC108F">NA()</definedName>
    <definedName name="DESC108G">NA()</definedName>
    <definedName name="DESC108H">NA()</definedName>
    <definedName name="DESC108I">NA()</definedName>
    <definedName name="DESC108J">NA()</definedName>
    <definedName name="DESC108K">NA()</definedName>
    <definedName name="DESC108L">NA()</definedName>
    <definedName name="DESC108M">NA()</definedName>
    <definedName name="DESC108N">NA()</definedName>
    <definedName name="DESC108O">NA()</definedName>
    <definedName name="DESC108P">NA()</definedName>
    <definedName name="DESC109">NA()</definedName>
    <definedName name="DESC109A">NA()</definedName>
    <definedName name="DESC109B">NA()</definedName>
    <definedName name="DESC109C">NA()</definedName>
    <definedName name="DESC109D">NA()</definedName>
    <definedName name="DESC109E">NA()</definedName>
    <definedName name="DESC109F">NA()</definedName>
    <definedName name="DESC109G">NA()</definedName>
    <definedName name="DESC109H">NA()</definedName>
    <definedName name="DESC109I">NA()</definedName>
    <definedName name="DESC109J">NA()</definedName>
    <definedName name="DESC109K">NA()</definedName>
    <definedName name="DESC109L">NA()</definedName>
    <definedName name="DESC109M">NA()</definedName>
    <definedName name="DESC109N">NA()</definedName>
    <definedName name="DESC109O">NA()</definedName>
    <definedName name="DESC109P">NA()</definedName>
    <definedName name="DESC11">NA()</definedName>
    <definedName name="DESC110">NA()</definedName>
    <definedName name="DESC110A">NA()</definedName>
    <definedName name="DESC110B">NA()</definedName>
    <definedName name="DESC110C">NA()</definedName>
    <definedName name="DESC110D">NA()</definedName>
    <definedName name="DESC110E">NA()</definedName>
    <definedName name="DESC110F">NA()</definedName>
    <definedName name="DESC110G">NA()</definedName>
    <definedName name="DESC110H">NA()</definedName>
    <definedName name="DESC110I">NA()</definedName>
    <definedName name="DESC110J">NA()</definedName>
    <definedName name="DESC110K">NA()</definedName>
    <definedName name="DESC110L">NA()</definedName>
    <definedName name="DESC110M">NA()</definedName>
    <definedName name="DESC110N">NA()</definedName>
    <definedName name="DESC110O">NA()</definedName>
    <definedName name="DESC110P">NA()</definedName>
    <definedName name="DESC111">NA()</definedName>
    <definedName name="DESC111A">NA()</definedName>
    <definedName name="DESC111B">NA()</definedName>
    <definedName name="DESC111C">NA()</definedName>
    <definedName name="DESC111D">NA()</definedName>
    <definedName name="DESC111E">NA()</definedName>
    <definedName name="DESC111F">NA()</definedName>
    <definedName name="DESC111G">NA()</definedName>
    <definedName name="DESC111H">NA()</definedName>
    <definedName name="DESC111I">NA()</definedName>
    <definedName name="DESC111J">NA()</definedName>
    <definedName name="DESC111K">NA()</definedName>
    <definedName name="DESC111L">NA()</definedName>
    <definedName name="DESC111M">NA()</definedName>
    <definedName name="DESC111N">NA()</definedName>
    <definedName name="DESC111O">NA()</definedName>
    <definedName name="DESC111P">NA()</definedName>
    <definedName name="DESC112">NA()</definedName>
    <definedName name="DESC112A">NA()</definedName>
    <definedName name="DESC112B">NA()</definedName>
    <definedName name="DESC112C">NA()</definedName>
    <definedName name="DESC112D">NA()</definedName>
    <definedName name="DESC112E">NA()</definedName>
    <definedName name="DESC112F">NA()</definedName>
    <definedName name="DESC112G">NA()</definedName>
    <definedName name="DESC112H">NA()</definedName>
    <definedName name="DESC112I">NA()</definedName>
    <definedName name="DESC112J">NA()</definedName>
    <definedName name="DESC112K">NA()</definedName>
    <definedName name="DESC112L">NA()</definedName>
    <definedName name="DESC112M">NA()</definedName>
    <definedName name="DESC112N">NA()</definedName>
    <definedName name="DESC112O">NA()</definedName>
    <definedName name="DESC112P">NA()</definedName>
    <definedName name="DESC113">NA()</definedName>
    <definedName name="DESC113A">NA()</definedName>
    <definedName name="DESC113B">NA()</definedName>
    <definedName name="DESC113C">NA()</definedName>
    <definedName name="DESC113D">NA()</definedName>
    <definedName name="DESC113E">NA()</definedName>
    <definedName name="DESC113F">NA()</definedName>
    <definedName name="DESC113G">NA()</definedName>
    <definedName name="DESC113H">NA()</definedName>
    <definedName name="DESC113I">NA()</definedName>
    <definedName name="DESC113J">NA()</definedName>
    <definedName name="DESC113K">NA()</definedName>
    <definedName name="DESC114">NA()</definedName>
    <definedName name="DESC115">NA()</definedName>
    <definedName name="DESC116">NA()</definedName>
    <definedName name="DESC117">NA()</definedName>
    <definedName name="DESC118">NA()</definedName>
    <definedName name="DESC119">NA()</definedName>
    <definedName name="DESC12">NA()</definedName>
    <definedName name="DESC120">NA()</definedName>
    <definedName name="DESC121">NA()</definedName>
    <definedName name="DESC122">NA()</definedName>
    <definedName name="DESC123">NA()</definedName>
    <definedName name="DESC124">NA()</definedName>
    <definedName name="DESC125">NA()</definedName>
    <definedName name="DESC126">NA()</definedName>
    <definedName name="DESC127">NA()</definedName>
    <definedName name="DESC127A">NA()</definedName>
    <definedName name="DESC127B">NA()</definedName>
    <definedName name="DESC127C">NA()</definedName>
    <definedName name="DESC127D">NA()</definedName>
    <definedName name="DESC127E">NA()</definedName>
    <definedName name="DESC127F">NA()</definedName>
    <definedName name="DESC127G">NA()</definedName>
    <definedName name="DESC127H">NA()</definedName>
    <definedName name="DESC127I">NA()</definedName>
    <definedName name="DESC127J">NA()</definedName>
    <definedName name="DESC128">NA()</definedName>
    <definedName name="DESC128A">NA()</definedName>
    <definedName name="DESC128B">NA()</definedName>
    <definedName name="DESC128C">NA()</definedName>
    <definedName name="DESC128D">NA()</definedName>
    <definedName name="DESC128E">NA()</definedName>
    <definedName name="DESC128F">NA()</definedName>
    <definedName name="DESC128G">NA()</definedName>
    <definedName name="DESC129">NA()</definedName>
    <definedName name="DESC129A">NA()</definedName>
    <definedName name="DESC129B">NA()</definedName>
    <definedName name="DESC129C">NA()</definedName>
    <definedName name="DESC129D">NA()</definedName>
    <definedName name="DESC13">NA()</definedName>
    <definedName name="DESC130">NA()</definedName>
    <definedName name="DESC130A">NA()</definedName>
    <definedName name="DESC130B">NA()</definedName>
    <definedName name="DESC131">NA()</definedName>
    <definedName name="DESC132">NA()</definedName>
    <definedName name="DESC133">NA()</definedName>
    <definedName name="DESC14">NA()</definedName>
    <definedName name="DESC143">NA()</definedName>
    <definedName name="DESC144">NA()</definedName>
    <definedName name="DESC145">NA()</definedName>
    <definedName name="DESC146">NA()</definedName>
    <definedName name="DESC147">NA()</definedName>
    <definedName name="DESC148">NA()</definedName>
    <definedName name="DESC149">NA()</definedName>
    <definedName name="DESC15">NA()</definedName>
    <definedName name="DESC150">NA()</definedName>
    <definedName name="DESC151">NA()</definedName>
    <definedName name="DESC151A">NA()</definedName>
    <definedName name="DESC151B">NA()</definedName>
    <definedName name="DESC151C">NA()</definedName>
    <definedName name="DESC151D">NA()</definedName>
    <definedName name="DESC152">NA()</definedName>
    <definedName name="DESC153">NA()</definedName>
    <definedName name="DESC154">NA()</definedName>
    <definedName name="DESC155">NA()</definedName>
    <definedName name="DESC156">NA()</definedName>
    <definedName name="DESC157">NA()</definedName>
    <definedName name="DESC158">NA()</definedName>
    <definedName name="DESC16">NA()</definedName>
    <definedName name="DESC17">NA()</definedName>
    <definedName name="DESC18">NA()</definedName>
    <definedName name="DESC19">NA()</definedName>
    <definedName name="DESC2">NA()</definedName>
    <definedName name="DESC20">NA()</definedName>
    <definedName name="DESC21">NA()</definedName>
    <definedName name="DESC22">NA()</definedName>
    <definedName name="DESC23">NA()</definedName>
    <definedName name="DESC24">NA()</definedName>
    <definedName name="DESC25">NA()</definedName>
    <definedName name="DESC26">NA()</definedName>
    <definedName name="DESC27">NA()</definedName>
    <definedName name="DESC28">NA()</definedName>
    <definedName name="DESC29">NA()</definedName>
    <definedName name="DESC3">NA()</definedName>
    <definedName name="DESC30">NA()</definedName>
    <definedName name="DESC31">NA()</definedName>
    <definedName name="DESC32">NA()</definedName>
    <definedName name="DESC33">NA()</definedName>
    <definedName name="DESC34">NA()</definedName>
    <definedName name="DESC35">NA()</definedName>
    <definedName name="DESC36">NA()</definedName>
    <definedName name="DESC37">NA()</definedName>
    <definedName name="DESC38">NA()</definedName>
    <definedName name="DESC39">NA()</definedName>
    <definedName name="DESC4">NA()</definedName>
    <definedName name="DESC40">NA()</definedName>
    <definedName name="DESC41">NA()</definedName>
    <definedName name="DESC42">NA()</definedName>
    <definedName name="DESC43">NA()</definedName>
    <definedName name="DESC44">NA()</definedName>
    <definedName name="DESC45">NA()</definedName>
    <definedName name="DESC46">NA()</definedName>
    <definedName name="DESC47">NA()</definedName>
    <definedName name="DESC48">NA()</definedName>
    <definedName name="DESC49">NA()</definedName>
    <definedName name="DESC5">NA()</definedName>
    <definedName name="DESC50">NA()</definedName>
    <definedName name="DESC51">NA()</definedName>
    <definedName name="DESC52">NA()</definedName>
    <definedName name="DESC53">NA()</definedName>
    <definedName name="DESC54">NA()</definedName>
    <definedName name="DESC55">NA()</definedName>
    <definedName name="DESC56">NA()</definedName>
    <definedName name="DESC57">NA()</definedName>
    <definedName name="DESC58">NA()</definedName>
    <definedName name="DESC59">NA()</definedName>
    <definedName name="DESC6">NA()</definedName>
    <definedName name="DESC60">NA()</definedName>
    <definedName name="DESC61">NA()</definedName>
    <definedName name="DESC62">NA()</definedName>
    <definedName name="DESC63">NA()</definedName>
    <definedName name="DESC64">NA()</definedName>
    <definedName name="DESC65">NA()</definedName>
    <definedName name="DESC66">NA()</definedName>
    <definedName name="DESC67">NA()</definedName>
    <definedName name="DESC68">NA()</definedName>
    <definedName name="DESC69">NA()</definedName>
    <definedName name="DESC7">NA()</definedName>
    <definedName name="DESC70">NA()</definedName>
    <definedName name="DESC71">NA()</definedName>
    <definedName name="DESC72">NA()</definedName>
    <definedName name="DESC73">NA()</definedName>
    <definedName name="DESC74">NA()</definedName>
    <definedName name="DESC75">NA()</definedName>
    <definedName name="DESC76">NA()</definedName>
    <definedName name="DESC77">NA()</definedName>
    <definedName name="DESC78">NA()</definedName>
    <definedName name="DESC79">NA()</definedName>
    <definedName name="DESC79A">NA()</definedName>
    <definedName name="DESC79B">NA()</definedName>
    <definedName name="DESC79C">NA()</definedName>
    <definedName name="DESC8">NA()</definedName>
    <definedName name="DESC80">NA()</definedName>
    <definedName name="DESC80A">NA()</definedName>
    <definedName name="DESC80B">NA()</definedName>
    <definedName name="DESC80C">NA()</definedName>
    <definedName name="DESC81">NA()</definedName>
    <definedName name="DESC82">NA()</definedName>
    <definedName name="DESC83">NA()</definedName>
    <definedName name="DESC84">NA()</definedName>
    <definedName name="DESC85">NA()</definedName>
    <definedName name="DESC86">NA()</definedName>
    <definedName name="DESC87">NA()</definedName>
    <definedName name="DESC88">NA()</definedName>
    <definedName name="DESC89">NA()</definedName>
    <definedName name="DESC9">NA()</definedName>
    <definedName name="DESC90">NA()</definedName>
    <definedName name="DESC91">NA()</definedName>
    <definedName name="DESC92">NA()</definedName>
    <definedName name="DESC93">NA()</definedName>
    <definedName name="DESC94">NA()</definedName>
    <definedName name="DESC95">NA()</definedName>
    <definedName name="DESC96">NA()</definedName>
    <definedName name="DESC97">NA()</definedName>
    <definedName name="DESC98">NA()</definedName>
    <definedName name="DESC99">NA()</definedName>
    <definedName name="description">#REF!</definedName>
    <definedName name="DESIGN_PERIOD">#REF!</definedName>
    <definedName name="designed">NA()</definedName>
    <definedName name="DetEst">NA()</definedName>
    <definedName name="df">#REF!</definedName>
    <definedName name="dfas" hidden="1">#REF!</definedName>
    <definedName name="dfdd">NA()</definedName>
    <definedName name="dfdddd">NA()</definedName>
    <definedName name="dfdf">NA()</definedName>
    <definedName name="dfdfd">NA()</definedName>
    <definedName name="dfds">NA()</definedName>
    <definedName name="dfdsfd">#REF!</definedName>
    <definedName name="dfef">#REF!</definedName>
    <definedName name="dffg">NA()</definedName>
    <definedName name="dffggff">NA()</definedName>
    <definedName name="dfgdg">#REF!</definedName>
    <definedName name="dfgh">NA()</definedName>
    <definedName name="dfghtjitujyi5ryhfrth">#REF!</definedName>
    <definedName name="dfgyhf">#REF!</definedName>
    <definedName name="dfhdf">#REF!</definedName>
    <definedName name="DFSDGFG">NA()</definedName>
    <definedName name="dfsf">NA()</definedName>
    <definedName name="dg">NA()</definedName>
    <definedName name="DGFD">NA()</definedName>
    <definedName name="dghh">NA()</definedName>
    <definedName name="dgl">NA()</definedName>
    <definedName name="dhshdjkdhj">"[71]material!#ref!"</definedName>
    <definedName name="DI">NA()</definedName>
    <definedName name="DI_CL">#REF!</definedName>
    <definedName name="DI_CL_RATES">#REF!</definedName>
    <definedName name="DI_CLL">#REF!</definedName>
    <definedName name="DI_CLR">#REF!</definedName>
    <definedName name="DI_CLS">#REF!</definedName>
    <definedName name="DI_D_R">#REF!</definedName>
    <definedName name="DI_D_RATES">#REF!</definedName>
    <definedName name="DI_DC">#REF!</definedName>
    <definedName name="DI_DL_RANGE">#REF!</definedName>
    <definedName name="DI_DR">#REF!</definedName>
    <definedName name="DI_FR_K7">#REF!</definedName>
    <definedName name="DI_FR_K9">#REF!</definedName>
    <definedName name="DI_G">#REF!</definedName>
    <definedName name="DI_P">#REF!</definedName>
    <definedName name="DI_PIPES">#REF!</definedName>
    <definedName name="DI_RATES">#REF!</definedName>
    <definedName name="DI_T">#REF!</definedName>
    <definedName name="dia">#REF!</definedName>
    <definedName name="DIA_SSF">NA()</definedName>
    <definedName name="DIAA">NA()</definedName>
    <definedName name="diff_20ab">NA()</definedName>
    <definedName name="dipu">NA()</definedName>
    <definedName name="dis">0.5</definedName>
    <definedName name="Discount" hidden="1">#REF!</definedName>
    <definedName name="display_area_2" hidden="1">#REF!</definedName>
    <definedName name="dist">NA()</definedName>
    <definedName name="Dist_Abstract">#REF!</definedName>
    <definedName name="div">#REF!</definedName>
    <definedName name="djb">NA()</definedName>
    <definedName name="DJD">NA()</definedName>
    <definedName name="DJE">NA()</definedName>
    <definedName name="DKDK">#REF!</definedName>
    <definedName name="DM">NA()</definedName>
    <definedName name="Dname">#REF!</definedName>
    <definedName name="dndfh">#REF!</definedName>
    <definedName name="do___________________________________________________________20_B">#REF!</definedName>
    <definedName name="docu">NA()</definedName>
    <definedName name="door_one_m">NA()</definedName>
    <definedName name="door_toilet">NA()</definedName>
    <definedName name="doordata3">NA()</definedName>
    <definedName name="DOW_CORNING_789_SILICONE_SEALANT">NA()</definedName>
    <definedName name="DOW_CORNING_789_SILICONE_SEALANT_8">NA()</definedName>
    <definedName name="DPCV">NA()</definedName>
    <definedName name="DPP">NA()</definedName>
    <definedName name="dq">NA()</definedName>
    <definedName name="drain">NA()</definedName>
    <definedName name="DRAWINGS">NA()</definedName>
    <definedName name="DRAWINGS_I">NA()</definedName>
    <definedName name="dreq">NA()</definedName>
    <definedName name="drgfuj">NA()</definedName>
    <definedName name="Drilling_holes_in_hard_rock__sheet_rock_with_pnuematic_compressor_including_grouting_the_holes_with_neat_cement_slurry__excluding_cost_of_steel_and_its_fabrication_charges">NA()</definedName>
    <definedName name="DRINKING">#REF!</definedName>
    <definedName name="drr_hire">NA()</definedName>
    <definedName name="Drum_Mix_Plant_40___60_TPH">#REF!</definedName>
    <definedName name="DRY_ROLLING">NA()</definedName>
    <definedName name="Dry_rough_stone_revetment_for__aprons_and_stacking_within_40_metres">NA()</definedName>
    <definedName name="dryrolling">NA()</definedName>
    <definedName name="ds">NA()</definedName>
    <definedName name="DSA">NA()</definedName>
    <definedName name="dsd">NA()</definedName>
    <definedName name="dse">"[213]v!#ref!"</definedName>
    <definedName name="dsfd">NA()</definedName>
    <definedName name="dss" hidden="1">#REF!</definedName>
    <definedName name="dt">#REF!</definedName>
    <definedName name="dt_">"[214]data!#ref!"</definedName>
    <definedName name="dtn">"[215]data!#ref!"</definedName>
    <definedName name="dtrb">NA()</definedName>
    <definedName name="DTS_APTS">NA()</definedName>
    <definedName name="DTS_BT6">NA()</definedName>
    <definedName name="DTS_BT8">NA()</definedName>
    <definedName name="DTS_BTE">NA()</definedName>
    <definedName name="DTS_C1">NA()</definedName>
    <definedName name="DTS_CC">NA()</definedName>
    <definedName name="DTS_CEM">NA()</definedName>
    <definedName name="DTS_ECV">NA()</definedName>
    <definedName name="DTS_EMD">NA()</definedName>
    <definedName name="DTS_EW">NA()</definedName>
    <definedName name="DTS_GSB">NA()</definedName>
    <definedName name="DTS_HYSD">NA()</definedName>
    <definedName name="DTS_LIQ">NA()</definedName>
    <definedName name="DTS_MSS">NA()</definedName>
    <definedName name="DTS_PER">NA()</definedName>
    <definedName name="DTS_REG">NA()</definedName>
    <definedName name="DTS_SIM">NA()</definedName>
    <definedName name="DTS_VRCC">NA()</definedName>
    <definedName name="DTS_WBM">NA()</definedName>
    <definedName name="dtt">#REF!</definedName>
    <definedName name="DUST">#REF!</definedName>
    <definedName name="dw">NA()</definedName>
    <definedName name="DWL">NA()</definedName>
    <definedName name="dwpefb">"[122]process!#ref!"</definedName>
    <definedName name="dwpeld">"[122]process!#ref!"</definedName>
    <definedName name="dwpelw">"[122]process!#ref!"</definedName>
    <definedName name="dx">NA()</definedName>
    <definedName name="E">#REF!</definedName>
    <definedName name="E_0_50">NA()</definedName>
    <definedName name="E_01">NA()</definedName>
    <definedName name="E_02">NA()</definedName>
    <definedName name="E_03">NA()</definedName>
    <definedName name="E_04">NA()</definedName>
    <definedName name="E_05">NA()</definedName>
    <definedName name="E_06">NA()</definedName>
    <definedName name="E_07">NA()</definedName>
    <definedName name="E_08">NA()</definedName>
    <definedName name="E_09">NA()</definedName>
    <definedName name="E_10">NA()</definedName>
    <definedName name="E_100">NA()</definedName>
    <definedName name="E_101">NA()</definedName>
    <definedName name="E_102">NA()</definedName>
    <definedName name="E_103">NA()</definedName>
    <definedName name="E_104">NA()</definedName>
    <definedName name="E_105">NA()</definedName>
    <definedName name="E_106">NA()</definedName>
    <definedName name="E_107">NA()</definedName>
    <definedName name="E_108">NA()</definedName>
    <definedName name="E_109">NA()</definedName>
    <definedName name="E_11">NA()</definedName>
    <definedName name="E_110">NA()</definedName>
    <definedName name="E_111">NA()</definedName>
    <definedName name="E_112">NA()</definedName>
    <definedName name="E_113">NA()</definedName>
    <definedName name="E_114">NA()</definedName>
    <definedName name="E_115">NA()</definedName>
    <definedName name="E_116">NA()</definedName>
    <definedName name="E_117">NA()</definedName>
    <definedName name="E_118">NA()</definedName>
    <definedName name="E_119">NA()</definedName>
    <definedName name="E_12">NA()</definedName>
    <definedName name="E_120">NA()</definedName>
    <definedName name="E_121">NA()</definedName>
    <definedName name="E_122">NA()</definedName>
    <definedName name="E_123">NA()</definedName>
    <definedName name="E_124">NA()</definedName>
    <definedName name="E_125">NA()</definedName>
    <definedName name="E_126">NA()</definedName>
    <definedName name="E_127">NA()</definedName>
    <definedName name="E_128">NA()</definedName>
    <definedName name="E_129">NA()</definedName>
    <definedName name="E_13">NA()</definedName>
    <definedName name="E_130">NA()</definedName>
    <definedName name="E_131">NA()</definedName>
    <definedName name="E_132">NA()</definedName>
    <definedName name="E_133">NA()</definedName>
    <definedName name="E_134">NA()</definedName>
    <definedName name="E_135">NA()</definedName>
    <definedName name="E_136">NA()</definedName>
    <definedName name="E_137">NA()</definedName>
    <definedName name="E_138">NA()</definedName>
    <definedName name="E_139">NA()</definedName>
    <definedName name="E_14">NA()</definedName>
    <definedName name="E_140">NA()</definedName>
    <definedName name="E_141">NA()</definedName>
    <definedName name="E_142">NA()</definedName>
    <definedName name="E_143">NA()</definedName>
    <definedName name="E_144">NA()</definedName>
    <definedName name="E_145">NA()</definedName>
    <definedName name="E_146">NA()</definedName>
    <definedName name="E_147">NA()</definedName>
    <definedName name="E_148">NA()</definedName>
    <definedName name="E_149">NA()</definedName>
    <definedName name="E_15">NA()</definedName>
    <definedName name="E_150">NA()</definedName>
    <definedName name="E_16">NA()</definedName>
    <definedName name="E_17">NA()</definedName>
    <definedName name="E_18">NA()</definedName>
    <definedName name="E_19">NA()</definedName>
    <definedName name="E_20">NA()</definedName>
    <definedName name="E_21">NA()</definedName>
    <definedName name="E_22">NA()</definedName>
    <definedName name="E_23">NA()</definedName>
    <definedName name="E_24">NA()</definedName>
    <definedName name="E_25">NA()</definedName>
    <definedName name="E_26">NA()</definedName>
    <definedName name="E_27">NA()</definedName>
    <definedName name="E_28">NA()</definedName>
    <definedName name="E_29">NA()</definedName>
    <definedName name="E_30">NA()</definedName>
    <definedName name="E_31">NA()</definedName>
    <definedName name="E_32">NA()</definedName>
    <definedName name="E_33">NA()</definedName>
    <definedName name="E_34">NA()</definedName>
    <definedName name="E_35">NA()</definedName>
    <definedName name="E_36">NA()</definedName>
    <definedName name="E_37">NA()</definedName>
    <definedName name="E_38">NA()</definedName>
    <definedName name="E_39">NA()</definedName>
    <definedName name="E_40">NA()</definedName>
    <definedName name="E_41">NA()</definedName>
    <definedName name="E_42">NA()</definedName>
    <definedName name="E_43">NA()</definedName>
    <definedName name="E_44">NA()</definedName>
    <definedName name="E_45">NA()</definedName>
    <definedName name="E_46">NA()</definedName>
    <definedName name="E_47">NA()</definedName>
    <definedName name="E_48">NA()</definedName>
    <definedName name="E_49">NA()</definedName>
    <definedName name="E_50">NA()</definedName>
    <definedName name="E_51">NA()</definedName>
    <definedName name="E_52">NA()</definedName>
    <definedName name="E_53">NA()</definedName>
    <definedName name="E_54">NA()</definedName>
    <definedName name="E_55">NA()</definedName>
    <definedName name="E_56">NA()</definedName>
    <definedName name="E_57">NA()</definedName>
    <definedName name="E_58">NA()</definedName>
    <definedName name="E_59">NA()</definedName>
    <definedName name="E_60">NA()</definedName>
    <definedName name="E_61">NA()</definedName>
    <definedName name="E_62">NA()</definedName>
    <definedName name="E_63">NA()</definedName>
    <definedName name="E_64">NA()</definedName>
    <definedName name="E_65">NA()</definedName>
    <definedName name="E_66">NA()</definedName>
    <definedName name="E_67">NA()</definedName>
    <definedName name="E_68">NA()</definedName>
    <definedName name="E_69">NA()</definedName>
    <definedName name="E_70">NA()</definedName>
    <definedName name="E_71">NA()</definedName>
    <definedName name="E_72">NA()</definedName>
    <definedName name="E_73">NA()</definedName>
    <definedName name="E_74">NA()</definedName>
    <definedName name="E_75">NA()</definedName>
    <definedName name="E_76">NA()</definedName>
    <definedName name="E_77">NA()</definedName>
    <definedName name="E_78">NA()</definedName>
    <definedName name="E_79">NA()</definedName>
    <definedName name="E_80">NA()</definedName>
    <definedName name="E_81">NA()</definedName>
    <definedName name="E_82">NA()</definedName>
    <definedName name="E_83">NA()</definedName>
    <definedName name="E_84">NA()</definedName>
    <definedName name="E_85">NA()</definedName>
    <definedName name="E_86">NA()</definedName>
    <definedName name="E_87">NA()</definedName>
    <definedName name="E_88">NA()</definedName>
    <definedName name="E_89">NA()</definedName>
    <definedName name="E_90">NA()</definedName>
    <definedName name="E_91">NA()</definedName>
    <definedName name="E_92">NA()</definedName>
    <definedName name="E_93">NA()</definedName>
    <definedName name="E_94">NA()</definedName>
    <definedName name="E_95">NA()</definedName>
    <definedName name="E_96">NA()</definedName>
    <definedName name="E_97">NA()</definedName>
    <definedName name="E_98">NA()</definedName>
    <definedName name="E_99">NA()</definedName>
    <definedName name="E_W_CARTED_FMC">NA()</definedName>
    <definedName name="E_W_SIDE">#N/A</definedName>
    <definedName name="E_W_SIDE_FMC_NO">NA()</definedName>
    <definedName name="E_W_SIDE_FMC_PR">NA()</definedName>
    <definedName name="E_W_SIDE_OMC">NA()</definedName>
    <definedName name="Earth_and_gravel">NA()</definedName>
    <definedName name="EARTH_D">#REF!</definedName>
    <definedName name="earth_lead">NA()</definedName>
    <definedName name="earth_omc">NA()</definedName>
    <definedName name="earth_rate">NA()</definedName>
    <definedName name="earthld">"[222]leads!#ref!"</definedName>
    <definedName name="EB">NA()</definedName>
    <definedName name="ec">#REF!</definedName>
    <definedName name="ECV">NA()</definedName>
    <definedName name="ed">NA()</definedName>
    <definedName name="edswi">NA()</definedName>
    <definedName name="Edulapalli">NA()</definedName>
    <definedName name="ee">#REF!</definedName>
    <definedName name="ee.">#REF!</definedName>
    <definedName name="ee_">NA()</definedName>
    <definedName name="eee">#REF!</definedName>
    <definedName name="eeee">"[224]boq!#ref!"</definedName>
    <definedName name="eeeee">"[71]works!#ref!"</definedName>
    <definedName name="eeeeeeeeeee">"[71]material!#ref!"</definedName>
    <definedName name="eeeeeeeeeeeeeee">"[71]works!#ref!"</definedName>
    <definedName name="eeerfre">"[71]general!#ref!"</definedName>
    <definedName name="eewr">NA()</definedName>
    <definedName name="eewrer">"[71]rmr!#ref!"</definedName>
    <definedName name="EFF">#REF!</definedName>
    <definedName name="egar">#REF!</definedName>
    <definedName name="ele">"scheduled_payment"+"extra_payment"</definedName>
    <definedName name="Ele_est">NA()</definedName>
    <definedName name="elec">NA()</definedName>
    <definedName name="ELED">NA()</definedName>
    <definedName name="Email">#REF!</definedName>
    <definedName name="EMD">"[56]boq!#ref!"</definedName>
    <definedName name="EMD_8">"[225]boq!#ref!"</definedName>
    <definedName name="EMMS">"[226]mrates!#ref!"</definedName>
    <definedName name="enamel_door_paint">NA()</definedName>
    <definedName name="enamel_grill_paint">NA()</definedName>
    <definedName name="End_Bal">NA()</definedName>
    <definedName name="enter">NA()</definedName>
    <definedName name="er">#REF!</definedName>
    <definedName name="ers">#REF!</definedName>
    <definedName name="ertgdrghfghdsr">#REF!</definedName>
    <definedName name="ESSR1">NA()</definedName>
    <definedName name="ESSR10">NA()</definedName>
    <definedName name="ESSR11">NA()</definedName>
    <definedName name="ESSR12">NA()</definedName>
    <definedName name="ESSR13">NA()</definedName>
    <definedName name="ESSR2">NA()</definedName>
    <definedName name="ESSR3">NA()</definedName>
    <definedName name="ESSR4">NA()</definedName>
    <definedName name="ESSR5">NA()</definedName>
    <definedName name="ESSR6">NA()</definedName>
    <definedName name="ESSR7">NA()</definedName>
    <definedName name="ESSR8">NA()</definedName>
    <definedName name="ESSR9">NA()</definedName>
    <definedName name="ESTIMATE">#REF!</definedName>
    <definedName name="ESTIMATE1">NA()</definedName>
    <definedName name="estParvathapr">"[130]data!#ref!"</definedName>
    <definedName name="Estskklan">NA()</definedName>
    <definedName name="ESTT">"[229]sheet9!#ref!"</definedName>
    <definedName name="EW">NA()</definedName>
    <definedName name="EW_A">#REF!</definedName>
    <definedName name="EW_B">#REF!</definedName>
    <definedName name="EW_by_Machine">NA()</definedName>
    <definedName name="EW_SP">#REF!</definedName>
    <definedName name="EWCONVEYANCE">NA()</definedName>
    <definedName name="ewe">#REF!</definedName>
    <definedName name="EWRERE">#REF!</definedName>
    <definedName name="EWW">#REF!</definedName>
    <definedName name="excavation">NA()</definedName>
    <definedName name="Excavation_for_foundations__substructures__trenches__sumps__tunnels__pits_etc__in_all_types_of_ordinary_and_hard_soils_including_hard_murum__including_necessary_shoring__strutting__stacking_selected_material_for_backfilling_or_disposing_excess_excavated_m">"[235]gbw!#ref!"</definedName>
    <definedName name="Excel_BuiltIn__FilterDatabase_1">NA()</definedName>
    <definedName name="Excel_BuiltIn__FilterDatabase_10">NA()</definedName>
    <definedName name="Excel_BuiltIn__FilterDatabase_2">NA()</definedName>
    <definedName name="Excel_BuiltIn__FilterDatabase_2_1">NA()</definedName>
    <definedName name="Excel_BuiltIn__FilterDatabase_3">"[238]oh!#ref!"</definedName>
    <definedName name="Excel_BuiltIn__FilterDatabase_4">NA()</definedName>
    <definedName name="Excel_BuiltIn__FilterDatabase_5">NA()</definedName>
    <definedName name="Excel_BuiltIn__FilterDatabase_6">NA()</definedName>
    <definedName name="Excel_BuiltIn__FilterDatabase_6_1">NA()</definedName>
    <definedName name="Excel_BuiltIn__FilterDatabase_6_1_1">NA()</definedName>
    <definedName name="Excel_BuiltIn__FilterDatabase_6_1_3">"[239]notes!#ref!"</definedName>
    <definedName name="Excel_BuiltIn_Database">NA()</definedName>
    <definedName name="Excel_BuiltIn_Database_1">"'smb://192.168.4.19/texas/BOQ_TEXAS.xls'#$''.$A$3:$S$74"</definedName>
    <definedName name="Excel_BuiltIn_Database_10">NA()</definedName>
    <definedName name="Excel_BuiltIn_Database_11">"'smb://192.168.4.19/texas/BOQ_TEXAS.xls'#$''.$A$3:$S$74"</definedName>
    <definedName name="Excel_BuiltIn_Database_12">"'smb://192.168.4.19/texas/BOQ_TEXAS.xls'#$''.$A$3:$S$74"</definedName>
    <definedName name="Excel_BuiltIn_Database_2">"'smb://192.168.4.19/texas/BOQ_TEXAS.xls'#$''.$A$3:$S$74"</definedName>
    <definedName name="Excel_BuiltIn_Database_3">"'smb://192.168.4.19/texas/BOQ_TEXAS.xls'#$''.$A$3:$S$74"</definedName>
    <definedName name="Excel_BuiltIn_Database_4">"'smb://192.168.4.19/texas/BOQ_TEXAS.xls'#$''.$A$3:$S$74"</definedName>
    <definedName name="Excel_BuiltIn_Database_5">"'smb://192.168.4.19/texas/BOQ_TEXAS.xls'#$''.$A$3:$S$74"</definedName>
    <definedName name="Excel_BuiltIn_Database_6">"'smb://192.168.4.19/texas/BOQ_TEXAS.xls'#$''.$A$3:$S$74"</definedName>
    <definedName name="Excel_BuiltIn_Database_7">"'smb://192.168.4.19/texas/BOQ_TEXAS.xls'#$''.$A$3:$S$74"</definedName>
    <definedName name="Excel_BuiltIn_Database_8">"'smb://192.168.4.19/texas/BOQ_TEXAS.xls'#$''.$A$3:$S$74"</definedName>
    <definedName name="Excel_BuiltIn_Database_9">"'smb://192.168.4.19/texas/BOQ_TEXAS.xls'#$''.$A$3:$S$74"</definedName>
    <definedName name="Excel_BuiltIn_Extract">NA()</definedName>
    <definedName name="Excel_BuiltIn_Print_Area_1">NA()</definedName>
    <definedName name="Excel_BuiltIn_Print_Area_1_1">NA()</definedName>
    <definedName name="Excel_BuiltIn_Print_Area_11_1">NA()</definedName>
    <definedName name="Excel_BuiltIn_Print_Area_2">NA()</definedName>
    <definedName name="Excel_BuiltIn_Print_Area_2_1_1_1">"[243]qty!#ref!"</definedName>
    <definedName name="Excel_BuiltIn_Print_Area_22">NA()</definedName>
    <definedName name="Excel_BuiltIn_Print_Area_23">NA()</definedName>
    <definedName name="Excel_BuiltIn_Print_Area_28">NA()</definedName>
    <definedName name="Excel_BuiltIn_Print_Area_29">NA()</definedName>
    <definedName name="Excel_BuiltIn_Print_Area_3">NA()</definedName>
    <definedName name="Excel_BuiltIn_Print_Area_31">NA()</definedName>
    <definedName name="Excel_BuiltIn_Print_Area_4_1">NA()</definedName>
    <definedName name="Excel_BuiltIn_Print_Area_8">NA()</definedName>
    <definedName name="Excel_BuiltIn_Print_Titles">NA()</definedName>
    <definedName name="Excel_BuiltIn_Print_Titles_1">NA()</definedName>
    <definedName name="Excel_BuiltIn_Print_Titles_1_1">NA()</definedName>
    <definedName name="Excel_BuiltIn_Print_Titles_11">NA()</definedName>
    <definedName name="Excel_BuiltIn_Print_Titles_11_1">NA()</definedName>
    <definedName name="Excel_BuiltIn_Print_Titles_14">NA()</definedName>
    <definedName name="Excel_BuiltIn_Print_Titles_2">NA()</definedName>
    <definedName name="Excel_BuiltIn_Print_Titles_22">NA()</definedName>
    <definedName name="Excel_BuiltIn_Print_Titles_23">NA()</definedName>
    <definedName name="Excel_BuiltIn_Print_Titles_29">NA()</definedName>
    <definedName name="Excel_BuiltIn_Print_Titles_3">NA()</definedName>
    <definedName name="Excel_BuiltIn_Print_Titles_3_1">NA()</definedName>
    <definedName name="Excel_BuiltIn_Print_Titles_4">NA()</definedName>
    <definedName name="Excel_BuiltIn_Print_Titles_5">NA()</definedName>
    <definedName name="Excel_BuiltIn_Print_Titles_6">NA()</definedName>
    <definedName name="Excel_BuiltIn_Print_Titles_8">NA()</definedName>
    <definedName name="Excel_BuiltIn_Recorder">NA()</definedName>
    <definedName name="excf">NA()</definedName>
    <definedName name="ExciseDuty">NA()</definedName>
    <definedName name="EXIT">NA()</definedName>
    <definedName name="Extra_Pay">NA()</definedName>
    <definedName name="f">#REF!</definedName>
    <definedName name="F_s">NA()</definedName>
    <definedName name="F_s_1">NA()</definedName>
    <definedName name="F2095_3">NA()</definedName>
    <definedName name="faaaaaaaaa">#REF!</definedName>
    <definedName name="FAB">#REF!</definedName>
    <definedName name="fabchr">NA()</definedName>
    <definedName name="fabrication">NA()</definedName>
    <definedName name="faofeq">#REF!</definedName>
    <definedName name="faplm">#REF!</definedName>
    <definedName name="fapms">#REF!</definedName>
    <definedName name="faveh">#REF!</definedName>
    <definedName name="Fax">#REF!</definedName>
    <definedName name="fb">NA()</definedName>
    <definedName name="fbeam">NA()</definedName>
    <definedName name="FBEAM1">NA()</definedName>
    <definedName name="fbl">NA()</definedName>
    <definedName name="FCode" hidden="1">#REF!</definedName>
    <definedName name="fd">NA()</definedName>
    <definedName name="fdfd">"scheduled_payment"+"extra_payment"</definedName>
    <definedName name="FDGF">NA()</definedName>
    <definedName name="fdghgg">NA()</definedName>
    <definedName name="FDJDSJFDJFLDJF">#REF!</definedName>
    <definedName name="FDR">NA()</definedName>
    <definedName name="fdrop">NA()</definedName>
    <definedName name="fdrop1">NA()</definedName>
    <definedName name="FDROP11">NA()</definedName>
    <definedName name="FDROP2">NA()</definedName>
    <definedName name="fdsg">#REF!</definedName>
    <definedName name="fe">NA()</definedName>
    <definedName name="Feeder_Road_Sections">#REF!</definedName>
    <definedName name="ferwgergtg">"[71]data!#ref!"</definedName>
    <definedName name="fewfgregr">"[71]data!#ref!"</definedName>
    <definedName name="FF">"[246]data.f8.btr!#ref!"</definedName>
    <definedName name="ffd">"scheduled_payment"+"extra_payment"</definedName>
    <definedName name="ffdasggfdhj">NA()</definedName>
    <definedName name="fff">NA()</definedName>
    <definedName name="ffff">NA()</definedName>
    <definedName name="fffff">NA()</definedName>
    <definedName name="fffffff">"[71]works!#ref!"</definedName>
    <definedName name="ffffffff">NA()</definedName>
    <definedName name="fffffffffff">"[71]material!#ref!"</definedName>
    <definedName name="ffffffffffff">"[71]material!#ref!"</definedName>
    <definedName name="ffffffffffffffffffffff">NA()</definedName>
    <definedName name="FFGB5">NA()</definedName>
    <definedName name="fgafgsfgfytssstr">#REF!</definedName>
    <definedName name="FGD">{"'ridftotal'!$A$4:$S$27"}</definedName>
    <definedName name="fgdfgsdg">NA()</definedName>
    <definedName name="fgf">#REF!</definedName>
    <definedName name="fgfg">"[71]material!#ref!"</definedName>
    <definedName name="fgfgfgfgg">"[71]data!#ref!"</definedName>
    <definedName name="fgfgh">NA()</definedName>
    <definedName name="fgfnfgfh">#REF!</definedName>
    <definedName name="fgh">NA()</definedName>
    <definedName name="fghdjfhgjf">NA()</definedName>
    <definedName name="fghfjh">NA()</definedName>
    <definedName name="fghh">#REF!</definedName>
    <definedName name="fhg">NA()</definedName>
    <definedName name="fid">NA()</definedName>
    <definedName name="fifb">NA()</definedName>
    <definedName name="fil">NA()</definedName>
    <definedName name="filling_earth">NA()</definedName>
    <definedName name="filling_gravel">NA()</definedName>
    <definedName name="fillingsand">NA()</definedName>
    <definedName name="film">NA()</definedName>
    <definedName name="final">#REF!</definedName>
    <definedName name="fineaggregate">NA()</definedName>
    <definedName name="finished">#REF!</definedName>
    <definedName name="First" hidden="1">#REF!</definedName>
    <definedName name="Fissured_and_fractured_rock_and_boulders_upto_3_cum_in_size_requiring_blasting_including_stacking">NA()</definedName>
    <definedName name="five">NA()</definedName>
    <definedName name="fiw">NA()</definedName>
    <definedName name="fixed_asset">NA()</definedName>
    <definedName name="fj_100">NA()</definedName>
    <definedName name="fj_150">NA()</definedName>
    <definedName name="fj_200">NA()</definedName>
    <definedName name="fj_25">NA()</definedName>
    <definedName name="fj_250">NA()</definedName>
    <definedName name="fj_300">NA()</definedName>
    <definedName name="fj_32">NA()</definedName>
    <definedName name="fj_40">NA()</definedName>
    <definedName name="fj_400">NA()</definedName>
    <definedName name="fj_50">NA()</definedName>
    <definedName name="fj_500">NA()</definedName>
    <definedName name="fj_65">NA()</definedName>
    <definedName name="fj_80">NA()</definedName>
    <definedName name="FJDK">#REF!</definedName>
    <definedName name="fl">NA()</definedName>
    <definedName name="flag1">NA()</definedName>
    <definedName name="fld">NA()</definedName>
    <definedName name="flg">NA()</definedName>
    <definedName name="floor">#REF!</definedName>
    <definedName name="floor_cc">#REF!</definedName>
    <definedName name="floor_ceramic">NA()</definedName>
    <definedName name="floor_chequered">NA()</definedName>
    <definedName name="floor_kadapa">NA()</definedName>
    <definedName name="floor_shahbad">NA()</definedName>
    <definedName name="flushpointing">NA()</definedName>
    <definedName name="fm">NA()</definedName>
    <definedName name="fma">NA()</definedName>
    <definedName name="fmld">"[122]process!#ref!"</definedName>
    <definedName name="Footings">NA()</definedName>
    <definedName name="Footings__bed_blocks">"[71]works!#ref!"</definedName>
    <definedName name="For_CC_pavements__wearing_coats__approach__slabs__guide_stone__J__M__stone_etc_">NA()</definedName>
    <definedName name="For_cement_concrete_for_foundation_below_low_water_level">NA()</definedName>
    <definedName name="For_earth_work_excavation_for_foundations_below_low_water_level">NA()</definedName>
    <definedName name="For_mass_concrete_piers__abutments_and_steining_well_curbes__well_caps_etc_">NA()</definedName>
    <definedName name="For_RCC_beams">NA()</definedName>
    <definedName name="For_RCC_deck_slabs">NA()</definedName>
    <definedName name="For_RCC_hand_rails">NA()</definedName>
    <definedName name="For_RCC_piers__abutments__wing_wall___steining__well_curbs__well_caps_etc_">NA()</definedName>
    <definedName name="For_SS_Revetment_work_225__mm">NA()</definedName>
    <definedName name="For_SS_Revetment_work_300__mm">NA()</definedName>
    <definedName name="For_SS_Revetment_work450__mm">NA()</definedName>
    <definedName name="fp">NA()</definedName>
    <definedName name="fpaint">NA()</definedName>
    <definedName name="FREE">NA()</definedName>
    <definedName name="frncis">NA()</definedName>
    <definedName name="frncis_2">NA()</definedName>
    <definedName name="frncis_4">"'smb://Planning2/d/ECC%20bbsr/tech/FinalZCR.xls'#$''.$A$20:$AMJ$20"</definedName>
    <definedName name="frncis_5">"'smb://Planning2/d/ECC%20bbsr/tech/FinalZCR.xls'#$''.$A$20:$AMJ$20"</definedName>
    <definedName name="frncis_6">"'smb://Planning2/d/ECC%20bbsr/tech/FinalZCR.xls'#$''.$A$20:$AMJ$20"</definedName>
    <definedName name="front">NA()</definedName>
    <definedName name="Front_End_Roller">NA()</definedName>
    <definedName name="front1">NA()</definedName>
    <definedName name="FRONT11">NA()</definedName>
    <definedName name="frucis">NA()</definedName>
    <definedName name="FSAND">#REF!</definedName>
    <definedName name="fsc">NA()</definedName>
    <definedName name="fsg">NA()</definedName>
    <definedName name="fslab">NA()</definedName>
    <definedName name="FSLAB1">NA()</definedName>
    <definedName name="Full_Print">NA()</definedName>
    <definedName name="furn">NA()</definedName>
    <definedName name="furniture">NA()</definedName>
    <definedName name="FW">NA()</definedName>
    <definedName name="fwfb">"[122]process!#ref!"</definedName>
    <definedName name="fwl">NA()</definedName>
    <definedName name="fwld">NA()</definedName>
    <definedName name="fwrfb">"[122]process!#ref!"</definedName>
    <definedName name="fwrl">"[122]process!#ref!"</definedName>
    <definedName name="fwrld">"[122]process!#ref!"</definedName>
    <definedName name="fwrw">"[122]process!#ref!"</definedName>
    <definedName name="fwsfb">"[122]process!#ref!"</definedName>
    <definedName name="fwsl">"[122]process!#ref!"</definedName>
    <definedName name="fwsld">"[122]process!#ref!"</definedName>
    <definedName name="fwsw">"[122]process!#ref!"</definedName>
    <definedName name="fww">NA()</definedName>
    <definedName name="fy">#REF!</definedName>
    <definedName name="g">#REF!</definedName>
    <definedName name="G_A">NA()</definedName>
    <definedName name="g_lead">NA()</definedName>
    <definedName name="GA">NA()</definedName>
    <definedName name="gab">NA()</definedName>
    <definedName name="gagan">#REF!</definedName>
    <definedName name="ganeral">"[93]data!#ref!"</definedName>
    <definedName name="gdgdhdhdfhdhdhdh">NA()</definedName>
    <definedName name="gen_name">NA()</definedName>
    <definedName name="general">"[128]lead!#ref!"</definedName>
    <definedName name="Generating_get_125_KVA">NA()</definedName>
    <definedName name="Geschäftsbereich">NA()</definedName>
    <definedName name="gfbeams">NA()</definedName>
    <definedName name="gfd">NA()</definedName>
    <definedName name="gfegg">"[71]data!#ref!"</definedName>
    <definedName name="gfg">NA()</definedName>
    <definedName name="GG">#REF!</definedName>
    <definedName name="gggg">NA()</definedName>
    <definedName name="gggggggg">"[71]works!#ref!"</definedName>
    <definedName name="ggggggggggg">"[71]works!#ref!"</definedName>
    <definedName name="ggggggggggggg">"[71]works!#ref!"</definedName>
    <definedName name="ggggggggggggggg">"[71]material!#ref!"</definedName>
    <definedName name="ggjh">NA()</definedName>
    <definedName name="GH">#REF!</definedName>
    <definedName name="ghdfghdf">NA()</definedName>
    <definedName name="GHGH">"'[112]tbal9697 -group wise  sdpl'!$a$34"</definedName>
    <definedName name="ghjgjh">NA()</definedName>
    <definedName name="GHJK">{"'ridftotal'!$A$4:$S$27"}</definedName>
    <definedName name="GHJKJK">{"'ridftotal'!$A$4:$S$27"}</definedName>
    <definedName name="GI">NA()</definedName>
    <definedName name="gi_100">NA()</definedName>
    <definedName name="gi_150">NA()</definedName>
    <definedName name="gi_200">NA()</definedName>
    <definedName name="gi_25">NA()</definedName>
    <definedName name="gi_250">NA()</definedName>
    <definedName name="gi_300">NA()</definedName>
    <definedName name="gi_32">NA()</definedName>
    <definedName name="gi_40">NA()</definedName>
    <definedName name="gi_400">NA()</definedName>
    <definedName name="gi_50">NA()</definedName>
    <definedName name="gi_500">NA()</definedName>
    <definedName name="gi_600">NA()</definedName>
    <definedName name="gi_65">NA()</definedName>
    <definedName name="gi_80">NA()</definedName>
    <definedName name="GI_CL">#REF!</definedName>
    <definedName name="GI_CLL">#REF!</definedName>
    <definedName name="GI_D_R">#REF!</definedName>
    <definedName name="GI_pipe_15_mm">#REF!</definedName>
    <definedName name="GI_PIPES">#REF!</definedName>
    <definedName name="GI_sheet_1mm_corrugated">"[71]material!#ref!"</definedName>
    <definedName name="GI_sheet_1mm_plain">"[71]material!#ref!"</definedName>
    <definedName name="gib">NA()</definedName>
    <definedName name="GIbend">NA()</definedName>
    <definedName name="GIcoupling">NA()</definedName>
    <definedName name="GIelbow">NA()</definedName>
    <definedName name="GInipple">NA()</definedName>
    <definedName name="GIreducedTee">NA()</definedName>
    <definedName name="GIreducer">NA()</definedName>
    <definedName name="GIS">NA()</definedName>
    <definedName name="GIS_ii">NA()</definedName>
    <definedName name="GIspecial">NA()</definedName>
    <definedName name="GIunion">NA()</definedName>
    <definedName name="gj">NA()</definedName>
    <definedName name="gjhg">NA()</definedName>
    <definedName name="gksn">NA()</definedName>
    <definedName name="GL">NA()</definedName>
    <definedName name="GLASS_TYPE">#REF!</definedName>
    <definedName name="Glazed_coloured_tiles_for_Dadooing">NA()</definedName>
    <definedName name="glb_100">NA()</definedName>
    <definedName name="glb_150">NA()</definedName>
    <definedName name="glb_200">NA()</definedName>
    <definedName name="glb_25">NA()</definedName>
    <definedName name="glb_250">NA()</definedName>
    <definedName name="glb_300">NA()</definedName>
    <definedName name="glb_32">NA()</definedName>
    <definedName name="glb_40">NA()</definedName>
    <definedName name="glb_50">NA()</definedName>
    <definedName name="glb_65">NA()</definedName>
    <definedName name="glb_80">NA()</definedName>
    <definedName name="GLOADING">NA()</definedName>
    <definedName name="gls">#REF!</definedName>
    <definedName name="GM">NA()</definedName>
    <definedName name="GMgateValve">NA()</definedName>
    <definedName name="GMM">NA()</definedName>
    <definedName name="gn">#REF!</definedName>
    <definedName name="goo">NA()</definedName>
    <definedName name="gound">#REF!</definedName>
    <definedName name="GPC">#REF!</definedName>
    <definedName name="GPF">NA()</definedName>
    <definedName name="GPname">#REF!</definedName>
    <definedName name="gr">#REF!</definedName>
    <definedName name="gra">#REF!</definedName>
    <definedName name="Grab_dredging_crane___1_cum___normally_runs_for_4_hours_a_day">"[65]usage!#ref!"</definedName>
    <definedName name="grade1">NA()</definedName>
    <definedName name="grade2">NA()</definedName>
    <definedName name="grade3">NA()</definedName>
    <definedName name="Granite__dolamite_and_trap">NA()</definedName>
    <definedName name="Granite_for_SS_revetment_225_mm">NA()</definedName>
    <definedName name="Granite_for_SS_revetment_300_mm">NA()</definedName>
    <definedName name="Granite_stone_slabs_for_culverts__lintels_and_copings__3_faces_dressed_coarsed_rubble_masonary">NA()</definedName>
    <definedName name="granolithic_floor">NA()</definedName>
    <definedName name="GRAVEL">#REF!</definedName>
    <definedName name="GRAVEL_D">#REF!</definedName>
    <definedName name="gravel_dust_sand">NA()</definedName>
    <definedName name="gravel_hc100">NA()</definedName>
    <definedName name="gravel_hc150">NA()</definedName>
    <definedName name="Gravel_including_stacking">NA()</definedName>
    <definedName name="gravel_pick">NA()</definedName>
    <definedName name="gravel_spr100">NA()</definedName>
    <definedName name="gravel_spr150">NA()</definedName>
    <definedName name="gravel_stack">NA()</definedName>
    <definedName name="Group1">NA()</definedName>
    <definedName name="Group1_8">NA()</definedName>
    <definedName name="Group2">NA()</definedName>
    <definedName name="Group2_8">NA()</definedName>
    <definedName name="Group3">NA()</definedName>
    <definedName name="Group4">NA()</definedName>
    <definedName name="GRP_C">#REF!</definedName>
    <definedName name="GRP_CL">#REF!</definedName>
    <definedName name="GRP_CL_RATES">#REF!</definedName>
    <definedName name="GRP_CLL">#REF!</definedName>
    <definedName name="GRP_CLR">#REF!</definedName>
    <definedName name="GRP_CLS">#REF!</definedName>
    <definedName name="GRP_D_R">#REF!</definedName>
    <definedName name="GRP_D_RATES">#REF!</definedName>
    <definedName name="GRP_DL_RANGE">#REF!</definedName>
    <definedName name="GRP_DR">#REF!</definedName>
    <definedName name="GRP_FR_12BAR">#REF!</definedName>
    <definedName name="GRP_FR_15BAR">#REF!</definedName>
    <definedName name="GRP_FR_3BAR">#REF!</definedName>
    <definedName name="GRP_FR_6BAR">#REF!</definedName>
    <definedName name="GRP_FR_9BAR">#REF!</definedName>
    <definedName name="GRP_G">#REF!</definedName>
    <definedName name="GRP_P">#REF!</definedName>
    <definedName name="GRP_PIPES">#REF!</definedName>
    <definedName name="GRP_RATES">#REF!</definedName>
    <definedName name="Grstone">NA()</definedName>
    <definedName name="GRT">#REF!</definedName>
    <definedName name="gs">NA()</definedName>
    <definedName name="GS_barbed_wire">"[71]material!#ref!"</definedName>
    <definedName name="gsb">NA()</definedName>
    <definedName name="GSP">#REF!</definedName>
    <definedName name="gtrothpfinal">#REF!</definedName>
    <definedName name="guiol">#REF!</definedName>
    <definedName name="GULOADING">NA()</definedName>
    <definedName name="Gunduvarigudem">NA()</definedName>
    <definedName name="GUS">#REF!</definedName>
    <definedName name="GUSAUX">#REF!</definedName>
    <definedName name="GUSSW">#REF!</definedName>
    <definedName name="GUSUSD">#REF!</definedName>
    <definedName name="gv_100">NA()</definedName>
    <definedName name="gv_150">NA()</definedName>
    <definedName name="gv_200">NA()</definedName>
    <definedName name="gv_25">NA()</definedName>
    <definedName name="gv_250">NA()</definedName>
    <definedName name="gv_300">NA()</definedName>
    <definedName name="gv_32">NA()</definedName>
    <definedName name="gv_40">NA()</definedName>
    <definedName name="gv_400">NA()</definedName>
    <definedName name="gv_50">NA()</definedName>
    <definedName name="gv_500">NA()</definedName>
    <definedName name="gv_65">NA()</definedName>
    <definedName name="gv_80">NA()</definedName>
    <definedName name="gyfc">NA()</definedName>
    <definedName name="H">NA()</definedName>
    <definedName name="h_">NA()</definedName>
    <definedName name="habs">#REF!</definedName>
    <definedName name="hai">NA()</definedName>
    <definedName name="Hard_disintegrated_rock_or_soft_rock_or_conglomerate_rock_and_Hard_lime_kankar_requiring_partial_blasting_">NA()</definedName>
    <definedName name="Hard_disintegrated_rock_or_soft_rock_or_conglomerate_rock_etc___removable_by_pick_axes_and_crow_bars">NA()</definedName>
    <definedName name="Hard_Gravelly_Soils__________SS_20_A">NA()</definedName>
    <definedName name="Hard_rock_and_boulders_more_than_3_cum_in_size_requiring_blasting_including_stacking">NA()</definedName>
    <definedName name="HBG_metal_IRC">NA()</definedName>
    <definedName name="HBG_metal_SS_5">NA()</definedName>
    <definedName name="hbgl">NA()</definedName>
    <definedName name="HC">NA()</definedName>
    <definedName name="hd">NA()</definedName>
    <definedName name="HDFGF">NA()</definedName>
    <definedName name="HDM_III_INPUT_DATA">#REF!</definedName>
    <definedName name="HDPE">#REF!</definedName>
    <definedName name="HDPE_C">#REF!</definedName>
    <definedName name="HDPE_CL">#REF!</definedName>
    <definedName name="HDPE_CL_RATES">#REF!</definedName>
    <definedName name="HDPE_CLL">#REF!</definedName>
    <definedName name="HDPE_CLR">#REF!</definedName>
    <definedName name="HDPE_CLS">#REF!</definedName>
    <definedName name="HDPE_D">#REF!</definedName>
    <definedName name="HDPE_D_R">#REF!</definedName>
    <definedName name="HDPE_D_RATES">#REF!</definedName>
    <definedName name="HDPE_DC">#REF!</definedName>
    <definedName name="HDPE_DL_RANGE">#REF!</definedName>
    <definedName name="HDPE_DR">#REF!</definedName>
    <definedName name="HDPE_FR_10KG">#REF!</definedName>
    <definedName name="HDPE_FR_4KG">#REF!</definedName>
    <definedName name="HDPE_FR_6KG">#REF!</definedName>
    <definedName name="HDPE_FR_8KG">#REF!</definedName>
    <definedName name="HDPE_G">#REF!</definedName>
    <definedName name="HDPE_ID">#REF!</definedName>
    <definedName name="HDPE_ID_CL">#REF!</definedName>
    <definedName name="HDPE_IDS">#REF!</definedName>
    <definedName name="HDPE_P">#REF!</definedName>
    <definedName name="HDPE_PIPES">#REF!</definedName>
    <definedName name="HDPE_RATES">#REF!</definedName>
    <definedName name="HDPE_T">#REF!</definedName>
    <definedName name="hdpe1">#REF!</definedName>
    <definedName name="hdpepvrate">#REF!</definedName>
    <definedName name="hdperates">#REF!</definedName>
    <definedName name="hdpewts">#REF!</definedName>
    <definedName name="Header_Row">ROW(#REF!)</definedName>
    <definedName name="hf">NA()</definedName>
    <definedName name="hfuhg">NA()</definedName>
    <definedName name="hgle">NA()</definedName>
    <definedName name="hgle1">NA()</definedName>
    <definedName name="hh">#REF!</definedName>
    <definedName name="hhh">NA()</definedName>
    <definedName name="hhhhhh">NA()</definedName>
    <definedName name="HI">NA()</definedName>
    <definedName name="HiddenRows" hidden="1">#REF!</definedName>
    <definedName name="HIFINI">NA()</definedName>
    <definedName name="High_Yeild_Strengh_Deformed_Bars">NA()</definedName>
    <definedName name="HIRE_CHARGES_PLASTERING_CEILING">#REF!</definedName>
    <definedName name="HIRE_CHARGES_PLASTERING_WALLS">#REF!</definedName>
    <definedName name="Hirebreak">"[130]boq!#ref!"</definedName>
    <definedName name="his">NA()</definedName>
    <definedName name="HJ">{"'ridftotal'!$A$4:$S$27"}</definedName>
    <definedName name="hjk">NA()</definedName>
    <definedName name="hjklhkj">NA()</definedName>
    <definedName name="HJVHFDKJH">NA()</definedName>
    <definedName name="hkjhk">NA()</definedName>
    <definedName name="hlkj">NA()</definedName>
    <definedName name="hlkjasa">NA()</definedName>
    <definedName name="hmc">NA()</definedName>
    <definedName name="Hname">NA()</definedName>
    <definedName name="hot_maz">NA()</definedName>
    <definedName name="Hot_Mix_Plant_30_45__TPH">#REF!</definedName>
    <definedName name="Hot_Mix_Plant_30_45_TPH_6_10_TPH">#REF!</definedName>
    <definedName name="HP_RATE">#REF!</definedName>
    <definedName name="HPM">#REF!</definedName>
    <definedName name="HPMAUX">#REF!</definedName>
    <definedName name="HPMIO">#REF!</definedName>
    <definedName name="Hs">NA()</definedName>
    <definedName name="hso">NA()</definedName>
    <definedName name="hsp">NA()</definedName>
    <definedName name="Ht">NA()</definedName>
    <definedName name="HTML_CodePage">1252</definedName>
    <definedName name="HTML_Control">{"'ridftotal'!$A$4:$S$27"}</definedName>
    <definedName name="HTML_Description">""</definedName>
    <definedName name="HTML_Email">""</definedName>
    <definedName name="HTML_Header">"ridftotal"</definedName>
    <definedName name="HTML_LastUpdate">"3/31/00"</definedName>
    <definedName name="HTML_LineAfter">FALSE</definedName>
    <definedName name="HTML_LineBefore">FALSE</definedName>
    <definedName name="HTML_Name">"PVKUTUMBA RAO"</definedName>
    <definedName name="HTML_OBDlg2">TRUE</definedName>
    <definedName name="HTML_OBDlg4">TRUE</definedName>
    <definedName name="HTML_OS">0</definedName>
    <definedName name="HTML_PathFile">"C:\MNMGEN\ridf5\MyHTML.htm"</definedName>
    <definedName name="HTML_Title">"absjanfeb2k"</definedName>
    <definedName name="hvacrates">NA()</definedName>
    <definedName name="HYD_EXCAVATOR">NA()</definedName>
    <definedName name="HYSD">#REF!</definedName>
    <definedName name="hyuu">NA()</definedName>
    <definedName name="i">#REF!</definedName>
    <definedName name="I_2">"[99]rmr!#ref!"</definedName>
    <definedName name="IA">#REF!</definedName>
    <definedName name="id">NA()</definedName>
    <definedName name="id10.0">#REF!</definedName>
    <definedName name="id10_0">NA()</definedName>
    <definedName name="id2.5">#REF!</definedName>
    <definedName name="id2_5">NA()</definedName>
    <definedName name="id4.0">#REF!</definedName>
    <definedName name="id4_0">NA()</definedName>
    <definedName name="id6.0">#REF!</definedName>
    <definedName name="id6_0">NA()</definedName>
    <definedName name="id8.0">#REF!</definedName>
    <definedName name="id8_0">NA()</definedName>
    <definedName name="if">#REF!</definedName>
    <definedName name="IIELS">NA()</definedName>
    <definedName name="iiii">#REF!</definedName>
    <definedName name="IK">{"'ridftotal'!$A$4:$S$27"}</definedName>
    <definedName name="imp">"[282]sheet5!#ref!"</definedName>
    <definedName name="impervious_coat">NA()</definedName>
    <definedName name="in_100">NA()</definedName>
    <definedName name="in_150">NA()</definedName>
    <definedName name="in_200">NA()</definedName>
    <definedName name="in_25">NA()</definedName>
    <definedName name="in_250">NA()</definedName>
    <definedName name="in_300">NA()</definedName>
    <definedName name="in_32">NA()</definedName>
    <definedName name="in_40">NA()</definedName>
    <definedName name="in_400">NA()</definedName>
    <definedName name="in_50">NA()</definedName>
    <definedName name="in_500">NA()</definedName>
    <definedName name="in_600">NA()</definedName>
    <definedName name="in_65">NA()</definedName>
    <definedName name="in_80">NA()</definedName>
    <definedName name="income">NA()</definedName>
    <definedName name="ind">NA()</definedName>
    <definedName name="Index">{"'ridftotal'!$A$4:$S$27"}</definedName>
    <definedName name="indu">"[282]indices!#ref!"</definedName>
    <definedName name="inspbg">NA()</definedName>
    <definedName name="inspbgcharges">NA()</definedName>
    <definedName name="Installed_Spare">"[284]iocount!#ref!"</definedName>
    <definedName name="Int">NA()</definedName>
    <definedName name="Interest_Rate">NA()</definedName>
    <definedName name="interlocking">NA()</definedName>
    <definedName name="INV_SCH">NA()</definedName>
    <definedName name="investment">NA()</definedName>
    <definedName name="inwords">"[286]wordsdata!#ref!"</definedName>
    <definedName name="IOA_12_gauge">"[71]material!#ref!"</definedName>
    <definedName name="IOA_14_gauge">"[71]material!#ref!"</definedName>
    <definedName name="iocl">NA()</definedName>
    <definedName name="IRC2.36">#REF!</definedName>
    <definedName name="IRC2_36">"[56]mrates!$m$6"</definedName>
    <definedName name="ISEC77">NA()</definedName>
    <definedName name="ISMC_WEIGHTS">#REF!</definedName>
    <definedName name="isolatedworks">NA()</definedName>
    <definedName name="IT">NA()</definedName>
    <definedName name="IT_10">NA()</definedName>
    <definedName name="items">"'[98]material&amp;equipment'!$a:$iv"</definedName>
    <definedName name="ITI">NA()</definedName>
    <definedName name="iv">NA()</definedName>
    <definedName name="J_I">NA()</definedName>
    <definedName name="JAD">NA()</definedName>
    <definedName name="jaji">NA()</definedName>
    <definedName name="JBcode_14dig">#REF!</definedName>
    <definedName name="JCB_Excavator">NA()</definedName>
    <definedName name="jd">#REF!</definedName>
    <definedName name="jdfknmnbdnb">"[119]lead!#ref!"</definedName>
    <definedName name="Jeddy_Stone_above_450_mm_to_600_mm">NA()</definedName>
    <definedName name="Jessu">NA()</definedName>
    <definedName name="jhkjahdkjhasdjhfkjasdhfkj">#REF!</definedName>
    <definedName name="jjfgkf">#REF!</definedName>
    <definedName name="JJJ">NA()</definedName>
    <definedName name="jjjjjj">"[71]material!#ref!"</definedName>
    <definedName name="jk">{"'ridftotal'!$A$4:$S$27"}</definedName>
    <definedName name="JKDL123" hidden="1">#REF!</definedName>
    <definedName name="jkjkknmjkljm">NA()</definedName>
    <definedName name="jksfiohifnklkldf">Scheduled_Payment+Extra_Payment</definedName>
    <definedName name="jlk">NA()</definedName>
    <definedName name="jnjlk">NA()</definedName>
    <definedName name="JobID">NA()</definedName>
    <definedName name="Jobtypes">"[291]form7!$r$3:$s$7"</definedName>
    <definedName name="Juliflora">NA()</definedName>
    <definedName name="JUNGLE">NA()</definedName>
    <definedName name="k1_table">NA()</definedName>
    <definedName name="k1x">"[294]design!#ref!"</definedName>
    <definedName name="k1y">"[294]design!#ref!"</definedName>
    <definedName name="k2x">"[294]design!#ref!"</definedName>
    <definedName name="k2y">"[294]design!#ref!"</definedName>
    <definedName name="ka">NA()</definedName>
    <definedName name="KADA">{"'ridftotal'!$A$4:$S$27"}</definedName>
    <definedName name="kADAPA">{"'ridftotal'!$A$4:$S$27"}</definedName>
    <definedName name="Kalyandurg">NA()</definedName>
    <definedName name="kankar__hard_broken_kankar__40_to_75_mm___ring">NA()</definedName>
    <definedName name="Kapurala">NA()</definedName>
    <definedName name="KC139_4">"'smb://Kumaresan/sathya/Documents%20and%20Settings/RQM/Desktop/Cost%20code.xls'#$''.$A$1"</definedName>
    <definedName name="KC139_5">"'smb://Kumaresan/sathya/Documents%20and%20Settings/RQM/Desktop/Cost%20code.xls'#$''.$A$1"</definedName>
    <definedName name="KC139_6">"'smb://Rajkishor/f/muthu%20vasanthan/Food%20court/S5.xls'#$''.$A$1"</definedName>
    <definedName name="KC139_7">"$#REF!.$A$1"</definedName>
    <definedName name="KFJ">#REF!</definedName>
    <definedName name="kfvjlkjlkdl">NA()</definedName>
    <definedName name="kiran">#REF!</definedName>
    <definedName name="Kishore">NA()</definedName>
    <definedName name="KJGLG">NA()</definedName>
    <definedName name="KJKHL">NA()</definedName>
    <definedName name="KK">#REF!</definedName>
    <definedName name="kkkkkkkkkk">"[71]material!#ref!"</definedName>
    <definedName name="KKLEL">NA()</definedName>
    <definedName name="kljjl">NA()</definedName>
    <definedName name="km">NA()</definedName>
    <definedName name="km10th">NA()</definedName>
    <definedName name="km11th">NA()</definedName>
    <definedName name="km12th">NA()</definedName>
    <definedName name="km13th">NA()</definedName>
    <definedName name="km14th">NA()</definedName>
    <definedName name="km16th">NA()</definedName>
    <definedName name="km17th">NA()</definedName>
    <definedName name="km18th">NA()</definedName>
    <definedName name="km19th">NA()</definedName>
    <definedName name="km20th">NA()</definedName>
    <definedName name="km2nd">NA()</definedName>
    <definedName name="km3rd">NA()</definedName>
    <definedName name="km4th">NA()</definedName>
    <definedName name="km5th">NA()</definedName>
    <definedName name="km6th">NA()</definedName>
    <definedName name="km7th">NA()</definedName>
    <definedName name="km8th">NA()</definedName>
    <definedName name="km9th">NA()</definedName>
    <definedName name="kn">NA()</definedName>
    <definedName name="Knr">#REF!</definedName>
    <definedName name="ko">NA()</definedName>
    <definedName name="Kolim">NA()</definedName>
    <definedName name="Konsortialanteil">NA()</definedName>
    <definedName name="krishna">NA()</definedName>
    <definedName name="ksksk">NA()</definedName>
    <definedName name="KVC">NA()</definedName>
    <definedName name="KW_RATE">#REF!</definedName>
    <definedName name="l">#REF!</definedName>
    <definedName name="L_Bhisti">#REF!</definedName>
    <definedName name="L_BISTI">NA()</definedName>
    <definedName name="L_BitumenSprayer">#REF!</definedName>
    <definedName name="L_Blacksmith">#REF!</definedName>
    <definedName name="L_Blaster">#REF!</definedName>
    <definedName name="L_BSMIT">NA()</definedName>
    <definedName name="L_ChipsSpreader">#REF!</definedName>
    <definedName name="L_CPENTER">NA()</definedName>
    <definedName name="L_Driller">#REF!</definedName>
    <definedName name="L_ELECRICIAN">NA()</definedName>
    <definedName name="L_Mason_1stClass">#REF!</definedName>
    <definedName name="L_Mason_2ndClass">#REF!</definedName>
    <definedName name="L_MASON1">NA()</definedName>
    <definedName name="L_MASON2">NA()</definedName>
    <definedName name="L_Mate">#REF!</definedName>
    <definedName name="L_MAZDOOES">NA()</definedName>
    <definedName name="L_Mazdoor">#REF!</definedName>
    <definedName name="L_Mazdoor_Semi">#REF!</definedName>
    <definedName name="L_Mazdoor_Skilled">#REF!</definedName>
    <definedName name="L_MAZDOORSK">NA()</definedName>
    <definedName name="L_MAZDOORUS">NA()</definedName>
    <definedName name="L_SURVEYER">NA()</definedName>
    <definedName name="L_Surveyor">#REF!</definedName>
    <definedName name="la">"[307]data_bit_i!#ref!"</definedName>
    <definedName name="LABBBB">NA()</definedName>
    <definedName name="labor">NA()</definedName>
    <definedName name="labour">NA()</definedName>
    <definedName name="Labour_charges_for_laying_filter_with_sand_">NA()</definedName>
    <definedName name="Labour_charges_for_laying_filters_with_coarse_aggregate_">NA()</definedName>
    <definedName name="Labour_for_mixing_cement_mortar">NA()</definedName>
    <definedName name="lac">NA()</definedName>
    <definedName name="lali">NA()</definedName>
    <definedName name="Land_adv">NA()</definedName>
    <definedName name="Last_Row">#N/A</definedName>
    <definedName name="Laterite_40_to_75_mm___ring">NA()</definedName>
    <definedName name="Laterite_for_masonry">NA()</definedName>
    <definedName name="Laterite_for_revetment__225_mm">NA()</definedName>
    <definedName name="Laterite_for_revetment__300_mm">NA()</definedName>
    <definedName name="LBM">NA()</definedName>
    <definedName name="lbrick">NA()</definedName>
    <definedName name="LC">NA()</definedName>
    <definedName name="LCE">NA()</definedName>
    <definedName name="LCN">NA()</definedName>
    <definedName name="LCNAUX">#REF!</definedName>
    <definedName name="LCS">#REF!</definedName>
    <definedName name="le">NA()</definedName>
    <definedName name="lead">#REF!</definedName>
    <definedName name="LEAD_1">NA()</definedName>
    <definedName name="LEAD_2">NA()</definedName>
    <definedName name="LEAD_3">NA()</definedName>
    <definedName name="lead_list">NA()</definedName>
    <definedName name="lead_MIDDLE">NA()</definedName>
    <definedName name="lead_prin">#REF!</definedName>
    <definedName name="LEAD_RANGE">#REF!</definedName>
    <definedName name="LEAD_Y1">NA()</definedName>
    <definedName name="LEAD_Y2">NA()</definedName>
    <definedName name="lead3">#REF!</definedName>
    <definedName name="leada">NA()</definedName>
    <definedName name="leadprin">#REF!</definedName>
    <definedName name="Leads">NA()</definedName>
    <definedName name="leads1">#REF!</definedName>
    <definedName name="leads11">#REF!</definedName>
    <definedName name="leela">NA()</definedName>
    <definedName name="lef">NA()</definedName>
    <definedName name="legend">NA()</definedName>
    <definedName name="lel">NA()</definedName>
    <definedName name="LEN">NA()</definedName>
    <definedName name="lfb">"[122]process!#ref!"</definedName>
    <definedName name="lfo">#REF!</definedName>
    <definedName name="lgravel">NA()</definedName>
    <definedName name="lgt">#REF!</definedName>
    <definedName name="LI_LI">"[65]general!#ref!"</definedName>
    <definedName name="library">NA()</definedName>
    <definedName name="Lift_Delift_Ranges">#REF!</definedName>
    <definedName name="LIFT_RANGE">#REF!</definedName>
    <definedName name="lifting_heights">#REF!</definedName>
    <definedName name="LIII">"[317]estimate!#ref!"</definedName>
    <definedName name="lilili">"[65]general!#ref!"</definedName>
    <definedName name="lin">#REF!</definedName>
    <definedName name="LineDetails">#REF!</definedName>
    <definedName name="LIT">NA()</definedName>
    <definedName name="ljhj">NA()</definedName>
    <definedName name="lkajdhrlkuae">NA()</definedName>
    <definedName name="lkhfesryhelu">NA()</definedName>
    <definedName name="lkjgushr">NA()</definedName>
    <definedName name="lksslska">"[71]material!#ref!"</definedName>
    <definedName name="lkuj">#REF!</definedName>
    <definedName name="lld">"[122]process!#ref!"</definedName>
    <definedName name="LLL">NA()</definedName>
    <definedName name="llllllllllll">"[71]material!#ref!"</definedName>
    <definedName name="llllllllllllllll">NA()</definedName>
    <definedName name="lllllllllllllllll">"[71]material!#ref!"</definedName>
    <definedName name="llw">"[122]process!#ref!"</definedName>
    <definedName name="LMAUX">#REF!</definedName>
    <definedName name="lmc">NA()</definedName>
    <definedName name="LOAD_UNLOAD">#REF!</definedName>
    <definedName name="Loader_of_1_Cu_M_">NA()</definedName>
    <definedName name="loading">NA()</definedName>
    <definedName name="Loamy_and_Clayey_soils_like_black_cotton_soils__red_earth_and_ordinary_gravel_SS_20_A_">NA()</definedName>
    <definedName name="Loan_Amount">NA()</definedName>
    <definedName name="Loan_Start">NA()</definedName>
    <definedName name="Loan_Years">NA()</definedName>
    <definedName name="loans_adv">NA()</definedName>
    <definedName name="lobour">"[84]rates!#ref!"</definedName>
    <definedName name="lok">NA()</definedName>
    <definedName name="LONG">NA()</definedName>
    <definedName name="LOOP">NA()</definedName>
    <definedName name="lrstone">NA()</definedName>
    <definedName name="LS_ROAD">NA()</definedName>
    <definedName name="lsand">NA()</definedName>
    <definedName name="lsec">NA()</definedName>
    <definedName name="Lsec1">NA()</definedName>
    <definedName name="Lsec2">NA()</definedName>
    <definedName name="Lsec3">NA()</definedName>
    <definedName name="Lsec4">NA()</definedName>
    <definedName name="Lsec5">NA()</definedName>
    <definedName name="Lsec6">NA()</definedName>
    <definedName name="lsec7">NA()</definedName>
    <definedName name="LSNO1">#REF!</definedName>
    <definedName name="LSNO12">"[321]lead!#ref!"</definedName>
    <definedName name="LSNO13">#REF!</definedName>
    <definedName name="LSNO14">#REF!</definedName>
    <definedName name="LSNO15">"[321]lead!#ref!"</definedName>
    <definedName name="LSNO17">"[321]lead!#ref!"</definedName>
    <definedName name="LSNO18">"[14]lead!#ref!"</definedName>
    <definedName name="LSNO19">#REF!</definedName>
    <definedName name="LSNO2">#REF!</definedName>
    <definedName name="LSNO20">#REF!</definedName>
    <definedName name="LSNO21">"[321]lead!#ref!"</definedName>
    <definedName name="LSNO23">"[14]lead!#ref!"</definedName>
    <definedName name="LSNO24">#REF!</definedName>
    <definedName name="LSNO26">#REF!</definedName>
    <definedName name="LSNO27">"[321]lead!#ref!"</definedName>
    <definedName name="LSNO28">"[321]lead!#ref!"</definedName>
    <definedName name="LSNO29">"[321]lead!#ref!"</definedName>
    <definedName name="LSNO3">#REF!</definedName>
    <definedName name="LSNO30">"[321]lead!#ref!"</definedName>
    <definedName name="LSNO31">"[321]lead!#ref!"</definedName>
    <definedName name="LSNO32">"[321]lead!#ref!"</definedName>
    <definedName name="LSNO33">"[321]lead!#ref!"</definedName>
    <definedName name="LSNO35">"[321]lead!#ref!"</definedName>
    <definedName name="LSNO36">"[321]lead!#ref!"</definedName>
    <definedName name="LSNO4">#REF!</definedName>
    <definedName name="LSNO7">"[321]lead!#ref!"</definedName>
    <definedName name="LSNO9">"[321]lead!#ref!"</definedName>
    <definedName name="lss">NA()</definedName>
    <definedName name="lstone">NA()</definedName>
    <definedName name="lujm">#REF!</definedName>
    <definedName name="lw">NA()</definedName>
    <definedName name="lxg">NA()</definedName>
    <definedName name="m">NA()</definedName>
    <definedName name="M_0_50">NA()</definedName>
    <definedName name="M_01">NA()</definedName>
    <definedName name="M_02">NA()</definedName>
    <definedName name="M_03">NA()</definedName>
    <definedName name="M_04">NA()</definedName>
    <definedName name="M_05">NA()</definedName>
    <definedName name="M_06">NA()</definedName>
    <definedName name="M_07">NA()</definedName>
    <definedName name="M_08">NA()</definedName>
    <definedName name="M_09">NA()</definedName>
    <definedName name="M_10">NA()</definedName>
    <definedName name="M_100">NA()</definedName>
    <definedName name="M_101">NA()</definedName>
    <definedName name="M_102">NA()</definedName>
    <definedName name="M_103">NA()</definedName>
    <definedName name="M_104">NA()</definedName>
    <definedName name="M_105">NA()</definedName>
    <definedName name="M_106">NA()</definedName>
    <definedName name="M_107">NA()</definedName>
    <definedName name="M_108">NA()</definedName>
    <definedName name="M_109">NA()</definedName>
    <definedName name="M_11">NA()</definedName>
    <definedName name="M_110">NA()</definedName>
    <definedName name="M_111">NA()</definedName>
    <definedName name="M_112">NA()</definedName>
    <definedName name="M_113">NA()</definedName>
    <definedName name="M_114">NA()</definedName>
    <definedName name="M_115">NA()</definedName>
    <definedName name="M_116">NA()</definedName>
    <definedName name="M_117">NA()</definedName>
    <definedName name="M_118">NA()</definedName>
    <definedName name="M_119">NA()</definedName>
    <definedName name="M_12">NA()</definedName>
    <definedName name="M_120">NA()</definedName>
    <definedName name="M_121">NA()</definedName>
    <definedName name="M_122">NA()</definedName>
    <definedName name="M_123">NA()</definedName>
    <definedName name="M_124">NA()</definedName>
    <definedName name="M_125">NA()</definedName>
    <definedName name="M_126">NA()</definedName>
    <definedName name="M_127">NA()</definedName>
    <definedName name="M_128">NA()</definedName>
    <definedName name="M_129">NA()</definedName>
    <definedName name="M_13">NA()</definedName>
    <definedName name="M_130">NA()</definedName>
    <definedName name="M_131">NA()</definedName>
    <definedName name="M_132">NA()</definedName>
    <definedName name="M_133">NA()</definedName>
    <definedName name="M_134">NA()</definedName>
    <definedName name="M_135">NA()</definedName>
    <definedName name="M_136">NA()</definedName>
    <definedName name="M_137">NA()</definedName>
    <definedName name="M_138">NA()</definedName>
    <definedName name="M_139">NA()</definedName>
    <definedName name="M_14">NA()</definedName>
    <definedName name="M_140">NA()</definedName>
    <definedName name="M_141">NA()</definedName>
    <definedName name="M_142">NA()</definedName>
    <definedName name="M_143">NA()</definedName>
    <definedName name="M_144">NA()</definedName>
    <definedName name="M_145">NA()</definedName>
    <definedName name="M_146">NA()</definedName>
    <definedName name="M_147">NA()</definedName>
    <definedName name="M_148">NA()</definedName>
    <definedName name="M_149">NA()</definedName>
    <definedName name="M_15">NA()</definedName>
    <definedName name="M_150">NA()</definedName>
    <definedName name="M_16">NA()</definedName>
    <definedName name="M_17">NA()</definedName>
    <definedName name="M_18">NA()</definedName>
    <definedName name="M_19">NA()</definedName>
    <definedName name="M_20">NA()</definedName>
    <definedName name="M_21">NA()</definedName>
    <definedName name="M_22">NA()</definedName>
    <definedName name="M_23">NA()</definedName>
    <definedName name="M_24">NA()</definedName>
    <definedName name="M_25">NA()</definedName>
    <definedName name="M_26">NA()</definedName>
    <definedName name="M_27">NA()</definedName>
    <definedName name="M_28">NA()</definedName>
    <definedName name="M_29">NA()</definedName>
    <definedName name="M_30">NA()</definedName>
    <definedName name="M_31">NA()</definedName>
    <definedName name="M_32">NA()</definedName>
    <definedName name="M_33">NA()</definedName>
    <definedName name="M_34">NA()</definedName>
    <definedName name="M_35">NA()</definedName>
    <definedName name="M_36">NA()</definedName>
    <definedName name="M_37">NA()</definedName>
    <definedName name="M_38">NA()</definedName>
    <definedName name="M_39">NA()</definedName>
    <definedName name="M_40">NA()</definedName>
    <definedName name="M_41">NA()</definedName>
    <definedName name="M_42">NA()</definedName>
    <definedName name="M_43">NA()</definedName>
    <definedName name="M_44">NA()</definedName>
    <definedName name="M_45">NA()</definedName>
    <definedName name="M_46">NA()</definedName>
    <definedName name="M_47">NA()</definedName>
    <definedName name="M_48">NA()</definedName>
    <definedName name="M_49">NA()</definedName>
    <definedName name="M_50">NA()</definedName>
    <definedName name="M_51">NA()</definedName>
    <definedName name="M_52">NA()</definedName>
    <definedName name="M_53">NA()</definedName>
    <definedName name="M_54">NA()</definedName>
    <definedName name="M_55">NA()</definedName>
    <definedName name="M_56">NA()</definedName>
    <definedName name="M_57">NA()</definedName>
    <definedName name="M_58">NA()</definedName>
    <definedName name="M_59">NA()</definedName>
    <definedName name="M_60">NA()</definedName>
    <definedName name="M_61">NA()</definedName>
    <definedName name="M_62">NA()</definedName>
    <definedName name="M_63">NA()</definedName>
    <definedName name="M_64">NA()</definedName>
    <definedName name="M_65">NA()</definedName>
    <definedName name="M_66">NA()</definedName>
    <definedName name="M_67">NA()</definedName>
    <definedName name="M_68">NA()</definedName>
    <definedName name="M_69">NA()</definedName>
    <definedName name="M_70">NA()</definedName>
    <definedName name="M_71">NA()</definedName>
    <definedName name="M_72">NA()</definedName>
    <definedName name="M_73">NA()</definedName>
    <definedName name="M_74">NA()</definedName>
    <definedName name="M_75">NA()</definedName>
    <definedName name="M_76">NA()</definedName>
    <definedName name="M_77">NA()</definedName>
    <definedName name="M_78">NA()</definedName>
    <definedName name="M_79">NA()</definedName>
    <definedName name="M_80">NA()</definedName>
    <definedName name="M_81">NA()</definedName>
    <definedName name="M_82">NA()</definedName>
    <definedName name="M_83">NA()</definedName>
    <definedName name="M_84">NA()</definedName>
    <definedName name="M_85">NA()</definedName>
    <definedName name="M_86">NA()</definedName>
    <definedName name="M_87">NA()</definedName>
    <definedName name="M_88">NA()</definedName>
    <definedName name="M_89">NA()</definedName>
    <definedName name="M_90">NA()</definedName>
    <definedName name="M_91">NA()</definedName>
    <definedName name="M_92">NA()</definedName>
    <definedName name="M_93">NA()</definedName>
    <definedName name="M_94">NA()</definedName>
    <definedName name="M_95">NA()</definedName>
    <definedName name="M_96">NA()</definedName>
    <definedName name="M_97">NA()</definedName>
    <definedName name="M_98">NA()</definedName>
    <definedName name="M_99">NA()</definedName>
    <definedName name="M_ACPipe_100">#REF!</definedName>
    <definedName name="M_Aggregate_10">#REF!</definedName>
    <definedName name="M_Aggregate_20">#REF!</definedName>
    <definedName name="M_Aggregate_375mmMaximum_224_56mm">#REF!</definedName>
    <definedName name="M_Aggregate_40">#REF!</definedName>
    <definedName name="M_Aggregate_Crushable_GradeII">#REF!</definedName>
    <definedName name="M_Aggregate_Crushable_GradeIII">#REF!</definedName>
    <definedName name="M_Aggregate_GradeII_19mmNominal_10_5mm">#REF!</definedName>
    <definedName name="M_Aggregate_GradeII_19mmNominal_25_10mm">#REF!</definedName>
    <definedName name="M_Aggregate_GradeII_19mmNominal_5mm_below">#REF!</definedName>
    <definedName name="M_Aggregate_GradeII_63_45mm">#REF!</definedName>
    <definedName name="M_Aggregate_GradeIII_53_224mm">#REF!</definedName>
    <definedName name="M_AIRCOMP170">NA()</definedName>
    <definedName name="M_AIRCOMP210">NA()</definedName>
    <definedName name="M_BindingWire">#REF!</definedName>
    <definedName name="M_Bitumen_CRM">#REF!</definedName>
    <definedName name="M_Bitumen_NRM">#REF!</definedName>
    <definedName name="M_Bitumen_PM">#REF!</definedName>
    <definedName name="M_Bitumen_S65">#REF!</definedName>
    <definedName name="M_Bitumen_S90">#REF!</definedName>
    <definedName name="M_BitumenEmulsion_RS1">#REF!</definedName>
    <definedName name="M_BitumenEmulsion_SS1">#REF!</definedName>
    <definedName name="M_BitumenSealant">#REF!</definedName>
    <definedName name="M_Blasted_Rubble">#REF!</definedName>
    <definedName name="M_BlastingMaterial">#REF!</definedName>
    <definedName name="M_BondStone_400_150_150mm">#REF!</definedName>
    <definedName name="M_Brick_1stClass">#REF!</definedName>
    <definedName name="M_BROOMER">NA()</definedName>
    <definedName name="M_CC_CUTTER">NA()</definedName>
    <definedName name="M_CCMIXER">NA()</definedName>
    <definedName name="M_Cement">#REF!</definedName>
    <definedName name="M_CHIPSPREDER">NA()</definedName>
    <definedName name="M_CompensationForEarthTakenFromPrivateLand">#REF!</definedName>
    <definedName name="M_CRANE8T">NA()</definedName>
    <definedName name="M_CrushedSand_OR_Grit">#REF!</definedName>
    <definedName name="M_CrushedStoneChipping_132">#REF!</definedName>
    <definedName name="M_CrushedStoneChipping_67mm_100Passing_112mm">#REF!</definedName>
    <definedName name="M_CrushedStoneChipping_67mm_100Passing_95mm">#REF!</definedName>
    <definedName name="M_CrushedStoneChipping_95">#REF!</definedName>
    <definedName name="M_CrushedStoneCoarseAggregatePassing_53mm">#REF!</definedName>
    <definedName name="M_CuringCompound">#REF!</definedName>
    <definedName name="M_DebondingStrips">#REF!</definedName>
    <definedName name="M_DOZERD50">NA()</definedName>
    <definedName name="M_ElastomericBearingAssembly">#REF!</definedName>
    <definedName name="M_ElectricDetonator">#REF!</definedName>
    <definedName name="M_ELEGEN">NA()</definedName>
    <definedName name="M_EXCAVATOR9">NA()</definedName>
    <definedName name="M_FilterMedia">#REF!</definedName>
    <definedName name="M_filterMediam">#REF!</definedName>
    <definedName name="M_FRONTLOADER">NA()</definedName>
    <definedName name="M_GranularMaterial">#REF!</definedName>
    <definedName name="M_HandBrokenMetal_40mm">#REF!</definedName>
    <definedName name="M_HMP40">NA()</definedName>
    <definedName name="M_ICRUSHER">NA()</definedName>
    <definedName name="M_InterlockingBlocks_60mm">#REF!</definedName>
    <definedName name="M_InterlockingBlocks_80mm">#REF!</definedName>
    <definedName name="M_JointFillerBoard">#REF!</definedName>
    <definedName name="M_JuteRope_12mm">#REF!</definedName>
    <definedName name="M_KeyAggregatesPassing_224mm">#REF!</definedName>
    <definedName name="m_lead">NA()</definedName>
    <definedName name="M_Lime">#REF!</definedName>
    <definedName name="M_MOTORGRADER200">NA()</definedName>
    <definedName name="M_MOTORGRADER50">NA()</definedName>
    <definedName name="M_MSClamps">#REF!</definedName>
    <definedName name="M_PAVER100">NA()</definedName>
    <definedName name="M_PAVER75">NA()</definedName>
    <definedName name="M_PD_BT">NA()</definedName>
    <definedName name="M_PD_BTEM">NA()</definedName>
    <definedName name="M_Plasticizer">#REF!</definedName>
    <definedName name="M_PolytheneSheet_125">#REF!</definedName>
    <definedName name="M_PolytheneSheething">#REF!</definedName>
    <definedName name="M_RCCPipeNP3_1000mm">#REF!</definedName>
    <definedName name="M_RCCPipeNP3_1200mm">#REF!</definedName>
    <definedName name="M_RCCPipeNP3_500mm">#REF!</definedName>
    <definedName name="M_RCCPipeNP3_750mm">#REF!</definedName>
    <definedName name="M_RCCPipeNP4_1000mm">#REF!</definedName>
    <definedName name="M_RCCPipeNP4_1200mm">#REF!</definedName>
    <definedName name="M_RCCPipeNP4_500mm">#REF!</definedName>
    <definedName name="M_RCCPipeNP4_750mm">#REF!</definedName>
    <definedName name="M_ROLLER">NA()</definedName>
    <definedName name="M_Sand_Coarse">#REF!</definedName>
    <definedName name="M_Sand_Fine">#REF!</definedName>
    <definedName name="M_SteelReinforcement_HYSDBars">#REF!</definedName>
    <definedName name="M_SteelReinforcement_MSRoundBars">#REF!</definedName>
    <definedName name="M_SteelReinforcement_TMTBars">#REF!</definedName>
    <definedName name="M_StoneBoulder_150mm_below">#REF!</definedName>
    <definedName name="M_StoneChips_12mm">#REF!</definedName>
    <definedName name="M_StoneCrushedAggregate_112_009mm">#REF!</definedName>
    <definedName name="M_StoneForCoarseRubbleMasonry_1stSort">#REF!</definedName>
    <definedName name="M_StoneForCoarseRubbleMasonry_2ndSort">#REF!</definedName>
    <definedName name="M_StoneForRandomRubbleMasonry">#REF!</definedName>
    <definedName name="M_StoneSpalls">#REF!</definedName>
    <definedName name="M_TANKER6K">NA()</definedName>
    <definedName name="M_TIPPER">NA()</definedName>
    <definedName name="M_TRACTORRIPPER">NA()</definedName>
    <definedName name="M_TRACTORROTAVATOR">NA()</definedName>
    <definedName name="M_VIBRATOR_N">NA()</definedName>
    <definedName name="M_VIBRATOR_P">NA()</definedName>
    <definedName name="M_VIBRATOR_S">NA()</definedName>
    <definedName name="M_W_Mazdoor">NA()</definedName>
    <definedName name="M_Water">#REF!</definedName>
    <definedName name="M103xN103">NA()</definedName>
    <definedName name="M1x">"[294]design!#ref!"</definedName>
    <definedName name="M1y">"[294]design!#ref!"</definedName>
    <definedName name="m2_2009">NA()</definedName>
    <definedName name="M2x">"[294]design!#ref!"</definedName>
    <definedName name="M2y">"[294]design!#ref!"</definedName>
    <definedName name="m3_2009">NA()</definedName>
    <definedName name="m8_2008">NA()</definedName>
    <definedName name="m9_2008">NA()</definedName>
    <definedName name="MA">#REF!</definedName>
    <definedName name="maa">"[307]data_bit_i!#ref!"</definedName>
    <definedName name="mab">"[307]data_bit_i!#ref!"</definedName>
    <definedName name="machine_mixing_of_concrete_">NA()</definedName>
    <definedName name="Macro4">NA()</definedName>
    <definedName name="Macro5">NA()</definedName>
    <definedName name="MAD">#REF!</definedName>
    <definedName name="Maddy">#REF!</definedName>
    <definedName name="madhu">#REF!</definedName>
    <definedName name="Main">NA()</definedName>
    <definedName name="maintenance">NA()</definedName>
    <definedName name="makh">NA()</definedName>
    <definedName name="mal">#REF!</definedName>
    <definedName name="Male">#REF!</definedName>
    <definedName name="male_sp">NA()</definedName>
    <definedName name="MAN">#REF!</definedName>
    <definedName name="Man_Mazdoor">NA()</definedName>
    <definedName name="mangalore">NA()</definedName>
    <definedName name="Mani">#REF!</definedName>
    <definedName name="manm">NA()</definedName>
    <definedName name="manmazdoor">NA()</definedName>
    <definedName name="mano">NA()</definedName>
    <definedName name="map">#REF!</definedName>
    <definedName name="MARBLE_STONES">#REF!</definedName>
    <definedName name="mas">NA()</definedName>
    <definedName name="mas_hab">#REF!</definedName>
    <definedName name="mason">#REF!</definedName>
    <definedName name="Mason_1st_class">NA()</definedName>
    <definedName name="Mason_2nd_class">NA()</definedName>
    <definedName name="mason1">#REF!</definedName>
    <definedName name="mason2">#REF!</definedName>
    <definedName name="mass">NA()</definedName>
    <definedName name="master">NA()</definedName>
    <definedName name="Mastic_Cooker">NA()</definedName>
    <definedName name="MASTICK">NA()</definedName>
    <definedName name="mat">NA()</definedName>
    <definedName name="MATE">#REF!</definedName>
    <definedName name="material">NA()</definedName>
    <definedName name="MATERIAL_CLASS">#REF!</definedName>
    <definedName name="maz">NA()</definedName>
    <definedName name="Mazdoor">#REF!</definedName>
    <definedName name="mazski">NA()</definedName>
    <definedName name="mbb">"[307]data_bit_i!#ref!"</definedName>
    <definedName name="mbm">NA()</definedName>
    <definedName name="mbmi">NA()</definedName>
    <definedName name="mbpt">NA()</definedName>
    <definedName name="MC">NA()</definedName>
    <definedName name="MCH">NA()</definedName>
    <definedName name="mcode">NA()</definedName>
    <definedName name="mcpl">NA()</definedName>
    <definedName name="mcvm">NA()</definedName>
    <definedName name="me">NA()</definedName>
    <definedName name="Medical">#REF!</definedName>
    <definedName name="Melamine">NA()</definedName>
    <definedName name="Met14Crush">NA()</definedName>
    <definedName name="Met22crush">NA()</definedName>
    <definedName name="Met22HBG">NA()</definedName>
    <definedName name="Met22MC">NA()</definedName>
    <definedName name="Met236_5">NA()</definedName>
    <definedName name="Met236below">NA()</definedName>
    <definedName name="Met27crush">NA()</definedName>
    <definedName name="Met5_7">NA()</definedName>
    <definedName name="Met9_511_2">NA()</definedName>
    <definedName name="metal">#REF!</definedName>
    <definedName name="Metal__stone">NA()</definedName>
    <definedName name="metal_40">NA()</definedName>
    <definedName name="metal_65">NA()</definedName>
    <definedName name="metal_75">NA()</definedName>
    <definedName name="metal_blast">NA()</definedName>
    <definedName name="METAL_D">#REF!</definedName>
    <definedName name="metal_hc75">NA()</definedName>
    <definedName name="metal_pick">NA()</definedName>
    <definedName name="metal_spr75">NA()</definedName>
    <definedName name="metal_stack">NA()</definedName>
    <definedName name="metal1">#REF!</definedName>
    <definedName name="metal10">NA()</definedName>
    <definedName name="metal11">#REF!</definedName>
    <definedName name="metal12">NA()</definedName>
    <definedName name="metal12ss">NA()</definedName>
    <definedName name="metal20">NA()</definedName>
    <definedName name="metal20ss">NA()</definedName>
    <definedName name="metal3">#REF!</definedName>
    <definedName name="metal40">NA()</definedName>
    <definedName name="metal40ss">NA()</definedName>
    <definedName name="metal45">NA()</definedName>
    <definedName name="metal6">NA()</definedName>
    <definedName name="metal65">NA()</definedName>
    <definedName name="metal75">NA()</definedName>
    <definedName name="mhc">NA()</definedName>
    <definedName name="MHElect_">NA()</definedName>
    <definedName name="MHW_SUPPLY">NA()</definedName>
    <definedName name="MI_06">NA()</definedName>
    <definedName name="MI_10">NA()</definedName>
    <definedName name="MI_12">NA()</definedName>
    <definedName name="MI_20">NA()</definedName>
    <definedName name="MI_236">NA()</definedName>
    <definedName name="MI_25">NA()</definedName>
    <definedName name="MI_40">NA()</definedName>
    <definedName name="MILD">NA()</definedName>
    <definedName name="MILD_6">#REF!</definedName>
    <definedName name="Mild_Steel__Structural_Steel__I_e___Angles__Channels_and_I_sections_">NA()</definedName>
    <definedName name="Mild_steel_flats">NA()</definedName>
    <definedName name="Mild_steel_rods_6mm_dia_">NA()</definedName>
    <definedName name="mini_hmp">NA()</definedName>
    <definedName name="minpc">NA()</definedName>
    <definedName name="mix">#REF!</definedName>
    <definedName name="MIX_SEAL_WBM">NA()</definedName>
    <definedName name="Mixing_of_cement_mortar_by_machine">NA()</definedName>
    <definedName name="Mixture_of_gravel_and_soft_disintegrated_rock_like_shales_ordinary_gravel__stoney_earth_and_earth_mixed_with_fair_sized_boulders________________SS_20_A">NA()</definedName>
    <definedName name="MK">{"'ridftotal'!$A$4:$S$27"}</definedName>
    <definedName name="ml">NA()</definedName>
    <definedName name="MLOAD">#REF!</definedName>
    <definedName name="MLOADING">NA()</definedName>
    <definedName name="mm">#REF!</definedName>
    <definedName name="mmc">NA()</definedName>
    <definedName name="mmcc">NA()</definedName>
    <definedName name="mmixing">NA()</definedName>
    <definedName name="MMMMM">NA()</definedName>
    <definedName name="MMP">NA()</definedName>
    <definedName name="mn">#REF!</definedName>
    <definedName name="Mname">NA()</definedName>
    <definedName name="MNJ">#REF!</definedName>
    <definedName name="mnr">NA()</definedName>
    <definedName name="moj">NA()</definedName>
    <definedName name="mone">#REF!</definedName>
    <definedName name="mone1">#REF!</definedName>
    <definedName name="mortar_by_machine">NA()</definedName>
    <definedName name="Mortar_Grader_BEML">NA()</definedName>
    <definedName name="mpbm">NA()</definedName>
    <definedName name="mpbmi">NA()</definedName>
    <definedName name="MPLOT_PGR_CHP">NA()</definedName>
    <definedName name="mq">NA()</definedName>
    <definedName name="mr">NA()</definedName>
    <definedName name="MR_13MM">NA()</definedName>
    <definedName name="MR_55MM">NA()</definedName>
    <definedName name="MR_63MM">NA()</definedName>
    <definedName name="MR_GRADE2">NA()</definedName>
    <definedName name="MR_GRADE3">NA()</definedName>
    <definedName name="MR_GRAVEL">NA()</definedName>
    <definedName name="MR_SAND">NA()</definedName>
    <definedName name="MR_SANDF">NA()</definedName>
    <definedName name="MR_STONEDUST">NA()</definedName>
    <definedName name="mrt">NA()</definedName>
    <definedName name="mrti">NA()</definedName>
    <definedName name="MS">#REF!</definedName>
    <definedName name="ms_channels">NA()</definedName>
    <definedName name="ms_flat_25mm">NA()</definedName>
    <definedName name="ms_pipes">NA()</definedName>
    <definedName name="ms_plates">NA()</definedName>
    <definedName name="MS_square_bar_10mm">NA()</definedName>
    <definedName name="ms_truss">NA()</definedName>
    <definedName name="MS_tubes">NA()</definedName>
    <definedName name="MSAND">#REF!</definedName>
    <definedName name="msgrill">NA()</definedName>
    <definedName name="MSTACK">#REF!</definedName>
    <definedName name="mt">NA()</definedName>
    <definedName name="mtor">NA()</definedName>
    <definedName name="mtwo">#REF!</definedName>
    <definedName name="mtwo1">#REF!</definedName>
    <definedName name="MULOADING">NA()</definedName>
    <definedName name="mun">NA()</definedName>
    <definedName name="MUNLOAD">#REF!</definedName>
    <definedName name="mura">NA()</definedName>
    <definedName name="murali">NA()</definedName>
    <definedName name="murty">NA()</definedName>
    <definedName name="MUTHU">NA()</definedName>
    <definedName name="mw">NA()</definedName>
    <definedName name="MWL">#REF!</definedName>
    <definedName name="mwls">#REF!</definedName>
    <definedName name="mymax">#REF!</definedName>
    <definedName name="mymin">#REF!</definedName>
    <definedName name="mz">NA()</definedName>
    <definedName name="n">#REF!</definedName>
    <definedName name="N_S_P">NA()</definedName>
    <definedName name="nagara">#REF!</definedName>
    <definedName name="nagaraj">#REF!</definedName>
    <definedName name="NAIDUPALEM">NA()</definedName>
    <definedName name="Name">#REF!</definedName>
    <definedName name="naresh">NA()</definedName>
    <definedName name="NAVA">NA()</definedName>
    <definedName name="nb">NA()</definedName>
    <definedName name="nbc">NA()</definedName>
    <definedName name="nbm">NA()</definedName>
    <definedName name="Needle_Vibrator">NA()</definedName>
    <definedName name="New">#REF!</definedName>
    <definedName name="new_111">Scheduled_Payment+Extra_Payment</definedName>
    <definedName name="newdata">#REF!</definedName>
    <definedName name="nh">NA()</definedName>
    <definedName name="NH4vorklmg">#REF!</definedName>
    <definedName name="nl">#REF!</definedName>
    <definedName name="NM">{"'ridftotal'!$A$4:$S$27"}</definedName>
    <definedName name="nn">#REF!</definedName>
    <definedName name="NNN">NA()</definedName>
    <definedName name="NNNN">NA()</definedName>
    <definedName name="NNNNN">NA()</definedName>
    <definedName name="no">#REF!</definedName>
    <definedName name="No_">NA()</definedName>
    <definedName name="No_1">NA()</definedName>
    <definedName name="NO_1000">#REF!</definedName>
    <definedName name="NO_800">#REF!</definedName>
    <definedName name="nodes">#REF!</definedName>
    <definedName name="NOK">NA()</definedName>
    <definedName name="nonreturnvalve">NA()</definedName>
    <definedName name="NONRETURNVALVES">NA()</definedName>
    <definedName name="nOS">NA()</definedName>
    <definedName name="notok">NA()</definedName>
    <definedName name="NOTUSED">#REF!</definedName>
    <definedName name="nr">#REF!</definedName>
    <definedName name="NR_136_Found">#REF!</definedName>
    <definedName name="NR_Approachslab">#REF!</definedName>
    <definedName name="NR_backfill">#REF!</definedName>
    <definedName name="NR_Filter">#REF!</definedName>
    <definedName name="NR_HYSD_found">#REF!</definedName>
    <definedName name="NR_HYSD_sub">#REF!</definedName>
    <definedName name="NR_HYSD_super">#REF!</definedName>
    <definedName name="NR_M15_Footing">#REF!</definedName>
    <definedName name="NR_M15_levellingcoarse">#REF!</definedName>
    <definedName name="NR_M15_sub">#REF!</definedName>
    <definedName name="NR_M20_bed">#REF!</definedName>
    <definedName name="NR_M20_slab">#REF!</definedName>
    <definedName name="NR_M30_WC">#REF!</definedName>
    <definedName name="NR_R_300">#REF!</definedName>
    <definedName name="NR_weepholes">#REF!</definedName>
    <definedName name="NSPCCC">NA()</definedName>
    <definedName name="NSSR1">NA()</definedName>
    <definedName name="NSSR10">NA()</definedName>
    <definedName name="NSSR100">NA()</definedName>
    <definedName name="NSSR101">NA()</definedName>
    <definedName name="NSSR102">NA()</definedName>
    <definedName name="NSSR103">NA()</definedName>
    <definedName name="NSSR104">NA()</definedName>
    <definedName name="NSSR105">NA()</definedName>
    <definedName name="NSSR106">NA()</definedName>
    <definedName name="NSSR107">NA()</definedName>
    <definedName name="NSSR108">NA()</definedName>
    <definedName name="NSSR109">NA()</definedName>
    <definedName name="NSSR11">NA()</definedName>
    <definedName name="NSSR110">NA()</definedName>
    <definedName name="NSSR111">NA()</definedName>
    <definedName name="NSSR112">NA()</definedName>
    <definedName name="NSSR113">NA()</definedName>
    <definedName name="NSSR114">NA()</definedName>
    <definedName name="NSSR115">NA()</definedName>
    <definedName name="NSSR116">NA()</definedName>
    <definedName name="NSSR117">NA()</definedName>
    <definedName name="NSSR118">NA()</definedName>
    <definedName name="NSSR119">NA()</definedName>
    <definedName name="NSSR12">NA()</definedName>
    <definedName name="NSSR120">NA()</definedName>
    <definedName name="NSSR121">NA()</definedName>
    <definedName name="NSSR122">NA()</definedName>
    <definedName name="NSSR123">NA()</definedName>
    <definedName name="NSSR124">NA()</definedName>
    <definedName name="NSSR125">NA()</definedName>
    <definedName name="NSSR126">NA()</definedName>
    <definedName name="NSSR127">NA()</definedName>
    <definedName name="NSSR128">NA()</definedName>
    <definedName name="NSSR129">NA()</definedName>
    <definedName name="NSSR13">NA()</definedName>
    <definedName name="NSSR130">NA()</definedName>
    <definedName name="NSSR131">NA()</definedName>
    <definedName name="NSSR132">NA()</definedName>
    <definedName name="NSSR133">NA()</definedName>
    <definedName name="NSSR134">NA()</definedName>
    <definedName name="NSSR135">NA()</definedName>
    <definedName name="NSSR136">NA()</definedName>
    <definedName name="NSSR137">NA()</definedName>
    <definedName name="NSSR138">NA()</definedName>
    <definedName name="NSSR139">NA()</definedName>
    <definedName name="NSSR14">NA()</definedName>
    <definedName name="NSSR140">NA()</definedName>
    <definedName name="NSSR141">NA()</definedName>
    <definedName name="NSSR142">NA()</definedName>
    <definedName name="NSSR143">NA()</definedName>
    <definedName name="NSSR144">NA()</definedName>
    <definedName name="NSSR145">NA()</definedName>
    <definedName name="NSSR146">NA()</definedName>
    <definedName name="NSSR147">NA()</definedName>
    <definedName name="NSSR148">NA()</definedName>
    <definedName name="NSSR149">NA()</definedName>
    <definedName name="NSSR15">NA()</definedName>
    <definedName name="NSSR150">NA()</definedName>
    <definedName name="NSSR151">NA()</definedName>
    <definedName name="NSSR152">NA()</definedName>
    <definedName name="NSSR153">NA()</definedName>
    <definedName name="NSSR154">NA()</definedName>
    <definedName name="NSSR155">NA()</definedName>
    <definedName name="NSSR156">NA()</definedName>
    <definedName name="NSSR157">NA()</definedName>
    <definedName name="NSSR158">NA()</definedName>
    <definedName name="NSSR159">NA()</definedName>
    <definedName name="NSSR16">NA()</definedName>
    <definedName name="NSSR160">NA()</definedName>
    <definedName name="NSSR161">NA()</definedName>
    <definedName name="NSSR162">NA()</definedName>
    <definedName name="NSSR163">NA()</definedName>
    <definedName name="NSSR164">NA()</definedName>
    <definedName name="NSSR165">NA()</definedName>
    <definedName name="NSSR166">NA()</definedName>
    <definedName name="NSSR167">NA()</definedName>
    <definedName name="NSSR168">NA()</definedName>
    <definedName name="NSSR169">NA()</definedName>
    <definedName name="NSSR17">NA()</definedName>
    <definedName name="NSSR170">NA()</definedName>
    <definedName name="NSSR171">NA()</definedName>
    <definedName name="NSSR172">NA()</definedName>
    <definedName name="NSSR173">NA()</definedName>
    <definedName name="NSSR174">NA()</definedName>
    <definedName name="NSSR18">NA()</definedName>
    <definedName name="NSSR19">NA()</definedName>
    <definedName name="NSSR2">NA()</definedName>
    <definedName name="NSSR20">NA()</definedName>
    <definedName name="NSSR21">NA()</definedName>
    <definedName name="NSSR22">NA()</definedName>
    <definedName name="NSSR23">NA()</definedName>
    <definedName name="NSSR24">NA()</definedName>
    <definedName name="NSSR25">NA()</definedName>
    <definedName name="NSSR26">NA()</definedName>
    <definedName name="NSSR27">NA()</definedName>
    <definedName name="NSSR28">NA()</definedName>
    <definedName name="NSSR29">NA()</definedName>
    <definedName name="NSSR3">NA()</definedName>
    <definedName name="NSSR30">NA()</definedName>
    <definedName name="NSSR31">NA()</definedName>
    <definedName name="NSSR32">NA()</definedName>
    <definedName name="NSSR33">NA()</definedName>
    <definedName name="NSSR34">NA()</definedName>
    <definedName name="NSSR35">NA()</definedName>
    <definedName name="NSSR36">NA()</definedName>
    <definedName name="NSSR37">NA()</definedName>
    <definedName name="NSSR38">NA()</definedName>
    <definedName name="NSSR39">NA()</definedName>
    <definedName name="NSSR4">NA()</definedName>
    <definedName name="NSSR40">NA()</definedName>
    <definedName name="NSSR41">NA()</definedName>
    <definedName name="NSSR42">NA()</definedName>
    <definedName name="NSSR43">NA()</definedName>
    <definedName name="NSSR44">NA()</definedName>
    <definedName name="NSSR45">NA()</definedName>
    <definedName name="NSSR46">NA()</definedName>
    <definedName name="NSSR47">NA()</definedName>
    <definedName name="NSSR48">NA()</definedName>
    <definedName name="NSSR49">NA()</definedName>
    <definedName name="NSSR5">NA()</definedName>
    <definedName name="NSSR50">NA()</definedName>
    <definedName name="NSSR51">NA()</definedName>
    <definedName name="NSSR52">NA()</definedName>
    <definedName name="NSSR53">NA()</definedName>
    <definedName name="NSSR54">NA()</definedName>
    <definedName name="NSSR55">NA()</definedName>
    <definedName name="NSSR56">NA()</definedName>
    <definedName name="NSSR57">NA()</definedName>
    <definedName name="NSSR58">NA()</definedName>
    <definedName name="NSSR59">NA()</definedName>
    <definedName name="NSSR6">NA()</definedName>
    <definedName name="NSSR60">NA()</definedName>
    <definedName name="NSSR61">NA()</definedName>
    <definedName name="NSSR62">NA()</definedName>
    <definedName name="NSSR63">NA()</definedName>
    <definedName name="NSSR64">NA()</definedName>
    <definedName name="NSSR65">NA()</definedName>
    <definedName name="NSSR66">NA()</definedName>
    <definedName name="NSSR67">NA()</definedName>
    <definedName name="NSSR68">NA()</definedName>
    <definedName name="NSSR69">NA()</definedName>
    <definedName name="NSSR7">NA()</definedName>
    <definedName name="NSSR70">NA()</definedName>
    <definedName name="NSSR71">NA()</definedName>
    <definedName name="NSSR72">NA()</definedName>
    <definedName name="NSSR73">NA()</definedName>
    <definedName name="NSSR74">NA()</definedName>
    <definedName name="NSSR75">NA()</definedName>
    <definedName name="NSSR76">NA()</definedName>
    <definedName name="NSSR77">NA()</definedName>
    <definedName name="NSSR78">NA()</definedName>
    <definedName name="NSSR79">NA()</definedName>
    <definedName name="NSSR8">NA()</definedName>
    <definedName name="NSSR80">NA()</definedName>
    <definedName name="NSSR81">NA()</definedName>
    <definedName name="NSSR82">NA()</definedName>
    <definedName name="NSSR83">NA()</definedName>
    <definedName name="NSSR84">NA()</definedName>
    <definedName name="NSSR85">NA()</definedName>
    <definedName name="NSSR86">NA()</definedName>
    <definedName name="NSSR87">NA()</definedName>
    <definedName name="NSSR88">NA()</definedName>
    <definedName name="NSSR89">NA()</definedName>
    <definedName name="NSSR9">NA()</definedName>
    <definedName name="NSSR90">NA()</definedName>
    <definedName name="NSSR91">NA()</definedName>
    <definedName name="NSSR92">NA()</definedName>
    <definedName name="NSSR93">NA()</definedName>
    <definedName name="NSSR94">NA()</definedName>
    <definedName name="NSSR95">NA()</definedName>
    <definedName name="NSSR96">NA()</definedName>
    <definedName name="NSSR97">NA()</definedName>
    <definedName name="NSSR98">NA()</definedName>
    <definedName name="NSSR99">NA()</definedName>
    <definedName name="NUM_MMM">#REF!</definedName>
    <definedName name="Num_Pmt_Per_Year">NA()</definedName>
    <definedName name="Number_of_Payments">#N/A</definedName>
    <definedName name="Nurses">#REF!</definedName>
    <definedName name="nurses1">"[113]data.f8.btr!#ref!"</definedName>
    <definedName name="NVCP">NA()</definedName>
    <definedName name="nw">#REF!</definedName>
    <definedName name="obd_paint">NA()</definedName>
    <definedName name="obpl">NA()</definedName>
    <definedName name="OCM">"[98]office!$b$20"</definedName>
    <definedName name="oct">NA()</definedName>
    <definedName name="od">#REF!</definedName>
    <definedName name="oe">NA()</definedName>
    <definedName name="OG_metal">NA()</definedName>
    <definedName name="OH">#REF!</definedName>
    <definedName name="OHBRBRACEONETOSIX">NA()</definedName>
    <definedName name="OHBRBRACESEVENTOTHIRTEEN">#REF!</definedName>
    <definedName name="OHBRCOLUMNONETOSIX">#REF!</definedName>
    <definedName name="OHBRCOLUMNSEVENTOTHIRTEEN">#REF!</definedName>
    <definedName name="OHR">#REF!</definedName>
    <definedName name="ohs">NA()</definedName>
    <definedName name="OHSR">NA()</definedName>
    <definedName name="OHSR2">NA()</definedName>
    <definedName name="ohsrcap">#REF!</definedName>
    <definedName name="ohsrlls">#REF!</definedName>
    <definedName name="oi">NA()</definedName>
    <definedName name="oii">NA()</definedName>
    <definedName name="OIU">#REF!</definedName>
    <definedName name="ojjlkj">#REF!</definedName>
    <definedName name="ojsdgn">NA()</definedName>
    <definedName name="ok">NA()</definedName>
    <definedName name="one">NA()</definedName>
    <definedName name="ONETOSEVEN">NA()</definedName>
    <definedName name="oo">NA()</definedName>
    <definedName name="ooo">NA()</definedName>
    <definedName name="OOOEOOOE">#REF!</definedName>
    <definedName name="oooo">NA()</definedName>
    <definedName name="optrq">NA()</definedName>
    <definedName name="OrderTable" hidden="1">#REF!</definedName>
    <definedName name="others">NA()</definedName>
    <definedName name="OW">NA()</definedName>
    <definedName name="owefwf">NA()</definedName>
    <definedName name="p">NA()</definedName>
    <definedName name="p_11">NA()</definedName>
    <definedName name="P_6">"'smb://Tender3/d/Vinod/Excel/Tender/Boundary%20Wall%20for%20American%20International%20School%20%20-%20Taramani.xls'#$Boq.CX1"</definedName>
    <definedName name="p_8">NA()</definedName>
    <definedName name="P_reinigung_in_BiopurN">"[148]balan1!#ref!"</definedName>
    <definedName name="P_reinigung_in_Filter">"[148]balan1!#ref!"</definedName>
    <definedName name="p_sch1">NA()</definedName>
    <definedName name="Pa">NA()</definedName>
    <definedName name="Packed">#REF!</definedName>
    <definedName name="paddy">NA()</definedName>
    <definedName name="paint">#REF!</definedName>
    <definedName name="painter">#REF!</definedName>
    <definedName name="painting">NA()</definedName>
    <definedName name="Painting_to_Single_Coat_Plastic_Emulsion_paint_of_superior_quality_of_approved_brand__in_all_to_give_an_even_shade_after_thoroughly_brushing_the_surface_to_remove_all_loose_powdered_materials__including_cost_and_conveyance_of_all_materials__including_cost">"[372]sch!#ref!"</definedName>
    <definedName name="Part">"[373]data!#ref!"</definedName>
    <definedName name="Pasu">NA()</definedName>
    <definedName name="Paver_finisher_Hydraulic_with_sensor">NA()</definedName>
    <definedName name="Paver_finisher_mechanical_sold">NA()</definedName>
    <definedName name="Pay_Date">NA()</definedName>
    <definedName name="Pay_Num">NA()</definedName>
    <definedName name="PAYJJJJJD">NA()</definedName>
    <definedName name="Payment_Date">#N/A</definedName>
    <definedName name="pbg">NA()</definedName>
    <definedName name="pbm">NA()</definedName>
    <definedName name="pbpt">NA()</definedName>
    <definedName name="Pbx">"[294]design!#ref!"</definedName>
    <definedName name="Pby">"[294]design!#ref!"</definedName>
    <definedName name="pc">#REF!</definedName>
    <definedName name="pcc">NA()</definedName>
    <definedName name="pcc_bedblock">NA()</definedName>
    <definedName name="pccut">NA()</definedName>
    <definedName name="pcrao">NA()</definedName>
    <definedName name="PDS">NA()</definedName>
    <definedName name="Pedastals__columns">"[71]works!#ref!"</definedName>
    <definedName name="Perf_Garantee">NA()</definedName>
    <definedName name="peru">NA()</definedName>
    <definedName name="perugudi">NA()</definedName>
    <definedName name="perungudi">NA()</definedName>
    <definedName name="pftw">"[122]process!#ref!"</definedName>
    <definedName name="pg">NA()</definedName>
    <definedName name="PGS">NA()</definedName>
    <definedName name="phase">NA()</definedName>
    <definedName name="phi">NA()</definedName>
    <definedName name="Phone">#REF!</definedName>
    <definedName name="pi">3.1415</definedName>
    <definedName name="Picking___spreading_metal_for_WBM_for_75_mm">NA()</definedName>
    <definedName name="Picking_5_to_100_mm_old_metalled_surface_and_sectioning">#REF!</definedName>
    <definedName name="Picking_metal___sectiong">NA()</definedName>
    <definedName name="pIIII">NA()</definedName>
    <definedName name="PIPE">NA()</definedName>
    <definedName name="PIPE_CL1">#REF!</definedName>
    <definedName name="PIPE_ID">#REF!</definedName>
    <definedName name="PIPE_ID_CD">#REF!</definedName>
    <definedName name="PIPE_TYPE">#REF!</definedName>
    <definedName name="PIPE_TYPE_R">#REF!</definedName>
    <definedName name="PIPE_TYPES">#REF!</definedName>
    <definedName name="piperates">#REF!</definedName>
    <definedName name="PIPES">#REF!</definedName>
    <definedName name="PIPES_CR">#REF!</definedName>
    <definedName name="PIPES_E">#REF!</definedName>
    <definedName name="PK">NA()</definedName>
    <definedName name="pkgno">NA()</definedName>
    <definedName name="PKK">NA()</definedName>
    <definedName name="pla">#REF!</definedName>
    <definedName name="plasp">#REF!</definedName>
    <definedName name="plaster_ornamental">NA()</definedName>
    <definedName name="plaster_thick">#REF!</definedName>
    <definedName name="plaster_twelve">NA()</definedName>
    <definedName name="plaster_twenty">NA()</definedName>
    <definedName name="PLASTERING_WALLS_CEILING">#REF!</definedName>
    <definedName name="plastering12">NA()</definedName>
    <definedName name="plasticemulsion_paint">NA()</definedName>
    <definedName name="plbeams">NA()</definedName>
    <definedName name="Plinth_beams__lintels">"[71]works!#ref!"</definedName>
    <definedName name="PM">NA()</definedName>
    <definedName name="PM_AirCompressor_210cfm">#REF!</definedName>
    <definedName name="PM_BatchMixHMP_46_60THP">#REF!</definedName>
    <definedName name="PM_BatchTypeHMP_30_40">#REF!</definedName>
    <definedName name="PM_BitumenBoilerOilFired_1000">#REF!</definedName>
    <definedName name="PM_BitumenBoilerOilFired_200">#REF!</definedName>
    <definedName name="PM_BitumenEmulsionPressureDistributor">#REF!</definedName>
    <definedName name="PM_ConcreteMixer">#REF!</definedName>
    <definedName name="PM_Dozer_D50">#REF!</definedName>
    <definedName name="PM_ElectricGeneratorSet_125">#REF!</definedName>
    <definedName name="PM_FrontEndLoader_1cum">#REF!</definedName>
    <definedName name="PM_HydraulicBroom">#REF!</definedName>
    <definedName name="PM_HydraulicExcavator_09cum">#REF!</definedName>
    <definedName name="PM_HydraulicSelfPropelledChipSpreader">#REF!</definedName>
    <definedName name="PM_JointCuttingMachine">#REF!</definedName>
    <definedName name="PM_Mixall_6_10t">#REF!</definedName>
    <definedName name="PM_MotorGrader">#REF!</definedName>
    <definedName name="PM_NeedleVibrator">#REF!</definedName>
    <definedName name="PM_PaverFinisher">#REF!</definedName>
    <definedName name="PM_PlateVibrator">#REF!</definedName>
    <definedName name="PM_ScreedVibrator">#REF!</definedName>
    <definedName name="PM_ThreeWheeled_80_100kN_StaticRoller">#REF!</definedName>
    <definedName name="PM_Tipper_55">#REF!</definedName>
    <definedName name="PM_Tractor_Rotavator">#REF!</definedName>
    <definedName name="PM_Tractor_Trolley">#REF!</definedName>
    <definedName name="PM_Truck">#REF!</definedName>
    <definedName name="PM_VibratoryRoller_80_100kN">#REF!</definedName>
    <definedName name="PM_WaterTanker_6kl">#REF!</definedName>
    <definedName name="PMS">#REF!</definedName>
    <definedName name="Pneumatic_tyre_Roller">NA()</definedName>
    <definedName name="POIN">#REF!</definedName>
    <definedName name="Polished_black_Cuddapah_slabs_25_4mm">NA()</definedName>
    <definedName name="Polished_Shahabad_slabs_of_Tandur_25_4mm_blue">NA()</definedName>
    <definedName name="Polished_Shahabad_slabs_of_Tandur_25_4mm_white">NA()</definedName>
    <definedName name="pop">NA()</definedName>
    <definedName name="portico__bottom__steps">NA()</definedName>
    <definedName name="portion">"[128]lead!#ref!"</definedName>
    <definedName name="poutr">NA()</definedName>
    <definedName name="powo">NA()</definedName>
    <definedName name="pp">#REF!</definedName>
    <definedName name="ppp" hidden="1">{#N/A,#N/A,FALSE,"no"}</definedName>
    <definedName name="PPPPP">#REF!</definedName>
    <definedName name="pppppppppp">"[71]material!#ref!"</definedName>
    <definedName name="pppppppppppp">"[71]works!#ref!"</definedName>
    <definedName name="pppppppppppppp">"[71]works!#ref!"</definedName>
    <definedName name="pqodjhf">NA()</definedName>
    <definedName name="pr">#REF!</definedName>
    <definedName name="PR_Habcode_16_Dig">#REF!</definedName>
    <definedName name="Prasad">#REF!</definedName>
    <definedName name="praveen">#REF!</definedName>
    <definedName name="prb">NA()</definedName>
    <definedName name="PRC">#REF!</definedName>
    <definedName name="prelim">"'[141]1'!$a$1:$u$65536"</definedName>
    <definedName name="Prelm_Exp">NA()</definedName>
    <definedName name="Princ">NA()</definedName>
    <definedName name="prince">NA()</definedName>
    <definedName name="prince1">NA()</definedName>
    <definedName name="_xlnm.Print_Area" localSheetId="1">ABSTRACT!$B$1:$I$35</definedName>
    <definedName name="_xlnm.Print_Area" localSheetId="0">RE!$B$1:$N$509</definedName>
    <definedName name="_xlnm.Print_Area">#REF!</definedName>
    <definedName name="Print_Area_MI">#REF!</definedName>
    <definedName name="Print_Area_MI_10">NA()</definedName>
    <definedName name="Print_Area_MI_12">#REF!</definedName>
    <definedName name="Print_Area_MI_3">#REF!</definedName>
    <definedName name="Print_Area_MI_6">#REF!</definedName>
    <definedName name="Print_Area_MI_7">NA()</definedName>
    <definedName name="Print_Area_MI_9">#REF!</definedName>
    <definedName name="Print_Area_Reset">#N/A</definedName>
    <definedName name="_xlnm.Print_Titles" localSheetId="0">RE!$2:$3</definedName>
    <definedName name="Prl">NA()</definedName>
    <definedName name="proBS">NA()</definedName>
    <definedName name="ProdForm" hidden="1">#REF!</definedName>
    <definedName name="Product" hidden="1">#REF!</definedName>
    <definedName name="PROFIT">"[98]office!$b$22"</definedName>
    <definedName name="PROFIT1">"[98]office!$b$21"</definedName>
    <definedName name="PROFORMA_IV__2_">NA()</definedName>
    <definedName name="project">NA()</definedName>
    <definedName name="projection">"[130]boq!#ref!"</definedName>
    <definedName name="PROS_LPM">#REF!</definedName>
    <definedName name="PROS_MLD">#REF!</definedName>
    <definedName name="PROS_PERIOD">#REF!</definedName>
    <definedName name="PROS_POP">#REF!</definedName>
    <definedName name="PROS_YEAR">#REF!</definedName>
    <definedName name="prsrhds">#REF!</definedName>
    <definedName name="ps">NA()</definedName>
    <definedName name="PSC_C">#REF!</definedName>
    <definedName name="PSC_CL">#REF!</definedName>
    <definedName name="PSC_CL_RATES">#REF!</definedName>
    <definedName name="PSC_CLL">#REF!</definedName>
    <definedName name="PSC_CLR">#REF!</definedName>
    <definedName name="PSC_CLS">#REF!</definedName>
    <definedName name="PSC_D_R">#REF!</definedName>
    <definedName name="PSC_D_RATES">#REF!</definedName>
    <definedName name="PSC_DC">#REF!</definedName>
    <definedName name="PSC_DR">#REF!</definedName>
    <definedName name="PSC_FR_10KG">#REF!</definedName>
    <definedName name="PSC_FR_12KG">#REF!</definedName>
    <definedName name="PSC_FR_14KG">#REF!</definedName>
    <definedName name="PSC_FR_16KG">#REF!</definedName>
    <definedName name="PSC_FR_6KG">#REF!</definedName>
    <definedName name="PSC_FR_8KG">#REF!</definedName>
    <definedName name="PSC_G">#REF!</definedName>
    <definedName name="PSC_P">#REF!</definedName>
    <definedName name="PSC_RATES">#REF!</definedName>
    <definedName name="PSC_T">#REF!</definedName>
    <definedName name="pss">NA()</definedName>
    <definedName name="psw">NA()</definedName>
    <definedName name="PT">NA()</definedName>
    <definedName name="pui">NA()</definedName>
    <definedName name="pump">NA()</definedName>
    <definedName name="Pump___23_KW">NA()</definedName>
    <definedName name="pumpset">NA()</definedName>
    <definedName name="PUMPSET_COST">#REF!</definedName>
    <definedName name="PUMPSET_LIFE">#REF!</definedName>
    <definedName name="PUR">NA()</definedName>
    <definedName name="Puz">"[294]design!#ref!"</definedName>
    <definedName name="PV">#REF!</definedName>
    <definedName name="pvc">#REF!</definedName>
    <definedName name="pvc_100">NA()</definedName>
    <definedName name="pvc_15">NA()</definedName>
    <definedName name="pvc_150">NA()</definedName>
    <definedName name="pvc_20">NA()</definedName>
    <definedName name="pvc_200">NA()</definedName>
    <definedName name="pvc_25">NA()</definedName>
    <definedName name="pvc_250">NA()</definedName>
    <definedName name="pvc_300">NA()</definedName>
    <definedName name="pvc_32">NA()</definedName>
    <definedName name="pvc_40">NA()</definedName>
    <definedName name="pvc_400">NA()</definedName>
    <definedName name="pvc_50">NA()</definedName>
    <definedName name="pvc_600">NA()</definedName>
    <definedName name="pvc_65">NA()</definedName>
    <definedName name="pvc_80">NA()</definedName>
    <definedName name="pvc_bends">NA()</definedName>
    <definedName name="PVC_CL">#REF!</definedName>
    <definedName name="PVC_CL_RATES">#REF!</definedName>
    <definedName name="pvc_clamps">NA()</definedName>
    <definedName name="PVC_CLR">#REF!</definedName>
    <definedName name="PVC_CLS">#REF!</definedName>
    <definedName name="pvc_collar">NA()</definedName>
    <definedName name="PVC_D_R">#REF!</definedName>
    <definedName name="PVC_D_RATES">#REF!</definedName>
    <definedName name="PVC_DC">#REF!</definedName>
    <definedName name="PVC_DL_RANGE">#REF!</definedName>
    <definedName name="PVC_DR">#REF!</definedName>
    <definedName name="PVC_FR_10KG">#REF!</definedName>
    <definedName name="PVC_FR_4KG">#REF!</definedName>
    <definedName name="PVC_FR_6KG">#REF!</definedName>
    <definedName name="PVC_G">#REF!</definedName>
    <definedName name="PVC_ID">#REF!</definedName>
    <definedName name="PVC_ID_CL">#REF!</definedName>
    <definedName name="PVC_IDS">#REF!</definedName>
    <definedName name="PVC_PIPES">#REF!</definedName>
    <definedName name="pvc_pipes_110">NA()</definedName>
    <definedName name="pvc_specials">#REF!</definedName>
    <definedName name="PVC_T">#REF!</definedName>
    <definedName name="pvcALL">NA()</definedName>
    <definedName name="pvcBend">NA()</definedName>
    <definedName name="pvcCoupling">NA()</definedName>
    <definedName name="pvcDummy">NA()</definedName>
    <definedName name="pvcElbow">NA()</definedName>
    <definedName name="pvcFTA">NA()</definedName>
    <definedName name="PVCid10.0">#REF!</definedName>
    <definedName name="PVCid10_0">NA()</definedName>
    <definedName name="PVCid4.0">#REF!</definedName>
    <definedName name="PVCid4_0">NA()</definedName>
    <definedName name="PVCid6.0">#REF!</definedName>
    <definedName name="PVCid6_0">NA()</definedName>
    <definedName name="PVCid8.0">#REF!</definedName>
    <definedName name="PVCid8_0">NA()</definedName>
    <definedName name="pvcMTA">NA()</definedName>
    <definedName name="PVCod">#REF!</definedName>
    <definedName name="pvcpvrate">#REF!</definedName>
    <definedName name="pvcrates">#REF!</definedName>
    <definedName name="PVCreducedTee">NA()</definedName>
    <definedName name="pvcsaddle">#REF!</definedName>
    <definedName name="pvcSpecials">NA()</definedName>
    <definedName name="pvcTee">NA()</definedName>
    <definedName name="pvcwts">#REF!</definedName>
    <definedName name="pw">#REF!</definedName>
    <definedName name="PWF">NA()</definedName>
    <definedName name="q">#REF!</definedName>
    <definedName name="Q_">NA()</definedName>
    <definedName name="Q_136_BCCP">NA()</definedName>
    <definedName name="Q_136_BODY">NA()</definedName>
    <definedName name="Q_136_FLY_BCCP">NA()</definedName>
    <definedName name="Q_136_FOUND">NA()</definedName>
    <definedName name="Q_148_BCCP">NA()</definedName>
    <definedName name="q_8">NA()</definedName>
    <definedName name="Q_BACKFILL">NA()</definedName>
    <definedName name="Q_BC">NA()</definedName>
    <definedName name="Q_BED_HP">NA()</definedName>
    <definedName name="Q_BM_100">NA()</definedName>
    <definedName name="Q_BM_50">NA()</definedName>
    <definedName name="Q_BT_PATCH">NA()</definedName>
    <definedName name="Q_BT_PATCH_40">NA()</definedName>
    <definedName name="Q_CD_EW">#REF!</definedName>
    <definedName name="Q_CD_M10_BODY">#REF!</definedName>
    <definedName name="Q_CD_M10_FOUN">#REF!</definedName>
    <definedName name="Q_EW_C">NA()</definedName>
    <definedName name="Q_EW_F">#REF!</definedName>
    <definedName name="Q_EW_FOUND">NA()</definedName>
    <definedName name="Q_EW_S">#REF!</definedName>
    <definedName name="Q_EW_T">NA()</definedName>
    <definedName name="Q_EW_USS">NA()</definedName>
    <definedName name="Q_FILL_INB_BODY">NA()</definedName>
    <definedName name="Q_FILTER_ABUT">NA()</definedName>
    <definedName name="Q_FILTER_BPITCH">NA()</definedName>
    <definedName name="Q_G2_22B_aS_PR">NA()</definedName>
    <definedName name="Q_G2_22B_AS_VR">NA()</definedName>
    <definedName name="Q_G2_45B_AS_PR">NA()</definedName>
    <definedName name="Q_G2_45B_AS_VR">NA()</definedName>
    <definedName name="Q_G3_22B_BS_PR">NA()</definedName>
    <definedName name="Q_G3_22B_BS_VR">NA()</definedName>
    <definedName name="Q_G3_45B_BS_PR">NA()</definedName>
    <definedName name="Q_G3_45B_BS_VR">NA()</definedName>
    <definedName name="Q_GRAVEL_SHOLDERS">#REF!</definedName>
    <definedName name="Q_GROUT_REV">NA()</definedName>
    <definedName name="Q_GS">NA()</definedName>
    <definedName name="Q_GSB">#REF!</definedName>
    <definedName name="Q_HP">NA()</definedName>
    <definedName name="Q_HP_1000">NA()</definedName>
    <definedName name="Q_HP_600">NA()</definedName>
    <definedName name="Q_HP_800">NA()</definedName>
    <definedName name="Q_HYSD_FOUND">NA()</definedName>
    <definedName name="Q_HYSD_SUB">NA()</definedName>
    <definedName name="Q_HYSD_SUPER">NA()</definedName>
    <definedName name="Q_M15_DIVIDERS">NA()</definedName>
    <definedName name="Q_M15_FOUND">NA()</definedName>
    <definedName name="Q_M15_LEVEL">NA()</definedName>
    <definedName name="Q_M15_SUB">NA()</definedName>
    <definedName name="Q_M20R_BEDBLOCKS">NA()</definedName>
    <definedName name="Q_M20R_COVER_SLAB">NA()</definedName>
    <definedName name="Q_M20R_DECK">NA()</definedName>
    <definedName name="Q_M20R_RAIL">NA()</definedName>
    <definedName name="Q_M25R_APP">NA()</definedName>
    <definedName name="Q_M30R_WC">NA()</definedName>
    <definedName name="Q_M35_CCP">NA()</definedName>
    <definedName name="Q_M35_FLY_CCP">NA()</definedName>
    <definedName name="Q_MILD">NA()</definedName>
    <definedName name="Q_MSS">#REF!</definedName>
    <definedName name="Q_PAINT">NA()</definedName>
    <definedName name="q_pick">#REF!</definedName>
    <definedName name="Q_PLAST">NA()</definedName>
    <definedName name="Q_REV300">NA()</definedName>
    <definedName name="Q_SANDFILL">NA()</definedName>
    <definedName name="Q_SCAR_BT">NA()</definedName>
    <definedName name="Q_SCAR_GRA">NA()</definedName>
    <definedName name="Q_SCSD">#REF!</definedName>
    <definedName name="Q_SCSD_6070">NA()</definedName>
    <definedName name="Q_SCSD_80100">NA()</definedName>
    <definedName name="Q_SDBC">#REF!</definedName>
    <definedName name="Q_TACK">#REF!</definedName>
    <definedName name="Q_WBM2">#REF!</definedName>
    <definedName name="Q_WBM3">#REF!</definedName>
    <definedName name="Q_WMM">NA()</definedName>
    <definedName name="QQ">#REF!</definedName>
    <definedName name="qqq">#REF!</definedName>
    <definedName name="qqqq">NA()</definedName>
    <definedName name="QQQQQQ">"[383]lead!#ref!"</definedName>
    <definedName name="qqqqqqq">NA()</definedName>
    <definedName name="qqqqqqqqq">"[93]data!#ref!"</definedName>
    <definedName name="qqqqqqqqqqqqq">NA()</definedName>
    <definedName name="qqww">#REF!</definedName>
    <definedName name="qr">#REF!</definedName>
    <definedName name="QRückläufe">#REF!</definedName>
    <definedName name="QSchlamwasser_Dauer">#REF!</definedName>
    <definedName name="Qu">NA()</definedName>
    <definedName name="quarry">"[71]material!#ref!"</definedName>
    <definedName name="Quarry_rubbish">"[71]material!#ref!"</definedName>
    <definedName name="Quaspall">NA()</definedName>
    <definedName name="que">NA()</definedName>
    <definedName name="quer10">NA()</definedName>
    <definedName name="QUERY2">#REF!</definedName>
    <definedName name="qwe">NA()</definedName>
    <definedName name="qwew">NA()</definedName>
    <definedName name="qwwetrty">NA()</definedName>
    <definedName name="qwww">NA()</definedName>
    <definedName name="R_12_M">NA()</definedName>
    <definedName name="R_136_BCCP">NA()</definedName>
    <definedName name="R_136_BODY">NA()</definedName>
    <definedName name="R_136_Bodywalls">#REF!</definedName>
    <definedName name="R_136_FLY_BCCP">NA()</definedName>
    <definedName name="R_136_Found">#REF!</definedName>
    <definedName name="R_148_BCCP">NA()</definedName>
    <definedName name="R_148_belowcc">#REF!</definedName>
    <definedName name="R_25_M">NA()</definedName>
    <definedName name="R_6_M">NA()</definedName>
    <definedName name="r_ac_pipe_100_cl">NA()</definedName>
    <definedName name="r_ac_pipe_125_cl">NA()</definedName>
    <definedName name="r_ac_pipe_150_cl">NA()</definedName>
    <definedName name="r_ac_pipe_200_cl">NA()</definedName>
    <definedName name="r_ac_pipe_80_cl">NA()</definedName>
    <definedName name="R_BackFill">#REF!</definedName>
    <definedName name="R_BED_HP">NA()</definedName>
    <definedName name="R_BetweenBodywalls">#REF!</definedName>
    <definedName name="r_block_20">NA()</definedName>
    <definedName name="r_block_50">NA()</definedName>
    <definedName name="R_BM">#REF!</definedName>
    <definedName name="R_BM_50">NA()</definedName>
    <definedName name="R_BT_PATCH">NA()</definedName>
    <definedName name="R_BT_PATCH_40">NA()</definedName>
    <definedName name="r_det">#REF!</definedName>
    <definedName name="R_Diversion_Road">#REF!</definedName>
    <definedName name="R_EW_C">NA()</definedName>
    <definedName name="R_EW_Car">#REF!</definedName>
    <definedName name="r_ew_emb">NA()</definedName>
    <definedName name="R_EW_FMC_Car">#REF!</definedName>
    <definedName name="R_EW_FMC_Side">#REF!</definedName>
    <definedName name="R_EW_Form_OMC">#REF!</definedName>
    <definedName name="R_EW_FOUND">NA()</definedName>
    <definedName name="R_EW_Man">#REF!</definedName>
    <definedName name="R_EW_OMC_Car">#REF!</definedName>
    <definedName name="R_EW_OMC_Side">#REF!</definedName>
    <definedName name="r_ew_rf_cons">NA()</definedName>
    <definedName name="R_EW_S">NA()</definedName>
    <definedName name="R_EW_Side_OMC">#REF!</definedName>
    <definedName name="R_EW_T">NA()</definedName>
    <definedName name="R_EW_Trench">#REF!</definedName>
    <definedName name="R_EW_USS">NA()</definedName>
    <definedName name="R_FILL_INB_BODY">NA()</definedName>
    <definedName name="R_Filter">#REF!</definedName>
    <definedName name="R_FILTER_ABUT">NA()</definedName>
    <definedName name="R_FILTER_BPITCH">NA()</definedName>
    <definedName name="r_floor_pl">NA()</definedName>
    <definedName name="R_G2_22B_AS_PR">NA()</definedName>
    <definedName name="R_G2_22B_AS_VR">NA()</definedName>
    <definedName name="R_G2_45B_AS_PR">NA()</definedName>
    <definedName name="R_G2_45B_AS_VR">NA()</definedName>
    <definedName name="R_G3_22B_BS_PR">NA()</definedName>
    <definedName name="R_G3_22B_BS_VR">NA()</definedName>
    <definedName name="R_G3_45B_BS_PR">NA()</definedName>
    <definedName name="R_G3_45B_BS_VR">NA()</definedName>
    <definedName name="R_Gravel">NA()</definedName>
    <definedName name="R_Gravel_Bedding">#REF!</definedName>
    <definedName name="R_Gravel_between">#REF!</definedName>
    <definedName name="R_Gravel_Pipebedding">#REF!</definedName>
    <definedName name="R_Gravel_Quardrent">#REF!</definedName>
    <definedName name="R_GravelBedding">#REF!</definedName>
    <definedName name="R_GravelShoulders">#REF!</definedName>
    <definedName name="R_GROUT_REV">NA()</definedName>
    <definedName name="R_GS">NA()</definedName>
    <definedName name="R_GSB">#REF!</definedName>
    <definedName name="R_HP_1000">#REF!</definedName>
    <definedName name="R_HP_600">#REF!</definedName>
    <definedName name="R_HP_800">#REF!</definedName>
    <definedName name="R_HPL_600">#REF!</definedName>
    <definedName name="R_HPL_800">#REF!</definedName>
    <definedName name="R_HYSD_Found">#REF!</definedName>
    <definedName name="R_HYSD_sub">#REF!</definedName>
    <definedName name="R_HYSD_Super">#REF!</definedName>
    <definedName name="R_M10_base">#REF!</definedName>
    <definedName name="R_M10_bCC">#REF!</definedName>
    <definedName name="R_M10_bodywalls">#REF!</definedName>
    <definedName name="R_M10_drains">#REF!</definedName>
    <definedName name="R_M10_found">#REF!</definedName>
    <definedName name="R_M15_dividers">#REF!</definedName>
    <definedName name="R_M15_Foot">#REF!</definedName>
    <definedName name="R_M15_footing">#REF!</definedName>
    <definedName name="R_M15_FOUND">NA()</definedName>
    <definedName name="R_M15_LEVEL">NA()</definedName>
    <definedName name="R_M15_LevellingCoarse">#REF!</definedName>
    <definedName name="R_M15_SUB">#REF!</definedName>
    <definedName name="R_M20_Bed">#REF!</definedName>
    <definedName name="R_M20_BedBack">#REF!</definedName>
    <definedName name="R_M20_COVER">#REF!</definedName>
    <definedName name="R_M20_DECKSLAB">#REF!</definedName>
    <definedName name="R_M20_slab">#REF!</definedName>
    <definedName name="R_M20R_BEDBLOCKS">NA()</definedName>
    <definedName name="R_M20R_COVER_SLAB">NA()</definedName>
    <definedName name="R_M20R_DECK">NA()</definedName>
    <definedName name="R_M20R_RAIL">NA()</definedName>
    <definedName name="R_M25_ApproachSlab">#REF!</definedName>
    <definedName name="R_M25R_APP">NA()</definedName>
    <definedName name="R_M30_WC">#REF!</definedName>
    <definedName name="R_M30R_WC">NA()</definedName>
    <definedName name="R_M35_C2">NA()</definedName>
    <definedName name="R_M35_CC">#REF!</definedName>
    <definedName name="R_M35_CCP">NA()</definedName>
    <definedName name="R_M35_FLY_CCP">NA()</definedName>
    <definedName name="R_M35_FlyAsh">#REF!</definedName>
    <definedName name="r_media_m_20">NA()</definedName>
    <definedName name="r_media_m_6">NA()</definedName>
    <definedName name="r_media_sd_c">NA()</definedName>
    <definedName name="r_media_sd_f">NA()</definedName>
    <definedName name="R_Mild">#REF!</definedName>
    <definedName name="R_MSS">#REF!</definedName>
    <definedName name="R_Napa">NA()</definedName>
    <definedName name="r_ohsr_40_12_7">NA()</definedName>
    <definedName name="r_ohsr_40_9_55">NA()</definedName>
    <definedName name="r_ohsr_60_12_9">NA()</definedName>
    <definedName name="r_ohsr_60_9_75">NA()</definedName>
    <definedName name="R_PAINT">NA()</definedName>
    <definedName name="R_Painting">#REF!</definedName>
    <definedName name="r_pcc_124_12">NA()</definedName>
    <definedName name="R_Pick">#REF!</definedName>
    <definedName name="r_pl_rf">NA()</definedName>
    <definedName name="R_PLAST">NA()</definedName>
    <definedName name="R_PLAST_CUM">NA()</definedName>
    <definedName name="R_PLAST_SQM">NA()</definedName>
    <definedName name="R_Plastering">#REF!</definedName>
    <definedName name="R_R300">#REF!</definedName>
    <definedName name="R_Rev_A300">#REF!</definedName>
    <definedName name="R_Rev_Q300">#REF!</definedName>
    <definedName name="R_REV300">NA()</definedName>
    <definedName name="R_Rs_Mason">NA()</definedName>
    <definedName name="R_Rs_Riv_300">NA()</definedName>
    <definedName name="R_SANDFILL">NA()</definedName>
    <definedName name="R_SandFILLING">#REF!</definedName>
    <definedName name="R_Scar_BT">#REF!</definedName>
    <definedName name="R_SCAR_GRA">NA()</definedName>
    <definedName name="R_Scar_GSB">#REF!</definedName>
    <definedName name="R_Scarf">#REF!</definedName>
    <definedName name="R_SCSD">#REF!</definedName>
    <definedName name="R_SCSD_6070">#REF!</definedName>
    <definedName name="R_SCSD_80100">#REF!</definedName>
    <definedName name="r_sd_media">NA()</definedName>
    <definedName name="R_SDBC">#REF!</definedName>
    <definedName name="R_shoulders">#REF!</definedName>
    <definedName name="R_Tack">#REF!</definedName>
    <definedName name="R_Teak">NA()</definedName>
    <definedName name="r_vrcc_cur_wall_20">NA()</definedName>
    <definedName name="R_WBM_G2">#REF!</definedName>
    <definedName name="R_WBM_G3">#REF!</definedName>
    <definedName name="R_WBM2">#REF!</definedName>
    <definedName name="R_WBM2_HS">#REF!</definedName>
    <definedName name="R_WBM2_HVR">#REF!</definedName>
    <definedName name="R_WBM2_MCS">#REF!</definedName>
    <definedName name="R_WBM3">#REF!</definedName>
    <definedName name="R_WBM3_HS">#REF!</definedName>
    <definedName name="R_WBM3_HVR">#REF!</definedName>
    <definedName name="R_WBM3_MCS">#REF!</definedName>
    <definedName name="R_Weepholes">#REF!</definedName>
    <definedName name="R_WMM">#REF!</definedName>
    <definedName name="raams">NA()</definedName>
    <definedName name="Rabbit">NA()</definedName>
    <definedName name="raf">#REF!</definedName>
    <definedName name="raffs">#REF!</definedName>
    <definedName name="rafi">#REF!</definedName>
    <definedName name="raghava">NA()</definedName>
    <definedName name="raised_pointing">NA()</definedName>
    <definedName name="raj">NA()</definedName>
    <definedName name="raju">#REF!</definedName>
    <definedName name="ram">#REF!</definedName>
    <definedName name="raMA">"[391]data!#ref!"</definedName>
    <definedName name="raod">#REF!</definedName>
    <definedName name="ras">NA()</definedName>
    <definedName name="rat">#REF!</definedName>
    <definedName name="RatAna">NA()</definedName>
    <definedName name="rate12">#REF!</definedName>
    <definedName name="rate20">#REF!</definedName>
    <definedName name="rate40">#REF!</definedName>
    <definedName name="ratecrs">#REF!</definedName>
    <definedName name="raterough">#REF!</definedName>
    <definedName name="raterr">#REF!</definedName>
    <definedName name="rates">#REF!</definedName>
    <definedName name="rates1">#REF!</definedName>
    <definedName name="rates11">#REF!</definedName>
    <definedName name="rates4">#REF!</definedName>
    <definedName name="ratesand">#REF!</definedName>
    <definedName name="Ravu">#REF!</definedName>
    <definedName name="rax">#REF!</definedName>
    <definedName name="rb">#REF!</definedName>
    <definedName name="rbsw">NA()</definedName>
    <definedName name="rbw">NA()</definedName>
    <definedName name="RCArea" hidden="1">#REF!</definedName>
    <definedName name="RCC_CL">"[70]wh_data_r!#ref!"</definedName>
    <definedName name="RCC_CLL">#REF!</definedName>
    <definedName name="RCC_D_R">#REF!</definedName>
    <definedName name="rcc_mix">#REF!</definedName>
    <definedName name="RCC_NP_CLASS_PIPES">#REF!</definedName>
    <definedName name="RCC_PR_CLASS_PIPES">#REF!</definedName>
    <definedName name="rcc_vrcc_mix">#REF!</definedName>
    <definedName name="RCM__facia__railing">"[71]works!#ref!"</definedName>
    <definedName name="rcm_facia">NA()</definedName>
    <definedName name="rcml">NA()</definedName>
    <definedName name="rcwbgl">NA()</definedName>
    <definedName name="rcwbgl2">NA()</definedName>
    <definedName name="rd">NA()</definedName>
    <definedName name="rdm">NA()</definedName>
    <definedName name="RE">#REF!</definedName>
    <definedName name="Rear">"[394]column!#ref!"</definedName>
    <definedName name="rear1">"[394]column!#ref!"</definedName>
    <definedName name="REARS">"[394]column!#ref!"</definedName>
    <definedName name="rect_4_415">NA()</definedName>
    <definedName name="Rectangular_L_beam">"[71]works!#ref!"</definedName>
    <definedName name="RECV">NA()</definedName>
    <definedName name="red">NA()</definedName>
    <definedName name="ree">NA()</definedName>
    <definedName name="REFIL">#REF!</definedName>
    <definedName name="refilling">NA()</definedName>
    <definedName name="refrt">"[71]material!#ref!"</definedName>
    <definedName name="reil1">NA()</definedName>
    <definedName name="rel">NA()</definedName>
    <definedName name="Removal_of_imponea__cornea">NA()</definedName>
    <definedName name="Removal_of_Jammu">NA()</definedName>
    <definedName name="Removal_of_natchu__goobi__thooti_etc___for_every_extra_lead_or_lift_over_the_initial_lead_or_lift_">NA()</definedName>
    <definedName name="Removal_of_water_hyacinth_upto_30_cm_thick_">NA()</definedName>
    <definedName name="Removing_of_natchu__goobi__thooti_etc___from_drains__channels_including_clearance_if_not_more_than_1_metre_depth_of_water_with_an_initial_lead_of_10_metresand_lift_of_2_metres_">NA()</definedName>
    <definedName name="Repalle_Sub">#REF!</definedName>
    <definedName name="repo">NA()</definedName>
    <definedName name="rerfdsfsdfd">#REF!</definedName>
    <definedName name="Rev">NA()</definedName>
    <definedName name="revet">NA()</definedName>
    <definedName name="REVETMENT">NA()</definedName>
    <definedName name="Revision">NA()</definedName>
    <definedName name="revision1">NA()</definedName>
    <definedName name="Revt_300">NA()</definedName>
    <definedName name="rfgergreg">"[71]data!#ref!"</definedName>
    <definedName name="rfgsdg">#REF!</definedName>
    <definedName name="rfrefrfrf">"[71]data!#ref!"</definedName>
    <definedName name="rfregreg">"[71]data!#ref!"</definedName>
    <definedName name="rggdg">#REF!</definedName>
    <definedName name="RH">NA()</definedName>
    <definedName name="RHS">NA()</definedName>
    <definedName name="ri">NA()</definedName>
    <definedName name="Ridf4_Prop__2_">NA()</definedName>
    <definedName name="rig">NA()</definedName>
    <definedName name="rii">NA()</definedName>
    <definedName name="riii">NA()</definedName>
    <definedName name="RIIO">NA()</definedName>
    <definedName name="riser_shahbad">NA()</definedName>
    <definedName name="rja">"[397]data!#ref!"</definedName>
    <definedName name="rk">NA()</definedName>
    <definedName name="RNN">"[101]column!#ref!"</definedName>
    <definedName name="road">#REF!</definedName>
    <definedName name="Road_Roller">NA()</definedName>
    <definedName name="Road_Sections_list">#REF!</definedName>
    <definedName name="roar1">#REF!</definedName>
    <definedName name="robot">NA()</definedName>
    <definedName name="ROJU">NA()</definedName>
    <definedName name="Roof_slab___150mm">"[71]works!#ref!"</definedName>
    <definedName name="Roof_slab_150_300mm">"[71]works!#ref!"</definedName>
    <definedName name="room">NA()</definedName>
    <definedName name="Roplant">NA()</definedName>
    <definedName name="rosid">NA()</definedName>
    <definedName name="ROUGH">#REF!</definedName>
    <definedName name="rr">NA()</definedName>
    <definedName name="rr_blast">NA()</definedName>
    <definedName name="rr_stone">NA()</definedName>
    <definedName name="RR_stone_300">NA()</definedName>
    <definedName name="RR_stone_G">NA()</definedName>
    <definedName name="RR_stone_HBG">NA()</definedName>
    <definedName name="RR_stone_O">NA()</definedName>
    <definedName name="RR_stone_OG">NA()</definedName>
    <definedName name="RR_stone_R300">NA()</definedName>
    <definedName name="RR_stone_reG">NA()</definedName>
    <definedName name="rrg">#REF!</definedName>
    <definedName name="rrotg">#REF!</definedName>
    <definedName name="rrr">#REF!</definedName>
    <definedName name="rrrate">#REF!</definedName>
    <definedName name="RRRR">#REF!</definedName>
    <definedName name="rrrrrrrrr">"[71]material!#ref!"</definedName>
    <definedName name="rrs">#REF!</definedName>
    <definedName name="rs">NA()</definedName>
    <definedName name="RSDP">#REF!</definedName>
    <definedName name="rstone">#REF!</definedName>
    <definedName name="rt">#REF!</definedName>
    <definedName name="rtcf">NA()</definedName>
    <definedName name="rtcfo">NA()</definedName>
    <definedName name="rtethbcvv">"[71]works!#ref!"</definedName>
    <definedName name="rtretretrett">"[401]data.f8.btr!#ref!"</definedName>
    <definedName name="rtytyt">NA()</definedName>
    <definedName name="RubberRings">#REF!</definedName>
    <definedName name="rwgregtr">"[71]material!#ref!"</definedName>
    <definedName name="rwm">NA()</definedName>
    <definedName name="rwsrate">#REF!</definedName>
    <definedName name="s">#REF!</definedName>
    <definedName name="S.F" hidden="1">#REF!</definedName>
    <definedName name="S_8">NA()</definedName>
    <definedName name="S_Backfill">#REF!</definedName>
    <definedName name="S_F">NA()</definedName>
    <definedName name="S_Filter">#REF!</definedName>
    <definedName name="S_HYSD_found">#REF!</definedName>
    <definedName name="S_HYSD_sub">#REF!</definedName>
    <definedName name="S_HYSD_super">#REF!</definedName>
    <definedName name="S_L_WALL">NA()</definedName>
    <definedName name="S_M15_footing">#REF!</definedName>
    <definedName name="S_M15_levellingcoarse">#REF!</definedName>
    <definedName name="S_M15_sub">#REF!</definedName>
    <definedName name="S_m20_bed">#REF!</definedName>
    <definedName name="S_M20_slab">#REF!</definedName>
    <definedName name="S_M25_Approachslab">#REF!</definedName>
    <definedName name="S_M30_WC">#REF!</definedName>
    <definedName name="S_No_">NA()</definedName>
    <definedName name="S_R_300">#REF!</definedName>
    <definedName name="S_S_WALL">NA()</definedName>
    <definedName name="S_weepholes">#REF!</definedName>
    <definedName name="S0">NA()</definedName>
    <definedName name="S0_10">NA()</definedName>
    <definedName name="S12_6">"'smb://Venkat/VENKAT''S%20(D)/FILES/2%20KC258%20PASADINA/My%20Documents/zero.xls'#$'p&amp;m'.$H$264:$H$264"</definedName>
    <definedName name="sa">#REF!</definedName>
    <definedName name="saa">"[307]data_bit_i!#ref!"</definedName>
    <definedName name="Saas">"[71]works!#ref!"</definedName>
    <definedName name="sad">#REF!</definedName>
    <definedName name="sadfas">#REF!</definedName>
    <definedName name="Sahabad_stones">"[71]material!#ref!"</definedName>
    <definedName name="sai">NA()</definedName>
    <definedName name="Sal_wood_planks">"[71]material!#ref!"</definedName>
    <definedName name="Sal_wood_scantlins">"[71]material!#ref!"</definedName>
    <definedName name="SALARY">NA()</definedName>
    <definedName name="SALARY_10">NA()</definedName>
    <definedName name="sales2">NA()</definedName>
    <definedName name="sand">#REF!</definedName>
    <definedName name="SAND_D">#REF!</definedName>
    <definedName name="Sand_for_filling_and_blindage">NA()</definedName>
    <definedName name="Sand_for_mortar__ceiling_coat_including_washing_screening_etc_">NA()</definedName>
    <definedName name="Sand_Gravel">NA()</definedName>
    <definedName name="Sand_or_loose_soils_wet_sand_not_under_water__silt_in_canals_channels_and_drains_SS_20_A_">NA()</definedName>
    <definedName name="Sand_screened">NA()</definedName>
    <definedName name="SandF">#REF!</definedName>
    <definedName name="sandfilling">NA()</definedName>
    <definedName name="sandmortar">NA()</definedName>
    <definedName name="sandscreen">NA()</definedName>
    <definedName name="SANITARY">NA()</definedName>
    <definedName name="sanjay">NA()</definedName>
    <definedName name="sanjaythute">NA()</definedName>
    <definedName name="saS">"[71]material!#ref!"</definedName>
    <definedName name="SASA">#REF!</definedName>
    <definedName name="sassssssssssssss">"[71]material!#ref!"</definedName>
    <definedName name="satz1">NA()</definedName>
    <definedName name="satz2">NA()</definedName>
    <definedName name="sb">NA()</definedName>
    <definedName name="sbc">NA()</definedName>
    <definedName name="sbl">NA()</definedName>
    <definedName name="sbw">NA()</definedName>
    <definedName name="sc">#REF!</definedName>
    <definedName name="SC2MV">NA()</definedName>
    <definedName name="Scaff">"[410]boq!#ref!"</definedName>
    <definedName name="scafhire">NA()</definedName>
    <definedName name="scafhirechr">NA()</definedName>
    <definedName name="scafhirechr1_24">NA()</definedName>
    <definedName name="scafhirechr115">NA()</definedName>
    <definedName name="scale">NA()</definedName>
    <definedName name="scfb">NA()</definedName>
    <definedName name="Sched_Pay">NA()</definedName>
    <definedName name="Scheduled_Extra_Payments">NA()</definedName>
    <definedName name="Scheduled_Interest_Rate">NA()</definedName>
    <definedName name="Scheduled_Monthly_Payment">NA()</definedName>
    <definedName name="schools">NA()</definedName>
    <definedName name="scl">NA()</definedName>
    <definedName name="scld">NA()</definedName>
    <definedName name="Scroll">NA()</definedName>
    <definedName name="scw">NA()</definedName>
    <definedName name="SD">#REF!</definedName>
    <definedName name="sdas">"[71]material!#ref!"</definedName>
    <definedName name="Sdate">NA()</definedName>
    <definedName name="sdf">#REF!</definedName>
    <definedName name="sdfe">NA()</definedName>
    <definedName name="sdfgdsgdfg">NA()</definedName>
    <definedName name="sdfsdsdfdf">#REF!</definedName>
    <definedName name="sdfyaehaehae">NA()</definedName>
    <definedName name="sdgfd">NA()</definedName>
    <definedName name="sdpl">NA()</definedName>
    <definedName name="SDPLBS">NA()</definedName>
    <definedName name="SDPLFA">NA()</definedName>
    <definedName name="SDPLPL">NA()</definedName>
    <definedName name="sdsD">NA()</definedName>
    <definedName name="sdsf">"[130]boq!#ref!"</definedName>
    <definedName name="sdsf_6">"'smb://Tender2/d/Vinod/Excel/Tender/Garuda%20Resorts.xls'#$Boq.CX1"</definedName>
    <definedName name="sea">#REF!</definedName>
    <definedName name="searth">NA()</definedName>
    <definedName name="sec">NA()</definedName>
    <definedName name="sec_deposit">NA()</definedName>
    <definedName name="SEComp">#REF!</definedName>
    <definedName name="Second_class_Bricks">NA()</definedName>
    <definedName name="SECTION">NA()</definedName>
    <definedName name="sectorwise">NA()</definedName>
    <definedName name="secured">NA()</definedName>
    <definedName name="see">NA()</definedName>
    <definedName name="sefrdrtg">NA()</definedName>
    <definedName name="SegCharge">NA()</definedName>
    <definedName name="segments">#REF!</definedName>
    <definedName name="seig_earth">NA()</definedName>
    <definedName name="seig_gravel">NA()</definedName>
    <definedName name="seig_metal">NA()</definedName>
    <definedName name="seig_sand">NA()</definedName>
    <definedName name="sein">#REF!</definedName>
    <definedName name="sein1">#REF!</definedName>
    <definedName name="sein4">#REF!</definedName>
    <definedName name="SEK">NA()</definedName>
    <definedName name="sekar">"[93]data!#ref!"</definedName>
    <definedName name="SEM">NA()</definedName>
    <definedName name="SerialOrder">NA()</definedName>
    <definedName name="SeriesOrder">NA()</definedName>
    <definedName name="SES">NA()</definedName>
    <definedName name="sese">#REF!</definedName>
    <definedName name="Setflag">NA()</definedName>
    <definedName name="SEVENTOTHIRTEEN">NA()</definedName>
    <definedName name="sf">#REF!</definedName>
    <definedName name="SGEARTH">NA()</definedName>
    <definedName name="SGGRAVEL">#REF!</definedName>
    <definedName name="sgh">NA()</definedName>
    <definedName name="SGMETAL">#REF!</definedName>
    <definedName name="SGSAND">#REF!</definedName>
    <definedName name="sgsdgsdg">NA()</definedName>
    <definedName name="SGSTONE">NA()</definedName>
    <definedName name="sh0_5">NA()</definedName>
    <definedName name="sh0_6">NA()</definedName>
    <definedName name="sh0_8">NA()</definedName>
    <definedName name="sh1_0">NA()</definedName>
    <definedName name="sh1_2">NA()</definedName>
    <definedName name="Shahabad_slabs_of_Tandur_25_4mm_blue">NA()</definedName>
    <definedName name="Shahabad_slabs_of_Tandur_25_4mm_white">NA()</definedName>
    <definedName name="Shahabad_slabs_of_Tandur_50_8_mm_blue">NA()</definedName>
    <definedName name="Shahabad_slabs_of_Tandur_50_8mm_white">NA()</definedName>
    <definedName name="shape">NA()</definedName>
    <definedName name="SHARED_FORMULA_1_11_1_11_26">#REF!</definedName>
    <definedName name="SHARED_FORMULA_1_11_1_11_30">#REF!</definedName>
    <definedName name="SHARED_FORMULA_1_153_1_153_26">NA()</definedName>
    <definedName name="SHARED_FORMULA_1_156_1_156_26">CONCATENATE(#REF!,"-",#REF!,"m x ",#REF!,"m")</definedName>
    <definedName name="SHARED_FORMULA_1_161_1_161_26">NA()</definedName>
    <definedName name="SHARED_FORMULA_1_164_1_164_26">+#REF!</definedName>
    <definedName name="SHARED_FORMULA_1_204_1_204_37">NA()</definedName>
    <definedName name="SHARED_FORMULA_1_21_1_21_22">+#REF!</definedName>
    <definedName name="SHARED_FORMULA_1_21_1_21_33">+#REF!</definedName>
    <definedName name="SHARED_FORMULA_1_24_1_24_37">+#REF!</definedName>
    <definedName name="SHARED_FORMULA_1_28_1_28_33">+#REF!</definedName>
    <definedName name="SHARED_FORMULA_1_31_1_31_22">+#REF!</definedName>
    <definedName name="SHARED_FORMULA_1_31_1_31_37">+#REF!</definedName>
    <definedName name="SHARED_FORMULA_1_335_1_335_37">NA()</definedName>
    <definedName name="SHARED_FORMULA_1_34_1_34_22">NA()</definedName>
    <definedName name="SHARED_FORMULA_1_34_1_34_26">+#REF!</definedName>
    <definedName name="SHARED_FORMULA_1_344_1_344_37">NA()</definedName>
    <definedName name="SHARED_FORMULA_1_37_1_37_26">NA()</definedName>
    <definedName name="SHARED_FORMULA_1_38_1_38_30">+#REF!</definedName>
    <definedName name="SHARED_FORMULA_1_4_1_4_26">+#REF!</definedName>
    <definedName name="SHARED_FORMULA_1_409_1_409_30">NA()</definedName>
    <definedName name="SHARED_FORMULA_1_41_1_41_30">NA()</definedName>
    <definedName name="SHARED_FORMULA_1_46_1_46_22">+#REF!</definedName>
    <definedName name="SHARED_FORMULA_1_49_1_49_22">NA()</definedName>
    <definedName name="SHARED_FORMULA_1_5_1_5_22">+#REF!</definedName>
    <definedName name="SHARED_FORMULA_1_57_1_57_30">+#REF!</definedName>
    <definedName name="SHARED_FORMULA_1_60_1_60_30">NA()</definedName>
    <definedName name="SHARED_FORMULA_1_63_1_63_26">+#REF!</definedName>
    <definedName name="SHARED_FORMULA_1_66_1_66_26">NA()</definedName>
    <definedName name="SHARED_FORMULA_1_7_1_7_33">+#REF!</definedName>
    <definedName name="SHARED_FORMULA_1_801_1_801_22">NA()</definedName>
    <definedName name="SHARED_FORMULA_1_860_1_860_22">NA()</definedName>
    <definedName name="SHARED_FORMULA_1_9_1_9_37">+#REF!</definedName>
    <definedName name="SHARED_FORMULA_10_114_10_114_26">+#REF!*#REF!</definedName>
    <definedName name="SHARED_FORMULA_10_117_10_117_26">NA()</definedName>
    <definedName name="SHARED_FORMULA_10_3_10_3_25">NA()</definedName>
    <definedName name="SHARED_FORMULA_10_388_10_388_22">0.425</definedName>
    <definedName name="SHARED_FORMULA_10_401_10_401_22">0.425</definedName>
    <definedName name="SHARED_FORMULA_10_405_10_405_22">0.425</definedName>
    <definedName name="SHARED_FORMULA_10_420_10_420_22">0.425</definedName>
    <definedName name="SHARED_FORMULA_10_425_10_425_22">0.425</definedName>
    <definedName name="SHARED_FORMULA_10_449_10_449_22">0.425</definedName>
    <definedName name="SHARED_FORMULA_10_465_10_465_22">0.425</definedName>
    <definedName name="SHARED_FORMULA_10_476_10_476_22">0.425</definedName>
    <definedName name="SHARED_FORMULA_10_479_10_479_22">0.425</definedName>
    <definedName name="SHARED_FORMULA_10_484_10_484_22">0.425</definedName>
    <definedName name="SHARED_FORMULA_10_508_10_508_22">0.425</definedName>
    <definedName name="SHARED_FORMULA_10_524_10_524_22">0.425</definedName>
    <definedName name="SHARED_FORMULA_10_538_10_538_22">0.425</definedName>
    <definedName name="SHARED_FORMULA_10_542_10_542_22">0.425</definedName>
    <definedName name="SHARED_FORMULA_10_566_10_566_22">0.425</definedName>
    <definedName name="SHARED_FORMULA_10_582_10_582_22">0.425</definedName>
    <definedName name="SHARED_FORMULA_10_596_10_596_22">0.425</definedName>
    <definedName name="SHARED_FORMULA_10_600_10_600_22">0.425</definedName>
    <definedName name="SHARED_FORMULA_11_101_11_101_21">+#REF!/10^5</definedName>
    <definedName name="SHARED_FORMULA_11_110_11_110_29">NA()</definedName>
    <definedName name="SHARED_FORMULA_11_112_11_112_25">NA()</definedName>
    <definedName name="SHARED_FORMULA_11_113_11_113_29">+#REF!/10^5</definedName>
    <definedName name="SHARED_FORMULA_11_116_11_116_21">NA()</definedName>
    <definedName name="SHARED_FORMULA_11_125_11_125_21">+#REF!/10^5</definedName>
    <definedName name="SHARED_FORMULA_11_132_11_132_21">+#REF!/10^5</definedName>
    <definedName name="SHARED_FORMULA_11_136_11_136_29">NA()</definedName>
    <definedName name="SHARED_FORMULA_11_144_11_144_25">NA()</definedName>
    <definedName name="SHARED_FORMULA_11_157_11_157_21">NA()</definedName>
    <definedName name="SHARED_FORMULA_11_167_11_167_21">+#REF!/10^5</definedName>
    <definedName name="SHARED_FORMULA_11_182_11_182_25">NA()</definedName>
    <definedName name="SHARED_FORMULA_11_185_11_185_21">+#REF!/10^5</definedName>
    <definedName name="SHARED_FORMULA_11_189_11_189_21">NA()</definedName>
    <definedName name="SHARED_FORMULA_11_28_11_28_21">+#REF!/10^5</definedName>
    <definedName name="SHARED_FORMULA_11_3_11_3_21">+#REF!/10^5</definedName>
    <definedName name="SHARED_FORMULA_11_3_11_3_25">NA()</definedName>
    <definedName name="SHARED_FORMULA_11_3_11_3_29">+#REF!/10^5</definedName>
    <definedName name="SHARED_FORMULA_11_35_11_35_21">NA()</definedName>
    <definedName name="SHARED_FORMULA_11_35_11_35_25">NA()</definedName>
    <definedName name="SHARED_FORMULA_11_44_11_44_29">+#REF!/10^5</definedName>
    <definedName name="SHARED_FORMULA_11_46_11_46_29">NA()</definedName>
    <definedName name="SHARED_FORMULA_11_60_11_60_21">+#REF!/10^5</definedName>
    <definedName name="SHARED_FORMULA_11_67_11_67_21">NA()</definedName>
    <definedName name="SHARED_FORMULA_11_78_11_78_29">NA()</definedName>
    <definedName name="SHARED_FORMULA_11_80_11_80_25">NA()</definedName>
    <definedName name="SHARED_FORMULA_11_81_11_81_29">+#REF!/10^5</definedName>
    <definedName name="SHARED_FORMULA_11_84_11_84_21">NA()</definedName>
    <definedName name="SHARED_FORMULA_11_88_11_88_21">+#REF!/10^5</definedName>
    <definedName name="SHARED_FORMULA_12_123_12_123_11">NA()</definedName>
    <definedName name="SHARED_FORMULA_14_10_14_10_18">+#REF!*#REF!</definedName>
    <definedName name="SHARED_FORMULA_14_50_14_50_18">+#REF!*#REF!</definedName>
    <definedName name="SHARED_FORMULA_14_52_14_52_18">NA()</definedName>
    <definedName name="SHARED_FORMULA_15_13_15_13_17">SUM(#REF!)</definedName>
    <definedName name="SHARED_FORMULA_18_13_18_13_17">IF(#REF!=10,"Ten",IF(#REF!=1,"ONE",""))</definedName>
    <definedName name="SHARED_FORMULA_19_13_19_13_17">#REF!</definedName>
    <definedName name="SHARED_FORMULA_2_2043_2_2043_22">5</definedName>
    <definedName name="SHARED_FORMULA_2_2058_2_2058_22">24</definedName>
    <definedName name="SHARED_FORMULA_2_2064_2_2064_22">2</definedName>
    <definedName name="SHARED_FORMULA_2_6_2_6_30">+#REF!</definedName>
    <definedName name="SHARED_FORMULA_21_13_21_13_17">#REF!*#REF!/#REF!</definedName>
    <definedName name="SHARED_FORMULA_21_273_21_273_17">NA()</definedName>
    <definedName name="SHARED_FORMULA_21_289_21_289_17">SUM(#REF!)</definedName>
    <definedName name="SHARED_FORMULA_21_291_21_291_17">+#REF!-#REF!</definedName>
    <definedName name="SHARED_FORMULA_22_101_22_101_17">NA()</definedName>
    <definedName name="SHARED_FORMULA_22_103_22_103_17">+#REF!*#REF!</definedName>
    <definedName name="SHARED_FORMULA_22_105_22_105_17">NA()</definedName>
    <definedName name="SHARED_FORMULA_22_108_22_108_17">+#REF!*#REF!</definedName>
    <definedName name="SHARED_FORMULA_22_110_22_110_17">NA()</definedName>
    <definedName name="SHARED_FORMULA_22_114_22_114_17">+#REF!*#REF!</definedName>
    <definedName name="SHARED_FORMULA_22_118_22_118_17">+#REF!*#REF!</definedName>
    <definedName name="SHARED_FORMULA_22_122_22_122_17">+#REF!*#REF!</definedName>
    <definedName name="SHARED_FORMULA_22_123_22_123_17">NA()</definedName>
    <definedName name="SHARED_FORMULA_22_128_22_128_17">+#REF!*#REF!</definedName>
    <definedName name="SHARED_FORMULA_22_13_22_13_17">+#REF!*#REF!</definedName>
    <definedName name="SHARED_FORMULA_22_133_22_133_17">+#REF!*#REF!</definedName>
    <definedName name="SHARED_FORMULA_22_138_22_138_17">NA()</definedName>
    <definedName name="SHARED_FORMULA_22_139_22_139_17">+#REF!*#REF!</definedName>
    <definedName name="SHARED_FORMULA_22_144_22_144_17">NA()</definedName>
    <definedName name="SHARED_FORMULA_22_145_22_145_17">+#REF!*#REF!</definedName>
    <definedName name="SHARED_FORMULA_22_146_22_146_17">NA()</definedName>
    <definedName name="SHARED_FORMULA_22_148_22_148_17">NA()</definedName>
    <definedName name="SHARED_FORMULA_22_150_22_150_17">+#REF!*#REF!</definedName>
    <definedName name="SHARED_FORMULA_22_153_22_153_17">NA()</definedName>
    <definedName name="SHARED_FORMULA_22_157_22_157_17">+#REF!*#REF!</definedName>
    <definedName name="SHARED_FORMULA_22_158_22_158_17">NA()</definedName>
    <definedName name="SHARED_FORMULA_22_159_22_159_17">+#REF!*#REF!</definedName>
    <definedName name="SHARED_FORMULA_22_161_22_161_17">+#REF!*#REF!</definedName>
    <definedName name="SHARED_FORMULA_22_162_22_162_17">NA()</definedName>
    <definedName name="SHARED_FORMULA_22_166_22_166_17">+#REF!*#REF!</definedName>
    <definedName name="SHARED_FORMULA_22_171_22_171_17">+#REF!*#REF!</definedName>
    <definedName name="SHARED_FORMULA_22_173_22_173_17">NA()</definedName>
    <definedName name="SHARED_FORMULA_22_175_22_175_17">+#REF!*#REF!</definedName>
    <definedName name="SHARED_FORMULA_22_177_22_177_17">NA()</definedName>
    <definedName name="SHARED_FORMULA_22_179_22_179_17">+#REF!*#REF!</definedName>
    <definedName name="SHARED_FORMULA_22_183_22_183_17">NA()</definedName>
    <definedName name="SHARED_FORMULA_22_184_22_184_17">+#REF!*#REF!</definedName>
    <definedName name="SHARED_FORMULA_22_186_22_186_17">+#REF!*#REF!</definedName>
    <definedName name="SHARED_FORMULA_22_187_22_187_17">NA()</definedName>
    <definedName name="SHARED_FORMULA_22_190_22_190_17">+#REF!*#REF!</definedName>
    <definedName name="SHARED_FORMULA_22_191_22_191_17">NA()</definedName>
    <definedName name="SHARED_FORMULA_22_196_22_196_17">+#REF!*#REF!</definedName>
    <definedName name="SHARED_FORMULA_22_199_22_199_17">NA()</definedName>
    <definedName name="SHARED_FORMULA_22_20_22_20_17">+#REF!*#REF!</definedName>
    <definedName name="SHARED_FORMULA_22_201_22_201_17">+#REF!*#REF!</definedName>
    <definedName name="SHARED_FORMULA_22_203_22_203_17">NA()</definedName>
    <definedName name="SHARED_FORMULA_22_205_22_205_17">NA()</definedName>
    <definedName name="SHARED_FORMULA_22_206_22_206_17">+#REF!*#REF!</definedName>
    <definedName name="SHARED_FORMULA_22_207_22_207_17">NA()</definedName>
    <definedName name="SHARED_FORMULA_22_209_22_209_17">NA()</definedName>
    <definedName name="SHARED_FORMULA_22_21_22_21_17">NA()</definedName>
    <definedName name="SHARED_FORMULA_22_211_22_211_17">+#REF!*#REF!</definedName>
    <definedName name="SHARED_FORMULA_22_212_22_212_17">NA()</definedName>
    <definedName name="SHARED_FORMULA_22_214_22_214_17">+#REF!*#REF!</definedName>
    <definedName name="SHARED_FORMULA_22_215_22_215_17">NA()</definedName>
    <definedName name="SHARED_FORMULA_22_216_22_216_17">+#REF!*#REF!</definedName>
    <definedName name="SHARED_FORMULA_22_218_22_218_17">+#REF!*#REF!</definedName>
    <definedName name="SHARED_FORMULA_22_220_22_220_17">+#REF!*#REF!</definedName>
    <definedName name="SHARED_FORMULA_22_222_22_222_17">+#REF!*#REF!</definedName>
    <definedName name="SHARED_FORMULA_22_224_22_224_17">+#REF!*#REF!</definedName>
    <definedName name="SHARED_FORMULA_22_226_22_226_17">+#REF!*#REF!</definedName>
    <definedName name="SHARED_FORMULA_22_229_22_229_17">+#REF!*#REF!</definedName>
    <definedName name="SHARED_FORMULA_22_232_22_232_17">+#REF!*#REF!</definedName>
    <definedName name="SHARED_FORMULA_22_235_22_235_17">+#REF!*#REF!</definedName>
    <definedName name="SHARED_FORMULA_22_236_22_236_17">NA()</definedName>
    <definedName name="SHARED_FORMULA_22_237_22_237_17">+#REF!*#REF!</definedName>
    <definedName name="SHARED_FORMULA_22_238_22_238_17">NA()</definedName>
    <definedName name="SHARED_FORMULA_22_239_22_239_17">+#REF!*#REF!</definedName>
    <definedName name="SHARED_FORMULA_22_240_22_240_17">NA()</definedName>
    <definedName name="SHARED_FORMULA_22_241_22_241_17">+#REF!*#REF!</definedName>
    <definedName name="SHARED_FORMULA_22_243_22_243_17">+#REF!*#REF!</definedName>
    <definedName name="SHARED_FORMULA_22_245_22_245_17">NA()</definedName>
    <definedName name="SHARED_FORMULA_22_246_22_246_17">+#REF!*#REF!</definedName>
    <definedName name="SHARED_FORMULA_22_248_22_248_17">NA()</definedName>
    <definedName name="SHARED_FORMULA_22_249_22_249_17">+#REF!*#REF!</definedName>
    <definedName name="SHARED_FORMULA_22_25_22_25_17">+#REF!*#REF!</definedName>
    <definedName name="SHARED_FORMULA_22_250_22_250_17">NA()</definedName>
    <definedName name="SHARED_FORMULA_22_252_22_252_17">NA()</definedName>
    <definedName name="SHARED_FORMULA_22_253_22_253_17">+#REF!*#REF!</definedName>
    <definedName name="SHARED_FORMULA_22_254_22_254_17">NA()</definedName>
    <definedName name="SHARED_FORMULA_22_255_22_255_17">+#REF!*#REF!</definedName>
    <definedName name="SHARED_FORMULA_22_257_22_257_17">+#REF!*#REF!</definedName>
    <definedName name="SHARED_FORMULA_22_26_22_26_17">NA()</definedName>
    <definedName name="SHARED_FORMULA_22_260_22_260_17">NA()</definedName>
    <definedName name="SHARED_FORMULA_22_262_22_262_17">+#REF!*#REF!</definedName>
    <definedName name="SHARED_FORMULA_22_263_22_263_17">NA()</definedName>
    <definedName name="SHARED_FORMULA_22_265_22_265_17">NA()</definedName>
    <definedName name="SHARED_FORMULA_22_267_22_267_17">+#REF!*#REF!</definedName>
    <definedName name="SHARED_FORMULA_22_269_22_269_17">NA()</definedName>
    <definedName name="SHARED_FORMULA_22_270_22_270_17">+#REF!*#REF!</definedName>
    <definedName name="SHARED_FORMULA_22_271_22_271_17">NA()</definedName>
    <definedName name="SHARED_FORMULA_22_273_22_273_17">+#REF!*#REF!</definedName>
    <definedName name="SHARED_FORMULA_22_275_22_275_17">NA()</definedName>
    <definedName name="SHARED_FORMULA_22_276_22_276_17">+#REF!*#REF!</definedName>
    <definedName name="SHARED_FORMULA_22_278_22_278_17">+#REF!*#REF!</definedName>
    <definedName name="SHARED_FORMULA_22_280_22_280_17">+#REF!*#REF!</definedName>
    <definedName name="SHARED_FORMULA_22_282_22_282_17">+#REF!*#REF!</definedName>
    <definedName name="SHARED_FORMULA_22_284_22_284_17">+#REF!*#REF!</definedName>
    <definedName name="SHARED_FORMULA_22_286_22_286_17">+#REF!*#REF!</definedName>
    <definedName name="SHARED_FORMULA_22_31_22_31_17">+#REF!*#REF!</definedName>
    <definedName name="SHARED_FORMULA_22_33_22_33_17">+#REF!*#REF!</definedName>
    <definedName name="SHARED_FORMULA_22_35_22_35_17">NA()</definedName>
    <definedName name="SHARED_FORMULA_22_36_22_36_17">+#REF!*#REF!</definedName>
    <definedName name="SHARED_FORMULA_22_37_22_37_17">NA()</definedName>
    <definedName name="SHARED_FORMULA_22_40_22_40_17">NA()</definedName>
    <definedName name="SHARED_FORMULA_22_41_22_41_17">+#REF!*#REF!</definedName>
    <definedName name="SHARED_FORMULA_22_44_22_44_17">+#REF!*#REF!</definedName>
    <definedName name="SHARED_FORMULA_22_45_22_45_17">NA()</definedName>
    <definedName name="SHARED_FORMULA_22_48_22_48_17">NA()</definedName>
    <definedName name="SHARED_FORMULA_22_49_22_49_17">+#REF!*#REF!</definedName>
    <definedName name="SHARED_FORMULA_22_52_22_52_17">NA()</definedName>
    <definedName name="SHARED_FORMULA_22_55_22_55_17">+#REF!*#REF!</definedName>
    <definedName name="SHARED_FORMULA_22_57_22_57_17">+#REF!*#REF!</definedName>
    <definedName name="SHARED_FORMULA_22_59_22_59_17">NA()</definedName>
    <definedName name="SHARED_FORMULA_22_61_22_61_17">+#REF!*#REF!</definedName>
    <definedName name="SHARED_FORMULA_22_62_22_62_17">NA()</definedName>
    <definedName name="SHARED_FORMULA_22_67_22_67_17">+#REF!*#REF!</definedName>
    <definedName name="SHARED_FORMULA_22_72_22_72_17">NA()</definedName>
    <definedName name="SHARED_FORMULA_22_73_22_73_17">+#REF!*#REF!</definedName>
    <definedName name="SHARED_FORMULA_22_78_22_78_17">NA()</definedName>
    <definedName name="SHARED_FORMULA_22_80_22_80_17">+#REF!*#REF!</definedName>
    <definedName name="SHARED_FORMULA_22_83_22_83_17">NA()</definedName>
    <definedName name="SHARED_FORMULA_22_85_22_85_17">+#REF!*#REF!</definedName>
    <definedName name="SHARED_FORMULA_22_87_22_87_17">+#REF!*#REF!</definedName>
    <definedName name="SHARED_FORMULA_22_90_22_90_17">NA()</definedName>
    <definedName name="SHARED_FORMULA_22_92_22_92_17">+#REF!*#REF!</definedName>
    <definedName name="SHARED_FORMULA_22_96_22_96_17">NA()</definedName>
    <definedName name="SHARED_FORMULA_22_98_22_98_17">+#REF!*#REF!</definedName>
    <definedName name="SHARED_FORMULA_23_181_23_181_17">NA()</definedName>
    <definedName name="SHARED_FORMULA_23_197_23_197_17">NA()</definedName>
    <definedName name="SHARED_FORMULA_23_210_23_210_17">NA()</definedName>
    <definedName name="SHARED_FORMULA_23_213_23_213_17">NA()</definedName>
    <definedName name="SHARED_FORMULA_23_216_23_216_17">NA()</definedName>
    <definedName name="SHARED_FORMULA_23_230_23_230_17">NA()</definedName>
    <definedName name="SHARED_FORMULA_23_24_23_24_17">NA()</definedName>
    <definedName name="SHARED_FORMULA_23_258_23_258_17">NA()</definedName>
    <definedName name="SHARED_FORMULA_23_261_23_261_17">NA()</definedName>
    <definedName name="SHARED_FORMULA_23_38_23_38_17">NA()</definedName>
    <definedName name="SHARED_FORMULA_23_65_23_65_17">NA()</definedName>
    <definedName name="SHARED_FORMULA_23_76_23_76_17">NA()</definedName>
    <definedName name="SHARED_FORMULA_24_194_24_194_17">+#REF!/10^5</definedName>
    <definedName name="SHARED_FORMULA_24_212_24_212_17">+#REF!/10^5</definedName>
    <definedName name="SHARED_FORMULA_24_227_24_227_17">+#REF!/10^5</definedName>
    <definedName name="SHARED_FORMULA_24_23_24_23_17">+#REF!/10^5</definedName>
    <definedName name="SHARED_FORMULA_24_230_24_230_17">+#REF!/10^5</definedName>
    <definedName name="SHARED_FORMULA_24_233_24_233_17">+#REF!/10^5</definedName>
    <definedName name="SHARED_FORMULA_24_247_24_247_17">+#REF!/10^5</definedName>
    <definedName name="SHARED_FORMULA_24_251_24_251_17">+#REF!/10^5</definedName>
    <definedName name="SHARED_FORMULA_24_271_24_271_17">+#REF!/10^5</definedName>
    <definedName name="SHARED_FORMULA_24_274_24_274_17">+#REF!/10^5</definedName>
    <definedName name="SHARED_FORMULA_24_34_24_34_17">+#REF!/10^5</definedName>
    <definedName name="SHARED_FORMULA_24_65_24_65_17">+#REF!/10^5</definedName>
    <definedName name="SHARED_FORMULA_24_78_24_78_17">+#REF!/10^5</definedName>
    <definedName name="SHARED_FORMULA_3_1045_3_1045_0">NA()</definedName>
    <definedName name="SHARED_FORMULA_3_1067_3_1067_0">NA()</definedName>
    <definedName name="SHARED_FORMULA_3_1088_3_1088_0">NA()</definedName>
    <definedName name="SHARED_FORMULA_3_11_3_11_26">#REF!</definedName>
    <definedName name="SHARED_FORMULA_3_11_3_11_30">#REF!</definedName>
    <definedName name="SHARED_FORMULA_3_1115_3_1115_0">NA()</definedName>
    <definedName name="SHARED_FORMULA_3_1141_3_1141_0">NA()</definedName>
    <definedName name="SHARED_FORMULA_3_1167_3_1167_0">NA()</definedName>
    <definedName name="SHARED_FORMULA_3_119_3_119_8">NA()</definedName>
    <definedName name="SHARED_FORMULA_3_1195_3_1195_0">NA()</definedName>
    <definedName name="SHARED_FORMULA_3_1199_3_1199_13">2+2</definedName>
    <definedName name="SHARED_FORMULA_3_1206_3_1206_0">NA()</definedName>
    <definedName name="SHARED_FORMULA_3_122_3_122_7">#REF!</definedName>
    <definedName name="SHARED_FORMULA_3_1234_3_1234_0">NA()</definedName>
    <definedName name="SHARED_FORMULA_3_1245_3_1245_0">NA()</definedName>
    <definedName name="SHARED_FORMULA_3_1275_3_1275_0">NA()</definedName>
    <definedName name="SHARED_FORMULA_3_1297_3_1297_0">NA()</definedName>
    <definedName name="SHARED_FORMULA_3_1321_3_1321_0">NA()</definedName>
    <definedName name="SHARED_FORMULA_3_1342_3_1342_0">NA()</definedName>
    <definedName name="SHARED_FORMULA_3_1368_3_1368_0">NA()</definedName>
    <definedName name="SHARED_FORMULA_3_139_3_139_13">0.23</definedName>
    <definedName name="SHARED_FORMULA_3_140_3_140_18">1</definedName>
    <definedName name="SHARED_FORMULA_3_1402_3_1402_7">1+1</definedName>
    <definedName name="SHARED_FORMULA_3_143_3_143_11">0.23</definedName>
    <definedName name="SHARED_FORMULA_3_144_3_144_22">1</definedName>
    <definedName name="SHARED_FORMULA_3_145_3_145_8">NA()</definedName>
    <definedName name="SHARED_FORMULA_3_148_3_148_7">NA()</definedName>
    <definedName name="SHARED_FORMULA_3_1488_3_1488_0">220*3.33</definedName>
    <definedName name="SHARED_FORMULA_3_155_3_155_13">0.23</definedName>
    <definedName name="SHARED_FORMULA_3_16_3_16_33">+#REF!</definedName>
    <definedName name="SHARED_FORMULA_3_161_3_161_11">0.23</definedName>
    <definedName name="SHARED_FORMULA_3_161_3_161_26">NA()</definedName>
    <definedName name="SHARED_FORMULA_3_164_3_164_26">+#REF!</definedName>
    <definedName name="SHARED_FORMULA_3_17_3_17_22">+#REF!</definedName>
    <definedName name="SHARED_FORMULA_3_172_3_172_30">NA()</definedName>
    <definedName name="SHARED_FORMULA_3_174_3_174_11">1+1+0.23</definedName>
    <definedName name="SHARED_FORMULA_3_177_3_177_30">+#REF!</definedName>
    <definedName name="SHARED_FORMULA_3_1788_3_1788_6">NA()</definedName>
    <definedName name="SHARED_FORMULA_3_1791_3_1791_6">NA()</definedName>
    <definedName name="SHARED_FORMULA_3_1792_3_1792_6">NA()</definedName>
    <definedName name="SHARED_FORMULA_3_1793_3_1793_6">NA()</definedName>
    <definedName name="SHARED_FORMULA_3_1794_3_1794_6">NA()</definedName>
    <definedName name="SHARED_FORMULA_3_1795_3_1795_6">NA()</definedName>
    <definedName name="SHARED_FORMULA_3_1816_3_1816_6">NA()</definedName>
    <definedName name="SHARED_FORMULA_3_1819_3_1819_6">NA()</definedName>
    <definedName name="SHARED_FORMULA_3_1820_3_1820_6">NA()</definedName>
    <definedName name="SHARED_FORMULA_3_1821_3_1821_6">NA()</definedName>
    <definedName name="SHARED_FORMULA_3_1822_3_1822_6">NA()</definedName>
    <definedName name="SHARED_FORMULA_3_1823_3_1823_6">NA()</definedName>
    <definedName name="SHARED_FORMULA_3_1843_3_1843_6">NA()</definedName>
    <definedName name="SHARED_FORMULA_3_1846_3_1846_6">NA()</definedName>
    <definedName name="SHARED_FORMULA_3_1847_3_1847_6">NA()</definedName>
    <definedName name="SHARED_FORMULA_3_1848_3_1848_6">NA()</definedName>
    <definedName name="SHARED_FORMULA_3_1849_3_1849_6">NA()</definedName>
    <definedName name="SHARED_FORMULA_3_1850_3_1850_6">NA()</definedName>
    <definedName name="SHARED_FORMULA_3_187_3_187_18">1</definedName>
    <definedName name="SHARED_FORMULA_3_203_3_203_9">1</definedName>
    <definedName name="SHARED_FORMULA_3_209_3_209_22">+#REF!</definedName>
    <definedName name="SHARED_FORMULA_3_21_3_21_33">+#REF!</definedName>
    <definedName name="SHARED_FORMULA_3_213_3_213_22">NA()</definedName>
    <definedName name="SHARED_FORMULA_3_216_3_216_22">+#REF!</definedName>
    <definedName name="SHARED_FORMULA_3_218_3_218_9">1</definedName>
    <definedName name="SHARED_FORMULA_3_220_3_220_22">NA()</definedName>
    <definedName name="SHARED_FORMULA_3_220_3_220_26">NA()</definedName>
    <definedName name="SHARED_FORMULA_3_221_3_221_37">NA()</definedName>
    <definedName name="SHARED_FORMULA_3_223_3_223_26">+#REF!</definedName>
    <definedName name="SHARED_FORMULA_3_224_3_224_9">1</definedName>
    <definedName name="SHARED_FORMULA_3_232_3_232_9">1</definedName>
    <definedName name="SHARED_FORMULA_3_236_3_236_26">NA()</definedName>
    <definedName name="SHARED_FORMULA_3_239_3_239_26">+#REF!</definedName>
    <definedName name="SHARED_FORMULA_3_24_3_24_37">+#REF!</definedName>
    <definedName name="SHARED_FORMULA_3_246_3_246_9">1</definedName>
    <definedName name="SHARED_FORMULA_3_251_3_251_9">1</definedName>
    <definedName name="SHARED_FORMULA_3_261_3_261_22">+ROUNDUP(3.3/0.15,0)</definedName>
    <definedName name="SHARED_FORMULA_3_261_3_261_9">1</definedName>
    <definedName name="SHARED_FORMULA_3_2613_3_2613_7">1+1</definedName>
    <definedName name="SHARED_FORMULA_3_264_3_264_0">NA()</definedName>
    <definedName name="SHARED_FORMULA_3_265_3_265_22">+ROUNDUP(3.3/0.15,0)</definedName>
    <definedName name="SHARED_FORMULA_3_267_3_267_9">1</definedName>
    <definedName name="SHARED_FORMULA_3_268_3_268_22">+ROUNDUP(3.3/0.15,0)</definedName>
    <definedName name="SHARED_FORMULA_3_268_3_268_33">NA()</definedName>
    <definedName name="SHARED_FORMULA_3_2696_3_2696_7">1+1</definedName>
    <definedName name="SHARED_FORMULA_3_271_3_271_22">+ROUNDUP(3.3/0.15,0)</definedName>
    <definedName name="SHARED_FORMULA_3_274_3_274_33">+#REF!</definedName>
    <definedName name="SHARED_FORMULA_3_275_3_275_9">1</definedName>
    <definedName name="SHARED_FORMULA_3_28_3_28_33">+#REF!</definedName>
    <definedName name="SHARED_FORMULA_3_2870_3_2870_7">1+1</definedName>
    <definedName name="SHARED_FORMULA_3_289_3_289_9">1</definedName>
    <definedName name="SHARED_FORMULA_3_293_3_293_9">1</definedName>
    <definedName name="SHARED_FORMULA_3_297_3_297_9">1</definedName>
    <definedName name="SHARED_FORMULA_3_306_3_306_9">1</definedName>
    <definedName name="SHARED_FORMULA_3_31_3_31_22">+#REF!</definedName>
    <definedName name="SHARED_FORMULA_3_31_3_31_30">+#REF!</definedName>
    <definedName name="SHARED_FORMULA_3_312_3_312_9">1</definedName>
    <definedName name="SHARED_FORMULA_3_319_3_319_0">NA()</definedName>
    <definedName name="SHARED_FORMULA_3_32_3_32_37">+#REF!</definedName>
    <definedName name="SHARED_FORMULA_3_320_3_320_9">1</definedName>
    <definedName name="SHARED_FORMULA_3_337_3_337_22">1</definedName>
    <definedName name="SHARED_FORMULA_3_34_3_34_22">NA()</definedName>
    <definedName name="SHARED_FORMULA_3_34_3_34_30">NA()</definedName>
    <definedName name="SHARED_FORMULA_3_353_3_353_22">1</definedName>
    <definedName name="SHARED_FORMULA_3_368_3_368_22">1</definedName>
    <definedName name="SHARED_FORMULA_3_38_3_38_30">#REF!</definedName>
    <definedName name="SHARED_FORMULA_3_388_3_388_22">1</definedName>
    <definedName name="SHARED_FORMULA_3_39_3_39_37">+#REF!</definedName>
    <definedName name="SHARED_FORMULA_3_39_3_39_8">NA()</definedName>
    <definedName name="SHARED_FORMULA_3_401_3_401_22">1</definedName>
    <definedName name="SHARED_FORMULA_3_403_3_403_0">NA()</definedName>
    <definedName name="SHARED_FORMULA_3_405_3_405_22">1</definedName>
    <definedName name="SHARED_FORMULA_3_41_3_41_30">NA()</definedName>
    <definedName name="SHARED_FORMULA_3_415_3_415_0">NA()</definedName>
    <definedName name="SHARED_FORMULA_3_425_3_425_22">1</definedName>
    <definedName name="SHARED_FORMULA_3_444_3_444_7">1</definedName>
    <definedName name="SHARED_FORMULA_3_449_3_449_22">1</definedName>
    <definedName name="SHARED_FORMULA_3_452_3_452_0">NA()</definedName>
    <definedName name="SHARED_FORMULA_3_46_3_46_22">+#REF!</definedName>
    <definedName name="SHARED_FORMULA_3_460_3_460_7">1</definedName>
    <definedName name="SHARED_FORMULA_3_462_3_462_37">NA()</definedName>
    <definedName name="SHARED_FORMULA_3_464_3_464_0">NA()</definedName>
    <definedName name="SHARED_FORMULA_3_465_3_465_22">1</definedName>
    <definedName name="SHARED_FORMULA_3_473_3_473_22">1</definedName>
    <definedName name="SHARED_FORMULA_3_480_3_480_7">1</definedName>
    <definedName name="SHARED_FORMULA_3_484_3_484_22">1</definedName>
    <definedName name="SHARED_FORMULA_3_489_3_489_26">NA()</definedName>
    <definedName name="SHARED_FORMULA_3_49_3_49_22">NA()</definedName>
    <definedName name="SHARED_FORMULA_3_493_3_493_26">NA()</definedName>
    <definedName name="SHARED_FORMULA_3_5_3_5_22">+#REF!</definedName>
    <definedName name="SHARED_FORMULA_3_500_3_500_0">NA()</definedName>
    <definedName name="SHARED_FORMULA_3_503_3_503_37">+#REF!</definedName>
    <definedName name="SHARED_FORMULA_3_508_3_508_22">1</definedName>
    <definedName name="SHARED_FORMULA_3_514_3_514_0">NA()</definedName>
    <definedName name="SHARED_FORMULA_3_515_3_515_7">1</definedName>
    <definedName name="SHARED_FORMULA_3_517_3_517_26">+#REF!</definedName>
    <definedName name="SHARED_FORMULA_3_521_3_521_26">+#REF!</definedName>
    <definedName name="SHARED_FORMULA_3_524_3_524_22">1</definedName>
    <definedName name="SHARED_FORMULA_3_527_3_527_0">NA()</definedName>
    <definedName name="SHARED_FORMULA_3_531_3_531_7">1</definedName>
    <definedName name="SHARED_FORMULA_3_532_3_532_22">1</definedName>
    <definedName name="SHARED_FORMULA_3_533_3_533_20">1</definedName>
    <definedName name="SHARED_FORMULA_3_538_3_538_20">1</definedName>
    <definedName name="SHARED_FORMULA_3_540_3_540_0">NA()</definedName>
    <definedName name="SHARED_FORMULA_3_542_3_542_22">1</definedName>
    <definedName name="SHARED_FORMULA_3_545_3_545_7">1</definedName>
    <definedName name="SHARED_FORMULA_3_558_3_558_7">1</definedName>
    <definedName name="SHARED_FORMULA_3_566_3_566_22">1</definedName>
    <definedName name="SHARED_FORMULA_3_569_3_569_0">NA()</definedName>
    <definedName name="SHARED_FORMULA_3_57_3_57_30">+#REF!</definedName>
    <definedName name="SHARED_FORMULA_3_582_3_582_22">1</definedName>
    <definedName name="SHARED_FORMULA_3_583_3_583_0">NA()</definedName>
    <definedName name="SHARED_FORMULA_3_590_3_590_22">1</definedName>
    <definedName name="SHARED_FORMULA_3_596_3_596_0">NA()</definedName>
    <definedName name="SHARED_FORMULA_3_60_3_60_18">1</definedName>
    <definedName name="SHARED_FORMULA_3_60_3_60_30">NA()</definedName>
    <definedName name="SHARED_FORMULA_3_600_3_600_22">1</definedName>
    <definedName name="SHARED_FORMULA_3_607_3_607_7">1</definedName>
    <definedName name="SHARED_FORMULA_3_609_3_609_0">NA()</definedName>
    <definedName name="SHARED_FORMULA_3_624_3_624_0">NA()</definedName>
    <definedName name="SHARED_FORMULA_3_63_3_63_26">+#REF!</definedName>
    <definedName name="SHARED_FORMULA_3_636_3_636_0">NA()</definedName>
    <definedName name="SHARED_FORMULA_3_647_3_647_0">NA()</definedName>
    <definedName name="SHARED_FORMULA_3_65_3_65_8">NA()</definedName>
    <definedName name="SHARED_FORMULA_3_658_3_658_0">NA()</definedName>
    <definedName name="SHARED_FORMULA_3_66_3_66_26">NA()</definedName>
    <definedName name="SHARED_FORMULA_3_673_3_673_0">NA()</definedName>
    <definedName name="SHARED_FORMULA_3_685_3_685_0">NA()</definedName>
    <definedName name="SHARED_FORMULA_3_69_3_69_7">NA()</definedName>
    <definedName name="SHARED_FORMULA_3_696_3_696_0">NA()</definedName>
    <definedName name="SHARED_FORMULA_3_7_3_7_33">+#REF!</definedName>
    <definedName name="SHARED_FORMULA_3_707_3_707_0">NA()</definedName>
    <definedName name="SHARED_FORMULA_3_740_3_740_0">NA()</definedName>
    <definedName name="SHARED_FORMULA_3_76_3_76_18">1</definedName>
    <definedName name="SHARED_FORMULA_3_767_3_767_0">NA()</definedName>
    <definedName name="SHARED_FORMULA_3_779_3_779_0">NA()</definedName>
    <definedName name="SHARED_FORMULA_3_780_3_780_26">NA()</definedName>
    <definedName name="SHARED_FORMULA_3_810_3_810_0">NA()</definedName>
    <definedName name="SHARED_FORMULA_3_822_3_822_0">NA()</definedName>
    <definedName name="SHARED_FORMULA_3_88_3_88_18">1</definedName>
    <definedName name="SHARED_FORMULA_3_9_3_9_37">+#REF!</definedName>
    <definedName name="SHARED_FORMULA_3_903_3_903_0">NA()</definedName>
    <definedName name="SHARED_FORMULA_3_91_3_91_8">NA()</definedName>
    <definedName name="SHARED_FORMULA_3_95_3_95_7">#REF!</definedName>
    <definedName name="SHARED_FORMULA_3_953_3_953_0">NA()</definedName>
    <definedName name="SHARED_FORMULA_3_96_3_96_7">NA()</definedName>
    <definedName name="SHARED_FORMULA_3_977_3_977_0">NA()</definedName>
    <definedName name="SHARED_FORMULA_3_999_3_999_0">NA()</definedName>
    <definedName name="SHARED_FORMULA_4_102_4_102_13">6.275+2.795+1.82+4.63+4.13+0.115*2</definedName>
    <definedName name="SHARED_FORMULA_4_117_4_117_33">NA()</definedName>
    <definedName name="SHARED_FORMULA_4_120_4_120_8">NA()</definedName>
    <definedName name="SHARED_FORMULA_4_129_4_129_20">3.73+3.23*2+0.23</definedName>
    <definedName name="SHARED_FORMULA_4_130_4_130_30">NA()</definedName>
    <definedName name="SHARED_FORMULA_4_1313_4_1313_22">0.23</definedName>
    <definedName name="SHARED_FORMULA_4_132_4_132_20">3.23*2+0.23</definedName>
    <definedName name="SHARED_FORMULA_4_1324_4_1324_22">0.23</definedName>
    <definedName name="SHARED_FORMULA_4_133_4_133_18">0.23+0.075*2</definedName>
    <definedName name="SHARED_FORMULA_4_1333_4_1333_22">0.23</definedName>
    <definedName name="SHARED_FORMULA_4_134_4_134_20">3.47+4.26-0.23</definedName>
    <definedName name="SHARED_FORMULA_4_135_4_135_18">0.3+0.075*2</definedName>
    <definedName name="SHARED_FORMULA_4_135_4_135_30">+#REF!</definedName>
    <definedName name="SHARED_FORMULA_4_139_4_139_13">6.275+2.795+1.82+4.63+0.115*2</definedName>
    <definedName name="SHARED_FORMULA_4_1395_4_1395_22">3.53*2-0.23</definedName>
    <definedName name="SHARED_FORMULA_4_146_4_146_18">7.04+3.04+4.69-0.23*3</definedName>
    <definedName name="SHARED_FORMULA_4_146_4_146_8">NA()</definedName>
    <definedName name="SHARED_FORMULA_4_154_4_154_22">3.53*4-0.23</definedName>
    <definedName name="SHARED_FORMULA_4_155_4_155_13">6.275+2.795+1.82+4.63+0.115*2</definedName>
    <definedName name="SHARED_FORMULA_4_1586_4_1586_9">+SQRT(3.3^2+1.8^2+0.1*2)</definedName>
    <definedName name="SHARED_FORMULA_4_161_4_161_26">NA()</definedName>
    <definedName name="SHARED_FORMULA_4_164_4_164_26">+#REF!+0.075*2</definedName>
    <definedName name="SHARED_FORMULA_4_165_4_165_30">NA()</definedName>
    <definedName name="SHARED_FORMULA_4_166_4_166_11">4.23+2.23+2.23+2</definedName>
    <definedName name="SHARED_FORMULA_4_170_4_170_30">+#REF!</definedName>
    <definedName name="SHARED_FORMULA_4_174_4_174_22">+#REF!</definedName>
    <definedName name="SHARED_FORMULA_4_178_4_178_22">NA()</definedName>
    <definedName name="SHARED_FORMULA_4_178_4_178_9">1.65+5.5+5</definedName>
    <definedName name="SHARED_FORMULA_4_18_4_18_37">+#REF!+0.15*2</definedName>
    <definedName name="SHARED_FORMULA_4_183_4_183_20">3.73+3.23*2</definedName>
    <definedName name="SHARED_FORMULA_4_184_4_184_9">5.73+3.03+5.73</definedName>
    <definedName name="SHARED_FORMULA_4_189_4_189_22">+#REF!</definedName>
    <definedName name="SHARED_FORMULA_4_191_4_191_18">4.545+3.015+4.15+5.52+4.54+0.23</definedName>
    <definedName name="SHARED_FORMULA_4_193_4_193_22">NA()</definedName>
    <definedName name="SHARED_FORMULA_4_194_4_194_22">+#REF!</definedName>
    <definedName name="SHARED_FORMULA_4_196_4_196_18">7.04+3.04+4.69-5*0.23</definedName>
    <definedName name="SHARED_FORMULA_4_197_4_197_20">3.23*2</definedName>
    <definedName name="SHARED_FORMULA_4_198_4_198_22">NA()</definedName>
    <definedName name="SHARED_FORMULA_4_199_4_199_30">NA()</definedName>
    <definedName name="SHARED_FORMULA_4_204_4_204_30">+#REF!</definedName>
    <definedName name="SHARED_FORMULA_4_204_4_204_37">NA()</definedName>
    <definedName name="SHARED_FORMULA_4_204_4_204_9">3.63+3.015+0.625+1.905+1.905+2.235+4.76+5.73*2+5.58+5.465</definedName>
    <definedName name="SHARED_FORMULA_4_205_4_205_22">+#REF!</definedName>
    <definedName name="SHARED_FORMULA_4_209_4_209_22">NA()</definedName>
    <definedName name="SHARED_FORMULA_4_209_4_209_30">+#REF!</definedName>
    <definedName name="SHARED_FORMULA_4_210_4_210_26">NA()</definedName>
    <definedName name="SHARED_FORMULA_4_213_4_213_26">+#REF!</definedName>
    <definedName name="SHARED_FORMULA_4_216_4_216_26">+#REF!</definedName>
    <definedName name="SHARED_FORMULA_4_222_4_222_9">1.65+5.5+5</definedName>
    <definedName name="SHARED_FORMULA_4_228_4_228_26">NA()</definedName>
    <definedName name="SHARED_FORMULA_4_231_4_231_26">+#REF!</definedName>
    <definedName name="SHARED_FORMULA_4_240_4_240_20">2.8-0.15*2</definedName>
    <definedName name="SHARED_FORMULA_4_2440_4_2440_22">+SQRT(3.2^2+1.65^2)+0.225</definedName>
    <definedName name="SHARED_FORMULA_4_246_4_246_26">NA()</definedName>
    <definedName name="SHARED_FORMULA_4_265_4_265_9">1.65+5.5+5</definedName>
    <definedName name="SHARED_FORMULA_4_278_4_278_37">NA()</definedName>
    <definedName name="SHARED_FORMULA_4_291_4_291_17">SUM(#REF!)</definedName>
    <definedName name="SHARED_FORMULA_4_297_4_297_37">+#REF!+0.23*2</definedName>
    <definedName name="SHARED_FORMULA_4_310_4_310_9">1.65+5.5+5</definedName>
    <definedName name="SHARED_FORMULA_4_34_4_34_26">+#REF!+0.1*2</definedName>
    <definedName name="SHARED_FORMULA_4_360_4_360_20">0.23</definedName>
    <definedName name="SHARED_FORMULA_4_37_4_37_26">NA()</definedName>
    <definedName name="SHARED_FORMULA_4_392_4_392_22">14.12+1.355</definedName>
    <definedName name="SHARED_FORMULA_4_396_4_396_37">+#REF!</definedName>
    <definedName name="SHARED_FORMULA_4_398_4_398_22">NA()</definedName>
    <definedName name="SHARED_FORMULA_4_4_4_4_26">+#REF!+0.15*2</definedName>
    <definedName name="SHARED_FORMULA_4_40_4_40_16">3.45-2.83</definedName>
    <definedName name="SHARED_FORMULA_4_40_4_40_17">3.45-2.83</definedName>
    <definedName name="SHARED_FORMULA_4_410_4_410_22">12.51+3.23+1.355+3.23+1.355</definedName>
    <definedName name="SHARED_FORMULA_4_412_4_412_22">NA()</definedName>
    <definedName name="SHARED_FORMULA_4_429_4_429_22">12.31+1.81+1.355</definedName>
    <definedName name="SHARED_FORMULA_4_435_4_435_37">NA()</definedName>
    <definedName name="SHARED_FORMULA_4_453_4_453_22">14.12+1.355</definedName>
    <definedName name="SHARED_FORMULA_4_458_4_458_22">10.59+3.53</definedName>
    <definedName name="SHARED_FORMULA_4_469_4_469_22">12.51+3.23*2+1.355*2</definedName>
    <definedName name="SHARED_FORMULA_4_472_4_472_37">+#REF!</definedName>
    <definedName name="SHARED_FORMULA_4_488_4_488_22">12.31+1.81+1.355</definedName>
    <definedName name="SHARED_FORMULA_4_5_4_5_22">+#REF!+0.15*2</definedName>
    <definedName name="SHARED_FORMULA_4_5_4_5_37">+#REF!+0.15*2</definedName>
    <definedName name="SHARED_FORMULA_4_512_4_512_22">12.31+1.81+1.355</definedName>
    <definedName name="SHARED_FORMULA_4_517_4_517_22">3.53*4</definedName>
    <definedName name="SHARED_FORMULA_4_53_4_53_22">3.53+1.61+1.92</definedName>
    <definedName name="SHARED_FORMULA_4_538_4_538_22">NA()</definedName>
    <definedName name="SHARED_FORMULA_4_570_4_570_22">12.31+1.81+1.355</definedName>
    <definedName name="SHARED_FORMULA_4_575_4_575_22">3.53*4</definedName>
    <definedName name="SHARED_FORMULA_4_6_4_6_30">+#REF!+0.15*2</definedName>
    <definedName name="SHARED_FORMULA_4_611_4_611_22">NA()</definedName>
    <definedName name="SHARED_FORMULA_4_625_4_625_7">1.935+3.37+2.46+0.46+1.39+1.53+2.155</definedName>
    <definedName name="SHARED_FORMULA_4_649_4_649_11">+SQRT(2.9^2+1.8^2+0.1*2)</definedName>
    <definedName name="SHARED_FORMULA_4_66_4_66_18">7.04+3.04+4.69-0.23*3</definedName>
    <definedName name="SHARED_FORMULA_4_66_4_66_33">NA()</definedName>
    <definedName name="SHARED_FORMULA_4_68_4_68_8">NA()</definedName>
    <definedName name="SHARED_FORMULA_4_689_4_689_22">NA()</definedName>
    <definedName name="SHARED_FORMULA_4_70_4_70_33">+#REF!+0.075*2</definedName>
    <definedName name="SHARED_FORMULA_4_732_4_732_22">+#REF!</definedName>
    <definedName name="SHARED_FORMULA_4_77_4_77_18">7.04+3.04+4.69-0.23</definedName>
    <definedName name="SHARED_FORMULA_4_781_4_781_26">NA()</definedName>
    <definedName name="SHARED_FORMULA_4_792_4_792_26">NA()</definedName>
    <definedName name="SHARED_FORMULA_4_801_4_801_22">NA()</definedName>
    <definedName name="SHARED_FORMULA_4_803_4_803_26">NA()</definedName>
    <definedName name="SHARED_FORMULA_4_81_4_81_22">3.53+1.61+1.92</definedName>
    <definedName name="SHARED_FORMULA_4_814_4_814_26">NA()</definedName>
    <definedName name="SHARED_FORMULA_4_816_4_816_26">+#REF!</definedName>
    <definedName name="SHARED_FORMULA_4_82_4_82_33">NA()</definedName>
    <definedName name="SHARED_FORMULA_4_827_4_827_26">+#REF!</definedName>
    <definedName name="SHARED_FORMULA_4_837_4_837_26">+#REF!</definedName>
    <definedName name="SHARED_FORMULA_4_847_4_847_26">+#REF!</definedName>
    <definedName name="SHARED_FORMULA_4_86_4_86_33">+#REF!</definedName>
    <definedName name="SHARED_FORMULA_4_860_4_860_22">NA()</definedName>
    <definedName name="SHARED_FORMULA_4_89_4_89_18">7.04+3.04+4.69-0.23</definedName>
    <definedName name="SHARED_FORMULA_4_90_4_90_33">NA()</definedName>
    <definedName name="SHARED_FORMULA_4_93_4_93_8">NA()</definedName>
    <definedName name="SHARED_FORMULA_4_94_4_94_33">+#REF!</definedName>
    <definedName name="SHARED_FORMULA_4_98_4_98_13">6.275+2.795+1.82+4.63+0.23</definedName>
    <definedName name="SHARED_FORMULA_5_11_5_11_26">#REF!+0.1*2</definedName>
    <definedName name="SHARED_FORMULA_5_1137_5_1137_22">0.23</definedName>
    <definedName name="SHARED_FORMULA_5_116_5_116_26">+#REF!</definedName>
    <definedName name="SHARED_FORMULA_5_1201_5_1201_22">0.23</definedName>
    <definedName name="SHARED_FORMULA_5_124_5_124_13">1+1+0.23</definedName>
    <definedName name="SHARED_FORMULA_5_130_5_130_22">+#REF!</definedName>
    <definedName name="SHARED_FORMULA_5_1313_5_1313_22">0.23</definedName>
    <definedName name="SHARED_FORMULA_5_1324_5_1324_22">0.23</definedName>
    <definedName name="SHARED_FORMULA_5_133_5_133_18">0.45+0.075*2</definedName>
    <definedName name="SHARED_FORMULA_5_1333_5_1333_22">0.23</definedName>
    <definedName name="SHARED_FORMULA_5_134_5_134_22">NA()</definedName>
    <definedName name="SHARED_FORMULA_5_137_5_137_18">0.6+0.075*2</definedName>
    <definedName name="SHARED_FORMULA_5_137_5_137_30">NA()</definedName>
    <definedName name="SHARED_FORMULA_5_139_5_139_13">1+1+0.23</definedName>
    <definedName name="SHARED_FORMULA_5_1391_5_1391_22">2*(0.425-0.125)</definedName>
    <definedName name="SHARED_FORMULA_5_1395_5_1395_22">2*(0.575-0.125)</definedName>
    <definedName name="SHARED_FORMULA_5_140_5_140_18">0.23</definedName>
    <definedName name="SHARED_FORMULA_5_142_5_142_30">+#REF!</definedName>
    <definedName name="SHARED_FORMULA_5_1444_5_1444_22">2*0.3</definedName>
    <definedName name="SHARED_FORMULA_5_1448_5_1448_22">2*0.3</definedName>
    <definedName name="SHARED_FORMULA_5_1480_5_1480_22">2*0.3</definedName>
    <definedName name="SHARED_FORMULA_5_1507_5_1507_22">2*0.3</definedName>
    <definedName name="SHARED_FORMULA_5_153_5_153_26">NA()</definedName>
    <definedName name="SHARED_FORMULA_5_155_5_155_13">1+1+0.23</definedName>
    <definedName name="SHARED_FORMULA_5_156_5_156_26">+#REF!</definedName>
    <definedName name="SHARED_FORMULA_5_17_5_17_22">0.15+0.1*2</definedName>
    <definedName name="SHARED_FORMULA_5_179_5_179_30">NA()</definedName>
    <definedName name="SHARED_FORMULA_5_184_5_184_30">+#REF!</definedName>
    <definedName name="SHARED_FORMULA_5_187_5_187_18">0.23</definedName>
    <definedName name="SHARED_FORMULA_5_196_5_196_18">0.3</definedName>
    <definedName name="SHARED_FORMULA_5_199_5_199_16">+(0.355-0.125)*2</definedName>
    <definedName name="SHARED_FORMULA_5_200_5_200_18">0.23</definedName>
    <definedName name="SHARED_FORMULA_5_233_5_233_22">+#REF!</definedName>
    <definedName name="SHARED_FORMULA_5_24_5_24_37">0.15+0.1*2</definedName>
    <definedName name="SHARED_FORMULA_5_246_5_246_26">NA()</definedName>
    <definedName name="SHARED_FORMULA_5_259_5_259_26">+#REF!</definedName>
    <definedName name="SHARED_FORMULA_5_261_5_261_26">NA()</definedName>
    <definedName name="SHARED_FORMULA_5_273_5_273_30">NA()</definedName>
    <definedName name="SHARED_FORMULA_5_275_5_275_26">NA()</definedName>
    <definedName name="SHARED_FORMULA_5_278_5_278_26">+#REF!</definedName>
    <definedName name="SHARED_FORMULA_5_287_5_287_30">+#REF!</definedName>
    <definedName name="SHARED_FORMULA_5_289_5_289_26">NA()</definedName>
    <definedName name="SHARED_FORMULA_5_293_5_293_26">+#REF!</definedName>
    <definedName name="SHARED_FORMULA_5_308_5_308_26">+#REF!</definedName>
    <definedName name="SHARED_FORMULA_5_32_5_32_37">+#REF!+0.1*2</definedName>
    <definedName name="SHARED_FORMULA_5_35_5_35_14">0.45+0.1*2</definedName>
    <definedName name="SHARED_FORMULA_5_352_5_352_18">2*(0.425-0.125)</definedName>
    <definedName name="SHARED_FORMULA_5_360_5_360_20">0.23</definedName>
    <definedName name="SHARED_FORMULA_5_37_5_37_11">0.45+0.1*2</definedName>
    <definedName name="SHARED_FORMULA_5_38_5_38_30">0.15+0.1*2</definedName>
    <definedName name="SHARED_FORMULA_5_386_5_386_20">0.6*2+0.065</definedName>
    <definedName name="SHARED_FORMULA_5_388_5_388_22">0.23</definedName>
    <definedName name="SHARED_FORMULA_5_39_5_39_37">+#REF!+0.1*2</definedName>
    <definedName name="SHARED_FORMULA_5_397_5_397_30">1.2*2+0.15</definedName>
    <definedName name="SHARED_FORMULA_5_40_5_40_16">0.23+0.1*2</definedName>
    <definedName name="SHARED_FORMULA_5_405_5_405_22">0.23</definedName>
    <definedName name="SHARED_FORMULA_5_41_5_41_30">0.15+0.1*2</definedName>
    <definedName name="SHARED_FORMULA_5_418_5_418_30">1.2*2+0.15</definedName>
    <definedName name="SHARED_FORMULA_5_425_5_425_22">0.23</definedName>
    <definedName name="SHARED_FORMULA_5_432_5_432_22">+#REF!</definedName>
    <definedName name="SHARED_FORMULA_5_444_5_444_7">0.23</definedName>
    <definedName name="SHARED_FORMULA_5_449_5_449_22">0.23</definedName>
    <definedName name="SHARED_FORMULA_5_45_5_45_11">0.45</definedName>
    <definedName name="SHARED_FORMULA_5_46_5_46_22">0.15+0.1*2</definedName>
    <definedName name="SHARED_FORMULA_5_460_5_460_7">0.23</definedName>
    <definedName name="SHARED_FORMULA_5_465_5_465_22">0.23</definedName>
    <definedName name="SHARED_FORMULA_5_473_5_473_7">0.23</definedName>
    <definedName name="SHARED_FORMULA_5_484_5_484_22">0.23</definedName>
    <definedName name="SHARED_FORMULA_5_49_5_49_22">0.15+0.1*2</definedName>
    <definedName name="SHARED_FORMULA_5_492_5_492_7">0.23</definedName>
    <definedName name="SHARED_FORMULA_5_508_5_508_13">0.6*2+0.3</definedName>
    <definedName name="SHARED_FORMULA_5_508_5_508_22">0.23</definedName>
    <definedName name="SHARED_FORMULA_5_51_5_51_22">0.23+0.1*2</definedName>
    <definedName name="SHARED_FORMULA_5_515_5_515_7">0.23</definedName>
    <definedName name="SHARED_FORMULA_5_520_5_520_26">NA()</definedName>
    <definedName name="SHARED_FORMULA_5_524_5_524_22">0.23</definedName>
    <definedName name="SHARED_FORMULA_5_530_5_530_26">NA()</definedName>
    <definedName name="SHARED_FORMULA_5_531_5_531_7">0.23</definedName>
    <definedName name="SHARED_FORMULA_5_540_5_540_26">NA()</definedName>
    <definedName name="SHARED_FORMULA_5_542_5_542_13">0.6*2+0.3</definedName>
    <definedName name="SHARED_FORMULA_5_542_5_542_22">0.23</definedName>
    <definedName name="SHARED_FORMULA_5_545_5_545_7">0.23</definedName>
    <definedName name="SHARED_FORMULA_5_551_5_551_26">+#REF!</definedName>
    <definedName name="SHARED_FORMULA_5_558_5_558_7">0.23</definedName>
    <definedName name="SHARED_FORMULA_5_562_5_562_26">+#REF!</definedName>
    <definedName name="SHARED_FORMULA_5_566_5_566_13">0.6*2+0.3</definedName>
    <definedName name="SHARED_FORMULA_5_566_5_566_22">0.23</definedName>
    <definedName name="SHARED_FORMULA_5_566_5_566_7">0.23</definedName>
    <definedName name="SHARED_FORMULA_5_57_5_57_30">+#REF!+0.1*2</definedName>
    <definedName name="SHARED_FORMULA_5_572_5_572_26">+#REF!</definedName>
    <definedName name="SHARED_FORMULA_5_575_5_575_7">0.23</definedName>
    <definedName name="SHARED_FORMULA_5_582_5_582_22">0.23</definedName>
    <definedName name="SHARED_FORMULA_5_599_5_599_26">NA()</definedName>
    <definedName name="SHARED_FORMULA_5_60_5_60_18">0.23+0.1*2</definedName>
    <definedName name="SHARED_FORMULA_5_60_5_60_30">NA()</definedName>
    <definedName name="SHARED_FORMULA_5_600_5_600_22">0.23</definedName>
    <definedName name="SHARED_FORMULA_5_607_5_607_7">0.23</definedName>
    <definedName name="SHARED_FORMULA_5_610_5_610_26">+#REF!</definedName>
    <definedName name="SHARED_FORMULA_5_612_5_612_26">NA()</definedName>
    <definedName name="SHARED_FORMULA_5_637_5_637_26">+#REF!</definedName>
    <definedName name="SHARED_FORMULA_5_639_5_639_26">NA()</definedName>
    <definedName name="SHARED_FORMULA_5_650_5_650_26">+#REF!</definedName>
    <definedName name="SHARED_FORMULA_5_666_5_666_26">NA()</definedName>
    <definedName name="SHARED_FORMULA_5_675_5_675_26">+#REF!</definedName>
    <definedName name="SHARED_FORMULA_5_7_5_7_33">+#REF!+0.1*2</definedName>
    <definedName name="SHARED_FORMULA_5_700_5_700_26">+#REF!</definedName>
    <definedName name="SHARED_FORMULA_5_75_5_75_18">0.45</definedName>
    <definedName name="SHARED_FORMULA_5_792_5_792_26">NA()</definedName>
    <definedName name="SHARED_FORMULA_5_795_5_795_17">0.6*2+0.3</definedName>
    <definedName name="SHARED_FORMULA_5_80_5_80_18">0.45</definedName>
    <definedName name="SHARED_FORMULA_5_803_5_803_26">NA()</definedName>
    <definedName name="SHARED_FORMULA_5_814_5_814_26">NA()</definedName>
    <definedName name="SHARED_FORMULA_5_827_5_827_26">+#REF!</definedName>
    <definedName name="SHARED_FORMULA_5_833_5_833_17">0.6*2+0.3</definedName>
    <definedName name="SHARED_FORMULA_5_837_5_837_26">+#REF!</definedName>
    <definedName name="SHARED_FORMULA_5_84_5_84_26">0.23+0.1*2</definedName>
    <definedName name="SHARED_FORMULA_5_847_5_847_26">+#REF!</definedName>
    <definedName name="SHARED_FORMULA_5_85_5_85_30">+#REF!</definedName>
    <definedName name="SHARED_FORMULA_5_87_5_87_26">0.23+0.1*2</definedName>
    <definedName name="SHARED_FORMULA_5_9_5_9_37">+#REF!+0.15</definedName>
    <definedName name="SHARED_FORMULA_5_92_5_92_17">0.23</definedName>
    <definedName name="SHARED_FORMULA_5_99_5_99_17">0.23</definedName>
    <definedName name="SHARED_FORMULA_6_1029_6_1029_26">NA()</definedName>
    <definedName name="SHARED_FORMULA_6_1032_6_1032_22">NA()</definedName>
    <definedName name="SHARED_FORMULA_6_1034_6_1034_26">+#REF!-#REF!</definedName>
    <definedName name="SHARED_FORMULA_6_1038_6_1038_22">+#REF!</definedName>
    <definedName name="SHARED_FORMULA_6_1039_6_1039_26">NA()</definedName>
    <definedName name="SHARED_FORMULA_6_1044_6_1044_26">+#REF!-#REF!</definedName>
    <definedName name="SHARED_FORMULA_6_1052_6_1052_26">+#REF!-#REF!</definedName>
    <definedName name="SHARED_FORMULA_6_1056_6_1056_22">+#REF!</definedName>
    <definedName name="SHARED_FORMULA_6_1059_6_1059_9">1+1+0.115</definedName>
    <definedName name="SHARED_FORMULA_6_106_6_106_22">+#REF!</definedName>
    <definedName name="SHARED_FORMULA_6_1066_6_1066_22">NA()</definedName>
    <definedName name="SHARED_FORMULA_6_1071_6_1071_26">+#REF!-#REF!</definedName>
    <definedName name="SHARED_FORMULA_6_1075_6_1075_22">NA()</definedName>
    <definedName name="SHARED_FORMULA_6_1081_6_1081_26">+#REF!-#REF!</definedName>
    <definedName name="SHARED_FORMULA_6_1082_6_1082_26">NA()</definedName>
    <definedName name="SHARED_FORMULA_6_1092_6_1092_26">NA()</definedName>
    <definedName name="SHARED_FORMULA_6_11_6_11_26">+#REF!+#REF!</definedName>
    <definedName name="SHARED_FORMULA_6_11_6_11_30">+#REF!+#REF!</definedName>
    <definedName name="SHARED_FORMULA_6_110_6_110_22">NA()</definedName>
    <definedName name="SHARED_FORMULA_6_1106_6_1106_26">#REF!+0.6</definedName>
    <definedName name="SHARED_FORMULA_6_1118_6_1118_22">+#REF!</definedName>
    <definedName name="SHARED_FORMULA_6_1135_6_1135_26">NA()</definedName>
    <definedName name="SHARED_FORMULA_6_114_6_114_26">#REF!+#REF!-#REF!</definedName>
    <definedName name="SHARED_FORMULA_6_1152_6_1152_22">+#REF!</definedName>
    <definedName name="SHARED_FORMULA_6_1161_6_1161_22">+#REF!</definedName>
    <definedName name="SHARED_FORMULA_6_117_6_117_26">NA()</definedName>
    <definedName name="SHARED_FORMULA_6_117_6_117_37">NA()</definedName>
    <definedName name="SHARED_FORMULA_6_1183_6_1183_10">NA()</definedName>
    <definedName name="SHARED_FORMULA_6_123_6_123_37">+#REF!+0.6-0.3</definedName>
    <definedName name="SHARED_FORMULA_6_1258_6_1258_10">NA()</definedName>
    <definedName name="SHARED_FORMULA_6_126_6_126_37">NA()</definedName>
    <definedName name="SHARED_FORMULA_6_127_6_127_30">NA()</definedName>
    <definedName name="SHARED_FORMULA_6_1290_6_1290_10">NA()</definedName>
    <definedName name="SHARED_FORMULA_6_13_6_13_7">ROUND(#REF!*#REF!/#REF!,2)</definedName>
    <definedName name="SHARED_FORMULA_6_1313_6_1313_22">0.2</definedName>
    <definedName name="SHARED_FORMULA_6_132_6_132_30">+#REF!</definedName>
    <definedName name="SHARED_FORMULA_6_132_6_132_37">+#REF!-#REF!</definedName>
    <definedName name="SHARED_FORMULA_6_1324_6_1324_22">0.2</definedName>
    <definedName name="SHARED_FORMULA_6_133_6_133_18">1</definedName>
    <definedName name="SHARED_FORMULA_6_1333_6_1333_22">0.2</definedName>
    <definedName name="SHARED_FORMULA_6_135_6_135_37">NA()</definedName>
    <definedName name="SHARED_FORMULA_6_1355_6_1355_26">NA()</definedName>
    <definedName name="SHARED_FORMULA_6_1371_6_1371_26">+#REF!</definedName>
    <definedName name="SHARED_FORMULA_6_1382_6_1382_26">NA()</definedName>
    <definedName name="SHARED_FORMULA_6_1398_6_1398_26">+#REF!</definedName>
    <definedName name="SHARED_FORMULA_6_1402_6_1402_26">NA()</definedName>
    <definedName name="SHARED_FORMULA_6_141_6_141_37">+#REF!-#REF!</definedName>
    <definedName name="SHARED_FORMULA_6_1418_6_1418_26">+#REF!</definedName>
    <definedName name="SHARED_FORMULA_6_1422_6_1422_26">NA()</definedName>
    <definedName name="SHARED_FORMULA_6_1438_6_1438_10">NA()</definedName>
    <definedName name="SHARED_FORMULA_6_1438_6_1438_26">+#REF!</definedName>
    <definedName name="SHARED_FORMULA_6_144_6_144_37">NA()</definedName>
    <definedName name="SHARED_FORMULA_6_1476_6_1476_26">NA()</definedName>
    <definedName name="SHARED_FORMULA_6_148_6_148_33">NA()</definedName>
    <definedName name="SHARED_FORMULA_6_1485_6_1485_26">NA()</definedName>
    <definedName name="SHARED_FORMULA_6_1492_6_1492_26">+#REF!</definedName>
    <definedName name="SHARED_FORMULA_6_1493_6_1493_26">NA()</definedName>
    <definedName name="SHARED_FORMULA_6_150_6_150_37">+#REF!-#REF!</definedName>
    <definedName name="SHARED_FORMULA_6_1501_6_1501_26">+#REF!</definedName>
    <definedName name="SHARED_FORMULA_6_1507_6_1507_26">NA()</definedName>
    <definedName name="SHARED_FORMULA_6_1509_6_1509_26">+#REF!</definedName>
    <definedName name="SHARED_FORMULA_6_151_6_151_7">NA()</definedName>
    <definedName name="SHARED_FORMULA_6_1516_6_1516_26">NA()</definedName>
    <definedName name="SHARED_FORMULA_6_1523_6_1523_26">+#REF!</definedName>
    <definedName name="SHARED_FORMULA_6_1532_6_1532_26">+#REF!</definedName>
    <definedName name="SHARED_FORMULA_6_154_6_154_33">+#REF!-#REF!</definedName>
    <definedName name="SHARED_FORMULA_6_1541_6_1541_26">NA()</definedName>
    <definedName name="SHARED_FORMULA_6_1548_6_1548_26">+#REF!</definedName>
    <definedName name="SHARED_FORMULA_6_1557_6_1557_26">+#REF!</definedName>
    <definedName name="SHARED_FORMULA_6_1566_6_1566_26">NA()</definedName>
    <definedName name="SHARED_FORMULA_6_1573_6_1573_26">+#REF!</definedName>
    <definedName name="SHARED_FORMULA_6_1582_6_1582_26">+#REF!</definedName>
    <definedName name="SHARED_FORMULA_6_168_6_168_33">NA()</definedName>
    <definedName name="SHARED_FORMULA_6_174_6_174_33">+#REF!-0.125</definedName>
    <definedName name="SHARED_FORMULA_6_178_6_178_30">NA()</definedName>
    <definedName name="SHARED_FORMULA_6_178_6_178_7">NA()</definedName>
    <definedName name="SHARED_FORMULA_6_18_6_18_22">+#REF!</definedName>
    <definedName name="SHARED_FORMULA_6_183_6_183_30">#REF!-#REF!</definedName>
    <definedName name="SHARED_FORMULA_6_218_6_218_7">NA()</definedName>
    <definedName name="SHARED_FORMULA_6_220_6_220_26">NA()</definedName>
    <definedName name="SHARED_FORMULA_6_223_6_223_26">+#REF!-#REF!/1000</definedName>
    <definedName name="SHARED_FORMULA_6_229_6_229_33">NA()</definedName>
    <definedName name="SHARED_FORMULA_6_235_6_235_33">+#REF!-0.125</definedName>
    <definedName name="SHARED_FORMULA_6_241_6_241_22">NA()</definedName>
    <definedName name="SHARED_FORMULA_6_242_6_242_16">0.3*2+0.115</definedName>
    <definedName name="SHARED_FORMULA_6_245_6_245_22">+#REF!-0.15</definedName>
    <definedName name="SHARED_FORMULA_6_245_6_245_7">NA()</definedName>
    <definedName name="SHARED_FORMULA_6_246_6_246_26">NA()</definedName>
    <definedName name="SHARED_FORMULA_6_253_6_253_26">+#REF!</definedName>
    <definedName name="SHARED_FORMULA_6_256_6_256_22">NA()</definedName>
    <definedName name="SHARED_FORMULA_6_260_6_260_22">+#REF!-0.15</definedName>
    <definedName name="SHARED_FORMULA_6_261_6_261_26">NA()</definedName>
    <definedName name="SHARED_FORMULA_6_271_6_271_30">NA()</definedName>
    <definedName name="SHARED_FORMULA_6_272_6_272_22">NA()</definedName>
    <definedName name="SHARED_FORMULA_6_272_6_272_26">+#REF!</definedName>
    <definedName name="SHARED_FORMULA_6_273_6_273_7">NA()</definedName>
    <definedName name="SHARED_FORMULA_6_275_6_275_26">NA()</definedName>
    <definedName name="SHARED_FORMULA_6_276_6_276_22">+#REF!-0.15</definedName>
    <definedName name="SHARED_FORMULA_6_285_6_285_30">+#REF!-#REF!</definedName>
    <definedName name="SHARED_FORMULA_6_287_6_287_26">+#REF!</definedName>
    <definedName name="SHARED_FORMULA_6_289_6_289_26">NA()</definedName>
    <definedName name="SHARED_FORMULA_6_29_6_29_10">NA()</definedName>
    <definedName name="SHARED_FORMULA_6_291_6_291_22">NA()</definedName>
    <definedName name="SHARED_FORMULA_6_294_6_294_37">NA()</definedName>
    <definedName name="SHARED_FORMULA_6_295_6_295_22">+#REF!-0.15</definedName>
    <definedName name="SHARED_FORMULA_6_302_6_302_26">+#REF!</definedName>
    <definedName name="SHARED_FORMULA_6_306_6_306_22">NA()</definedName>
    <definedName name="SHARED_FORMULA_6_310_6_310_22">+#REF!-0.15</definedName>
    <definedName name="SHARED_FORMULA_6_32_6_32_22">+#REF!</definedName>
    <definedName name="SHARED_FORMULA_6_321_6_321_37">+#REF!-0.125</definedName>
    <definedName name="SHARED_FORMULA_6_325_6_325_22">NA()</definedName>
    <definedName name="SHARED_FORMULA_6_329_6_329_22">+#REF!-0.15</definedName>
    <definedName name="SHARED_FORMULA_6_329_6_329_26">NA()</definedName>
    <definedName name="SHARED_FORMULA_6_334_6_334_30">NA()</definedName>
    <definedName name="SHARED_FORMULA_6_337_6_337_26">NA()</definedName>
    <definedName name="SHARED_FORMULA_6_343_6_343_22">NA()</definedName>
    <definedName name="SHARED_FORMULA_6_347_6_347_22">+#REF!-0.15</definedName>
    <definedName name="SHARED_FORMULA_6_348_6_348_26">NA()</definedName>
    <definedName name="SHARED_FORMULA_6_348_6_348_30">#REF!</definedName>
    <definedName name="SHARED_FORMULA_6_349_6_349_26">+#REF!-#REF!</definedName>
    <definedName name="SHARED_FORMULA_6_35_6_35_22">NA()</definedName>
    <definedName name="SHARED_FORMULA_6_356_6_356_26">NA()</definedName>
    <definedName name="SHARED_FORMULA_6_357_6_357_26">+#REF!-#REF!</definedName>
    <definedName name="SHARED_FORMULA_6_358_6_358_22">NA()</definedName>
    <definedName name="SHARED_FORMULA_6_360_6_360_20">0.2</definedName>
    <definedName name="SHARED_FORMULA_6_362_6_362_22">+#REF!-0.15</definedName>
    <definedName name="SHARED_FORMULA_6_368_6_368_26">+#REF!-#REF!</definedName>
    <definedName name="SHARED_FORMULA_6_376_6_376_26">+#REF!-#REF!</definedName>
    <definedName name="SHARED_FORMULA_6_379_6_379_30">+#REF!-#REF!</definedName>
    <definedName name="SHARED_FORMULA_6_388_6_388_26">+#REF!-#REF!</definedName>
    <definedName name="SHARED_FORMULA_6_39_6_39_30">+#REF!</definedName>
    <definedName name="SHARED_FORMULA_6_39_6_39_37">+#REF!</definedName>
    <definedName name="SHARED_FORMULA_6_396_6_396_26">+#REF!-#REF!</definedName>
    <definedName name="SHARED_FORMULA_6_399_6_399_22">NA()</definedName>
    <definedName name="SHARED_FORMULA_6_408_6_408_26">+#REF!-#REF!</definedName>
    <definedName name="SHARED_FORMULA_6_412_6_412_22">NA()</definedName>
    <definedName name="SHARED_FORMULA_6_413_6_413_22">+#REF!</definedName>
    <definedName name="SHARED_FORMULA_6_414_6_414_37">NA()</definedName>
    <definedName name="SHARED_FORMULA_6_416_6_416_26">+#REF!-#REF!</definedName>
    <definedName name="SHARED_FORMULA_6_42_6_42_30">NA()</definedName>
    <definedName name="SHARED_FORMULA_6_43_6_43_26">+#REF!</definedName>
    <definedName name="SHARED_FORMULA_6_432_6_432_22">+#REF!</definedName>
    <definedName name="SHARED_FORMULA_6_435_6_435_37">NA()</definedName>
    <definedName name="SHARED_FORMULA_6_451_6_451_37">+#REF!-0.125</definedName>
    <definedName name="SHARED_FORMULA_6_453_6_453_37">NA()</definedName>
    <definedName name="SHARED_FORMULA_6_455_6_455_30">NA()</definedName>
    <definedName name="SHARED_FORMULA_6_46_6_46_26">NA()</definedName>
    <definedName name="SHARED_FORMULA_6_472_6_472_37">+#REF!</definedName>
    <definedName name="SHARED_FORMULA_6_473_6_473_22">NA()</definedName>
    <definedName name="SHARED_FORMULA_6_481_6_481_30">+#REF!</definedName>
    <definedName name="SHARED_FORMULA_6_484_6_484_20">3</definedName>
    <definedName name="SHARED_FORMULA_6_494_6_494_22">NA()</definedName>
    <definedName name="SHARED_FORMULA_6_494_6_494_37">+#REF!+0.45</definedName>
    <definedName name="SHARED_FORMULA_6_5_6_5_22">+#REF!</definedName>
    <definedName name="SHARED_FORMULA_6_500_6_500_22">+#REF!-#REF!</definedName>
    <definedName name="SHARED_FORMULA_6_503_6_503_22">NA()</definedName>
    <definedName name="SHARED_FORMULA_6_511_6_511_20">0.75+0.15</definedName>
    <definedName name="SHARED_FORMULA_6_521_6_521_22">+#REF!-#REF!</definedName>
    <definedName name="SHARED_FORMULA_6_522_6_522_22">NA()</definedName>
    <definedName name="SHARED_FORMULA_6_530_6_530_22">+#REF!-#REF!</definedName>
    <definedName name="SHARED_FORMULA_6_549_6_549_22">+#REF!-#REF!</definedName>
    <definedName name="SHARED_FORMULA_6_569_6_569_22">NA()</definedName>
    <definedName name="SHARED_FORMULA_6_571_6_571_26">NA()</definedName>
    <definedName name="SHARED_FORMULA_6_577_6_577_22">+#REF!-#REF!</definedName>
    <definedName name="SHARED_FORMULA_6_578_6_578_22">NA()</definedName>
    <definedName name="SHARED_FORMULA_6_58_6_58_22">+#REF!</definedName>
    <definedName name="SHARED_FORMULA_6_58_6_58_30">+#REF!</definedName>
    <definedName name="SHARED_FORMULA_6_586_6_586_20">0.125</definedName>
    <definedName name="SHARED_FORMULA_6_596_6_596_22">NA()</definedName>
    <definedName name="SHARED_FORMULA_6_597_6_597_22">+#REF!-#REF!</definedName>
    <definedName name="SHARED_FORMULA_6_60_6_60_18">0.1</definedName>
    <definedName name="SHARED_FORMULA_6_606_6_606_22">+#REF!-#REF!</definedName>
    <definedName name="SHARED_FORMULA_6_609_6_609_26">+#REF!-#REF!</definedName>
    <definedName name="SHARED_FORMULA_6_61_6_61_22">NA()</definedName>
    <definedName name="SHARED_FORMULA_6_61_6_61_30">NA()</definedName>
    <definedName name="SHARED_FORMULA_6_611_6_611_26">NA()</definedName>
    <definedName name="SHARED_FORMULA_6_624_6_624_22">+#REF!-#REF!</definedName>
    <definedName name="SHARED_FORMULA_6_638_6_638_26">NA()</definedName>
    <definedName name="SHARED_FORMULA_6_64_6_64_26">+#REF!</definedName>
    <definedName name="SHARED_FORMULA_6_648_6_648_22">+#REF!-#REF!</definedName>
    <definedName name="SHARED_FORMULA_6_649_6_649_26">+#REF!-#REF!</definedName>
    <definedName name="SHARED_FORMULA_6_655_6_655_10">NA()</definedName>
    <definedName name="SHARED_FORMULA_6_66_6_66_7">NA()</definedName>
    <definedName name="SHARED_FORMULA_6_665_6_665_26">NA()</definedName>
    <definedName name="SHARED_FORMULA_6_67_6_67_26">NA()</definedName>
    <definedName name="SHARED_FORMULA_6_674_6_674_26">+#REF!-#REF!</definedName>
    <definedName name="SHARED_FORMULA_6_68_6_68_30">+#REF!</definedName>
    <definedName name="SHARED_FORMULA_6_680_6_680_10">NA()</definedName>
    <definedName name="SHARED_FORMULA_6_697_6_697_26">NA()</definedName>
    <definedName name="SHARED_FORMULA_6_699_6_699_26">+#REF!-#REF!</definedName>
    <definedName name="SHARED_FORMULA_6_7_6_7_33">0.45+0.1</definedName>
    <definedName name="SHARED_FORMULA_6_71_6_71_30">NA()</definedName>
    <definedName name="SHARED_FORMULA_6_722_6_722_26">NA()</definedName>
    <definedName name="SHARED_FORMULA_6_732_6_732_26">+#REF!-#REF!</definedName>
    <definedName name="SHARED_FORMULA_6_741_6_741_26">NA()</definedName>
    <definedName name="SHARED_FORMULA_6_752_6_752_22">NA()</definedName>
    <definedName name="SHARED_FORMULA_6_757_6_757_26">+#REF!-#REF!</definedName>
    <definedName name="SHARED_FORMULA_6_760_6_760_26">NA()</definedName>
    <definedName name="SHARED_FORMULA_6_765_6_765_22">NA()</definedName>
    <definedName name="SHARED_FORMULA_6_776_6_776_26">+#REF!-#REF!</definedName>
    <definedName name="SHARED_FORMULA_6_781_6_781_26">NA()</definedName>
    <definedName name="SHARED_FORMULA_6_792_6_792_26">NA()</definedName>
    <definedName name="SHARED_FORMULA_6_795_6_795_26">+#REF!-#REF!</definedName>
    <definedName name="SHARED_FORMULA_6_801_6_801_22">NA()</definedName>
    <definedName name="SHARED_FORMULA_6_803_6_803_26">NA()</definedName>
    <definedName name="SHARED_FORMULA_6_805_6_805_22">+#REF!-0.125</definedName>
    <definedName name="SHARED_FORMULA_6_813_6_813_22">NA()</definedName>
    <definedName name="SHARED_FORMULA_6_814_6_814_26">NA()</definedName>
    <definedName name="SHARED_FORMULA_6_816_6_816_26">+#REF!</definedName>
    <definedName name="SHARED_FORMULA_6_824_6_824_22">NA()</definedName>
    <definedName name="SHARED_FORMULA_6_827_6_827_26">+#REF!</definedName>
    <definedName name="SHARED_FORMULA_6_83_6_83_30">+#REF!+#REF!-0.3-0.05</definedName>
    <definedName name="SHARED_FORMULA_6_837_6_837_26">+#REF!</definedName>
    <definedName name="SHARED_FORMULA_6_847_6_847_26">+#REF!</definedName>
    <definedName name="SHARED_FORMULA_6_85_6_85_26">+#REF!</definedName>
    <definedName name="SHARED_FORMULA_6_853_6_853_22">+#REF!-0.125</definedName>
    <definedName name="SHARED_FORMULA_6_86_6_86_30">NA()</definedName>
    <definedName name="SHARED_FORMULA_6_860_6_860_22">NA()</definedName>
    <definedName name="SHARED_FORMULA_6_870_6_870_22">NA()</definedName>
    <definedName name="SHARED_FORMULA_6_88_6_88_26">NA()</definedName>
    <definedName name="SHARED_FORMULA_6_900_6_900_22">NA()</definedName>
    <definedName name="SHARED_FORMULA_6_900_6_900_26">NA()</definedName>
    <definedName name="SHARED_FORMULA_6_910_6_910_26">NA()</definedName>
    <definedName name="SHARED_FORMULA_6_911_6_911_22">+#REF!-0.125</definedName>
    <definedName name="SHARED_FORMULA_6_93_6_93_30">+#REF!+#REF!-0.05</definedName>
    <definedName name="SHARED_FORMULA_6_93_6_93_7">NA()</definedName>
    <definedName name="SHARED_FORMULA_6_931_6_931_22">+#REF!-0.125</definedName>
    <definedName name="SHARED_FORMULA_6_934_6_934_26">NA()</definedName>
    <definedName name="SHARED_FORMULA_6_947_6_947_22">+#REF!+0.6</definedName>
    <definedName name="SHARED_FORMULA_6_952_6_952_22">NA()</definedName>
    <definedName name="SHARED_FORMULA_6_958_6_958_26">+#REF!-#REF!</definedName>
    <definedName name="SHARED_FORMULA_6_96_6_96_30">NA()</definedName>
    <definedName name="SHARED_FORMULA_6_970_6_970_22">NA()</definedName>
    <definedName name="SHARED_FORMULA_6_976_6_976_26">NA()</definedName>
    <definedName name="SHARED_FORMULA_6_977_6_977_22">+#REF!</definedName>
    <definedName name="SHARED_FORMULA_6_986_6_986_26">NA()</definedName>
    <definedName name="SHARED_FORMULA_7_100_7_100_33">+#REF!*#REF!*#REF!*#REF!</definedName>
    <definedName name="SHARED_FORMULA_7_1008_7_1008_22">NA()</definedName>
    <definedName name="SHARED_FORMULA_7_1016_7_1016_26">NA()</definedName>
    <definedName name="SHARED_FORMULA_7_1018_7_1018_22">#REF!*#REF!*#REF!</definedName>
    <definedName name="SHARED_FORMULA_7_1027_7_1027_22">#REF!*#REF!*#REF!</definedName>
    <definedName name="SHARED_FORMULA_7_1029_7_1029_26">NA()</definedName>
    <definedName name="SHARED_FORMULA_7_1031_7_1031_22">NA()</definedName>
    <definedName name="SHARED_FORMULA_7_1034_7_1034_26">#REF!*#REF!*#REF!*#REF!</definedName>
    <definedName name="SHARED_FORMULA_7_1037_7_1037_22">#REF!*#REF!*#REF!*#REF!</definedName>
    <definedName name="SHARED_FORMULA_7_105_7_105_22">+#REF!*#REF!*#REF!*#REF!</definedName>
    <definedName name="SHARED_FORMULA_7_1055_7_1055_22">#REF!*#REF!*#REF!*#REF!</definedName>
    <definedName name="SHARED_FORMULA_7_1060_7_1060_26">#REF!*#REF!*#REF!*#REF!</definedName>
    <definedName name="SHARED_FORMULA_7_1066_7_1066_22">NA()</definedName>
    <definedName name="SHARED_FORMULA_7_1069_7_1069_26">NA()</definedName>
    <definedName name="SHARED_FORMULA_7_1071_7_1071_26">#REF!*#REF!*#REF!*#REF!</definedName>
    <definedName name="SHARED_FORMULA_7_1074_7_1074_22">#REF!*#REF!*#REF!</definedName>
    <definedName name="SHARED_FORMULA_7_1082_7_1082_26">NA()</definedName>
    <definedName name="SHARED_FORMULA_7_1094_7_1094_22">#REF!*#REF!*#REF!</definedName>
    <definedName name="SHARED_FORMULA_7_11_7_11_26">+#REF!*#REF!*#REF!*#REF!</definedName>
    <definedName name="SHARED_FORMULA_7_11_7_11_30">+#REF!*#REF!*#REF!*#REF!</definedName>
    <definedName name="SHARED_FORMULA_7_110_7_110_22">NA()</definedName>
    <definedName name="SHARED_FORMULA_7_1106_7_1106_26">#REF!*#REF!*#REF!*#REF!</definedName>
    <definedName name="SHARED_FORMULA_7_1117_7_1117_22">+#REF!*#REF!*#REF!*#REF!</definedName>
    <definedName name="SHARED_FORMULA_7_1122_7_1122_26">NA()</definedName>
    <definedName name="SHARED_FORMULA_7_1135_7_1135_26">NA()</definedName>
    <definedName name="SHARED_FORMULA_7_1137_7_1137_26">#REF!*#REF!*#REF!*#REF!</definedName>
    <definedName name="SHARED_FORMULA_7_115_7_115_26">+#REF!*#REF!*#REF!*#REF!</definedName>
    <definedName name="SHARED_FORMULA_7_1152_7_1152_22">+#REF!*#REF!*#REF!*#REF!</definedName>
    <definedName name="SHARED_FORMULA_7_1160_7_1160_22">+#REF!*#REF!*#REF!*#REF!</definedName>
    <definedName name="SHARED_FORMULA_7_1161_7_1161_6">NA()</definedName>
    <definedName name="SHARED_FORMULA_7_1163_7_1163_26">#REF!*#REF!*#REF!*#REF!</definedName>
    <definedName name="SHARED_FORMULA_7_1166_7_1166_26">NA()</definedName>
    <definedName name="SHARED_FORMULA_7_117_7_117_26">NA()</definedName>
    <definedName name="SHARED_FORMULA_7_117_7_117_33">NA()</definedName>
    <definedName name="SHARED_FORMULA_7_117_7_117_37">NA()</definedName>
    <definedName name="SHARED_FORMULA_7_1189_7_1189_26">#REF!*#REF!*#REF!*#REF!</definedName>
    <definedName name="SHARED_FORMULA_7_1192_7_1192_26">NA()</definedName>
    <definedName name="SHARED_FORMULA_7_12_7_12_8">NA()</definedName>
    <definedName name="SHARED_FORMULA_7_121_7_121_33">#REF!*#REF!*#REF!*#REF!</definedName>
    <definedName name="SHARED_FORMULA_7_121_7_121_8">NA()</definedName>
    <definedName name="SHARED_FORMULA_7_1218_7_1218_26">NA()</definedName>
    <definedName name="SHARED_FORMULA_7_123_7_123_37">+#REF!*#REF!*#REF!*#REF!</definedName>
    <definedName name="SHARED_FORMULA_7_126_7_126_30">NA()</definedName>
    <definedName name="SHARED_FORMULA_7_126_7_126_37">NA()</definedName>
    <definedName name="SHARED_FORMULA_7_130_7_130_22">#REF!*#REF!*#REF!*#REF!</definedName>
    <definedName name="SHARED_FORMULA_7_1308_7_1308_5">NA()</definedName>
    <definedName name="SHARED_FORMULA_7_131_7_131_30">+#REF!*#REF!*#REF!*#REF!</definedName>
    <definedName name="SHARED_FORMULA_7_1310_7_1310_26">NA()</definedName>
    <definedName name="SHARED_FORMULA_7_132_7_132_37">#REF!*#REF!*#REF!*#REF!</definedName>
    <definedName name="SHARED_FORMULA_7_1325_7_1325_26">NA()</definedName>
    <definedName name="SHARED_FORMULA_7_1326_7_1326_26">+#REF!*#REF!*#REF!</definedName>
    <definedName name="SHARED_FORMULA_7_1334_7_1334_26">NA()</definedName>
    <definedName name="SHARED_FORMULA_7_134_7_134_22">NA()</definedName>
    <definedName name="SHARED_FORMULA_7_1341_7_1341_26">+#REF!*#REF!*#REF!</definedName>
    <definedName name="SHARED_FORMULA_7_1343_7_1343_26">NA()</definedName>
    <definedName name="SHARED_FORMULA_7_135_7_135_37">NA()</definedName>
    <definedName name="SHARED_FORMULA_7_1350_7_1350_26">+#REF!*#REF!*#REF!</definedName>
    <definedName name="SHARED_FORMULA_7_1354_7_1354_26">NA()</definedName>
    <definedName name="SHARED_FORMULA_7_1359_7_1359_26">+#REF!*#REF!*#REF!</definedName>
    <definedName name="SHARED_FORMULA_7_136_7_136_30">NA()</definedName>
    <definedName name="SHARED_FORMULA_7_1370_7_1370_26">+#REF!*#REF!*#REF!*#REF!</definedName>
    <definedName name="SHARED_FORMULA_7_1382_7_1382_26">NA()</definedName>
    <definedName name="SHARED_FORMULA_7_1398_7_1398_26">+#REF!*#REF!*#REF!*#REF!</definedName>
    <definedName name="SHARED_FORMULA_7_1402_7_1402_26">NA()</definedName>
    <definedName name="SHARED_FORMULA_7_141_7_141_30">#REF!*#REF!*#REF!*#REF!</definedName>
    <definedName name="SHARED_FORMULA_7_141_7_141_37">#REF!*#REF!*#REF!*#REF!</definedName>
    <definedName name="SHARED_FORMULA_7_1418_7_1418_26">+#REF!*#REF!*#REF!*#REF!</definedName>
    <definedName name="SHARED_FORMULA_7_1422_7_1422_26">NA()</definedName>
    <definedName name="SHARED_FORMULA_7_1438_7_1438_26">+#REF!*#REF!*#REF!*#REF!</definedName>
    <definedName name="SHARED_FORMULA_7_144_7_144_37">NA()</definedName>
    <definedName name="SHARED_FORMULA_7_1443_7_1443_26">NA()</definedName>
    <definedName name="SHARED_FORMULA_7_145_7_145_30">NA()</definedName>
    <definedName name="SHARED_FORMULA_7_1459_7_1459_26">+#REF!*#REF!*#REF!</definedName>
    <definedName name="SHARED_FORMULA_7_147_7_147_8">NA()</definedName>
    <definedName name="SHARED_FORMULA_7_1475_7_1475_26">NA()</definedName>
    <definedName name="SHARED_FORMULA_7_148_7_148_33">NA()</definedName>
    <definedName name="SHARED_FORMULA_7_1491_7_1491_26">#REF!*#REF!*#REF!*#REF!</definedName>
    <definedName name="SHARED_FORMULA_7_150_7_150_30">#REF!*#REF!*#REF!*#REF!</definedName>
    <definedName name="SHARED_FORMULA_7_150_7_150_37">#REF!*#REF!*#REF!*#REF!</definedName>
    <definedName name="SHARED_FORMULA_7_1506_7_1506_26">NA()</definedName>
    <definedName name="SHARED_FORMULA_7_1522_7_1522_26">#REF!*#REF!*#REF!*#REF!</definedName>
    <definedName name="SHARED_FORMULA_7_153_7_153_22">#REF!*#REF!*#REF!*#REF!</definedName>
    <definedName name="SHARED_FORMULA_7_153_7_153_26">NA()</definedName>
    <definedName name="SHARED_FORMULA_7_1531_7_1531_26">NA()</definedName>
    <definedName name="SHARED_FORMULA_7_154_7_154_33">#REF!*#REF!*#REF!*#REF!</definedName>
    <definedName name="SHARED_FORMULA_7_1547_7_1547_26">#REF!*#REF!*#REF!*#REF!</definedName>
    <definedName name="SHARED_FORMULA_7_1556_7_1556_26">NA()</definedName>
    <definedName name="SHARED_FORMULA_7_156_7_156_26">#REF!*#REF!*#REF!*#REF!</definedName>
    <definedName name="SHARED_FORMULA_7_157_7_157_22">NA()</definedName>
    <definedName name="SHARED_FORMULA_7_1572_7_1572_26">#REF!*#REF!*#REF!*#REF!</definedName>
    <definedName name="SHARED_FORMULA_7_159_7_159_37">NA()</definedName>
    <definedName name="SHARED_FORMULA_7_161_7_161_26">NA()</definedName>
    <definedName name="SHARED_FORMULA_7_161_7_161_30">NA()</definedName>
    <definedName name="SHARED_FORMULA_7_164_7_164_26">+#REF!*#REF!*#REF!*#REF!</definedName>
    <definedName name="SHARED_FORMULA_7_165_7_165_37">#REF!*#REF!*#REF!</definedName>
    <definedName name="SHARED_FORMULA_7_166_7_166_30">+#REF!*#REF!*#REF!*#REF!</definedName>
    <definedName name="SHARED_FORMULA_7_168_7_168_33">NA()</definedName>
    <definedName name="SHARED_FORMULA_7_169_7_169_26">NA()</definedName>
    <definedName name="SHARED_FORMULA_7_17_7_17_22">#REF!*#REF!*#REF!*#REF!</definedName>
    <definedName name="SHARED_FORMULA_7_172_7_172_22">#REF!*#REF!*#REF!*#REF!</definedName>
    <definedName name="SHARED_FORMULA_7_172_7_172_26">#REF!*#REF!*#REF!*#REF!</definedName>
    <definedName name="SHARED_FORMULA_7_172_7_172_37">NA()</definedName>
    <definedName name="SHARED_FORMULA_7_174_7_174_33">#REF!*#REF!*#REF!</definedName>
    <definedName name="SHARED_FORMULA_7_175_7_175_1">NA()</definedName>
    <definedName name="SHARED_FORMULA_7_176_7_176_22">NA()</definedName>
    <definedName name="SHARED_FORMULA_7_178_7_178_30">NA()</definedName>
    <definedName name="SHARED_FORMULA_7_178_7_178_37">#REF!*#REF!*#REF!</definedName>
    <definedName name="SHARED_FORMULA_7_181_7_181_26">NA()</definedName>
    <definedName name="SHARED_FORMULA_7_183_7_183_30">#REF!*#REF!*#REF!*#REF!</definedName>
    <definedName name="SHARED_FORMULA_7_184_7_184_26">#REF!*#REF!*#REF!*#REF!</definedName>
    <definedName name="SHARED_FORMULA_7_185_7_185_37">NA()</definedName>
    <definedName name="SHARED_FORMULA_7_190_7_190_33">NA()</definedName>
    <definedName name="SHARED_FORMULA_7_191_7_191_37">#REF!*#REF!*#REF!</definedName>
    <definedName name="SHARED_FORMULA_7_193_7_193_30">NA()</definedName>
    <definedName name="SHARED_FORMULA_7_196_7_196_33">#REF!*#REF!*#REF!*#REF!*#REF!</definedName>
    <definedName name="SHARED_FORMULA_7_198_7_198_30">#REF!*#REF!*#REF!*#REF!*#REF!</definedName>
    <definedName name="SHARED_FORMULA_7_198_7_198_33">NA()</definedName>
    <definedName name="SHARED_FORMULA_7_200_7_200_26">NA()</definedName>
    <definedName name="SHARED_FORMULA_7_203_7_203_26">#REF!*#REF!*#REF!*#REF!</definedName>
    <definedName name="SHARED_FORMULA_7_204_7_204_33">#REF!*#REF!*#REF!*#REF!*#REF!</definedName>
    <definedName name="SHARED_FORMULA_7_204_7_204_37">NA()</definedName>
    <definedName name="SHARED_FORMULA_7_207_7_207_26">NA()</definedName>
    <definedName name="SHARED_FORMULA_7_21_7_21_33">#REF!*#REF!*#REF!*#REF!</definedName>
    <definedName name="SHARED_FORMULA_7_210_7_210_26">#REF!*#REF!*#REF!*#REF!</definedName>
    <definedName name="SHARED_FORMULA_7_217_7_217_37">#REF!*#REF!*#REF!*#REF!</definedName>
    <definedName name="SHARED_FORMULA_7_220_7_220_26">NA()</definedName>
    <definedName name="SHARED_FORMULA_7_2209_7_2209_9">12*2</definedName>
    <definedName name="SHARED_FORMULA_7_223_7_223_26">+#REF!*#REF!*#REF!*#REF!</definedName>
    <definedName name="SHARED_FORMULA_7_225_7_225_30">+#REF!*#REF!*#REF!*#REF!</definedName>
    <definedName name="SHARED_FORMULA_7_227_7_227_22">NA()</definedName>
    <definedName name="SHARED_FORMULA_7_228_7_228_26">NA()</definedName>
    <definedName name="SHARED_FORMULA_7_229_7_229_33">NA()</definedName>
    <definedName name="SHARED_FORMULA_7_230_7_230_30">NA()</definedName>
    <definedName name="SHARED_FORMULA_7_231_7_231_26">+#REF!*#REF!*#REF!*#REF!</definedName>
    <definedName name="SHARED_FORMULA_7_232_7_232_22">#REF!*#REF!*#REF!*#REF!</definedName>
    <definedName name="SHARED_FORMULA_7_235_7_235_33">#REF!*#REF!*#REF!</definedName>
    <definedName name="SHARED_FORMULA_7_236_7_236_26">NA()</definedName>
    <definedName name="SHARED_FORMULA_7_239_7_239_26">+#REF!*#REF!*#REF!*#REF!</definedName>
    <definedName name="SHARED_FORMULA_7_24_7_24_37">#REF!*#REF!*#REF!*#REF!</definedName>
    <definedName name="SHARED_FORMULA_7_241_7_241_22">NA()</definedName>
    <definedName name="SHARED_FORMULA_7_245_7_245_22">#REF!*#REF!*#REF!*#REF!</definedName>
    <definedName name="SHARED_FORMULA_7_245_7_245_26">NA()</definedName>
    <definedName name="SHARED_FORMULA_7_245_7_245_30">+#REF!*#REF!*#REF!</definedName>
    <definedName name="SHARED_FORMULA_7_252_7_252_26">#REF!*#REF!*#REF!*#REF!</definedName>
    <definedName name="SHARED_FORMULA_7_256_7_256_22">NA()</definedName>
    <definedName name="SHARED_FORMULA_7_260_7_260_22">#REF!*#REF!*#REF!*#REF!*#REF!</definedName>
    <definedName name="SHARED_FORMULA_7_261_7_261_26">NA()</definedName>
    <definedName name="SHARED_FORMULA_7_265_7_265_33">NA()</definedName>
    <definedName name="SHARED_FORMULA_7_271_7_271_33">#REF!*#REF!*#REF!*#REF!</definedName>
    <definedName name="SHARED_FORMULA_7_271_7_271_37">NA()</definedName>
    <definedName name="SHARED_FORMULA_7_272_7_272_22">NA()</definedName>
    <definedName name="SHARED_FORMULA_7_272_7_272_26">#REF!*#REF!*#REF!*#REF!</definedName>
    <definedName name="SHARED_FORMULA_7_273_7_273_33">NA()</definedName>
    <definedName name="SHARED_FORMULA_7_275_7_275_26">NA()</definedName>
    <definedName name="SHARED_FORMULA_7_276_7_276_22">#REF!*#REF!*#REF!*#REF!</definedName>
    <definedName name="SHARED_FORMULA_7_278_7_278_37">NA()</definedName>
    <definedName name="SHARED_FORMULA_7_279_7_279_33">#REF!*#REF!*#REF!*#REF!</definedName>
    <definedName name="SHARED_FORMULA_7_285_7_285_30">#REF!*#REF!*#REF!*#REF!</definedName>
    <definedName name="SHARED_FORMULA_7_287_7_287_26">#REF!*#REF!*#REF!*#REF!</definedName>
    <definedName name="SHARED_FORMULA_7_289_7_289_26">NA()</definedName>
    <definedName name="SHARED_FORMULA_7_290_7_290_37">#REF!*#REF!*#REF!*#REF!</definedName>
    <definedName name="SHARED_FORMULA_7_291_7_291_22">NA()</definedName>
    <definedName name="SHARED_FORMULA_7_292_7_292_30">NA()</definedName>
    <definedName name="SHARED_FORMULA_7_294_7_294_37">NA()</definedName>
    <definedName name="SHARED_FORMULA_7_295_7_295_22">#REF!*#REF!*#REF!*#REF!</definedName>
    <definedName name="SHARED_FORMULA_7_297_7_297_37">#REF!*#REF!*#REF!*#REF!</definedName>
    <definedName name="SHARED_FORMULA_7_3_7_3_25">NA()</definedName>
    <definedName name="SHARED_FORMULA_7_302_7_302_26">#REF!*#REF!*#REF!*#REF!</definedName>
    <definedName name="SHARED_FORMULA_7_302_7_302_33">NA()</definedName>
    <definedName name="SHARED_FORMULA_7_306_7_306_22">NA()</definedName>
    <definedName name="SHARED_FORMULA_7_306_7_306_30">#REF!*#REF!*#REF!*#REF!</definedName>
    <definedName name="SHARED_FORMULA_7_308_7_308_33">#REF!*#REF!*#REF!</definedName>
    <definedName name="SHARED_FORMULA_7_31_7_31_22">#REF!*#REF!*#REF!*#REF!</definedName>
    <definedName name="SHARED_FORMULA_7_310_7_310_22">#REF!*#REF!*#REF!*#REF!*#REF!</definedName>
    <definedName name="SHARED_FORMULA_7_312_7_312_37">+#REF!*#REF!*#REF!*#REF!</definedName>
    <definedName name="SHARED_FORMULA_7_316_7_316_30">NA()</definedName>
    <definedName name="SHARED_FORMULA_7_32_7_32_37">#REF!*#REF!*#REF!*#REF!</definedName>
    <definedName name="SHARED_FORMULA_7_320_7_320_33">NA()</definedName>
    <definedName name="SHARED_FORMULA_7_321_7_321_37">#REF!*#REF!*#REF!</definedName>
    <definedName name="SHARED_FORMULA_7_322_7_322_30">+#REF!*#REF!*#REF!*#REF!*#REF!</definedName>
    <definedName name="SHARED_FORMULA_7_325_7_325_22">NA()</definedName>
    <definedName name="SHARED_FORMULA_7_326_7_326_33">#REF!*#REF!</definedName>
    <definedName name="SHARED_FORMULA_7_329_7_329_22">#REF!*#REF!*#REF!*#REF!</definedName>
    <definedName name="SHARED_FORMULA_7_329_7_329_26">NA()</definedName>
    <definedName name="SHARED_FORMULA_7_330_7_330_30">+#REF!*#REF!*#REF!</definedName>
    <definedName name="SHARED_FORMULA_7_333_7_333_30">NA()</definedName>
    <definedName name="SHARED_FORMULA_7_335_7_335_37">NA()</definedName>
    <definedName name="SHARED_FORMULA_7_337_7_337_26">NA()</definedName>
    <definedName name="SHARED_FORMULA_7_34_7_34_22">NA()</definedName>
    <definedName name="SHARED_FORMULA_7_34_7_34_26">+#REF!*#REF!*#REF!*#REF!</definedName>
    <definedName name="SHARED_FORMULA_7_343_7_343_22">NA()</definedName>
    <definedName name="SHARED_FORMULA_7_344_7_344_37">NA()</definedName>
    <definedName name="SHARED_FORMULA_7_347_7_347_22">#REF!*#REF!*#REF!*#REF!</definedName>
    <definedName name="SHARED_FORMULA_7_347_7_347_30">#REF!*#REF!*#REF!</definedName>
    <definedName name="SHARED_FORMULA_7_348_7_348_26">NA()</definedName>
    <definedName name="SHARED_FORMULA_7_349_7_349_26">+#REF!*#REF!*#REF!*#REF!</definedName>
    <definedName name="SHARED_FORMULA_7_352_7_352_33">NA()</definedName>
    <definedName name="SHARED_FORMULA_7_356_7_356_26">NA()</definedName>
    <definedName name="SHARED_FORMULA_7_357_7_357_26">+#REF!*#REF!*#REF!*#REF!</definedName>
    <definedName name="SHARED_FORMULA_7_358_7_358_22">NA()</definedName>
    <definedName name="SHARED_FORMULA_7_358_7_358_33">#REF!*#REF!*#REF!</definedName>
    <definedName name="SHARED_FORMULA_7_362_7_362_22">#REF!*#REF!*#REF!*#REF!*#REF!</definedName>
    <definedName name="SHARED_FORMULA_7_362_7_362_37">#REF!*#REF!*#REF!*#REF!*#REF!</definedName>
    <definedName name="SHARED_FORMULA_7_366_7_366_30">NA()</definedName>
    <definedName name="SHARED_FORMULA_7_368_7_368_26">+#REF!*#REF!*#REF!*#REF!</definedName>
    <definedName name="SHARED_FORMULA_7_37_7_37_26">NA()</definedName>
    <definedName name="SHARED_FORMULA_7_370_7_370_30">#REF!*#REF!*#REF!*#REF!</definedName>
    <definedName name="SHARED_FORMULA_7_376_7_376_26">+#REF!*#REF!*#REF!*#REF!</definedName>
    <definedName name="SHARED_FORMULA_7_378_7_378_30">NA()</definedName>
    <definedName name="SHARED_FORMULA_7_379_7_379_30">#REF!*#REF!*#REF!</definedName>
    <definedName name="SHARED_FORMULA_7_38_7_38_30">+#REF!*#REF!*#REF!*#REF!</definedName>
    <definedName name="SHARED_FORMULA_7_388_7_388_26">+#REF!*#REF!*#REF!*#REF!</definedName>
    <definedName name="SHARED_FORMULA_7_39_7_39_37">#REF!*#REF!*#REF!*#REF!</definedName>
    <definedName name="SHARED_FORMULA_7_39_7_39_8">NA()</definedName>
    <definedName name="SHARED_FORMULA_7_396_7_396_26">+#REF!*#REF!*#REF!*#REF!</definedName>
    <definedName name="SHARED_FORMULA_7_397_7_397_30">NA()</definedName>
    <definedName name="SHARED_FORMULA_7_398_7_398_22">NA()</definedName>
    <definedName name="SHARED_FORMULA_7_399_7_399_30">#REF!*#REF!*#REF!</definedName>
    <definedName name="SHARED_FORMULA_7_4_7_4_26">+#REF!*#REF!*#REF!*#REF!</definedName>
    <definedName name="SHARED_FORMULA_7_408_7_408_26">+#REF!*#REF!*#REF!*#REF!</definedName>
    <definedName name="SHARED_FORMULA_7_41_7_41_30">NA()</definedName>
    <definedName name="SHARED_FORMULA_7_411_7_411_22">NA()</definedName>
    <definedName name="SHARED_FORMULA_7_412_7_412_22">#REF!*#REF!*#REF!*#REF!</definedName>
    <definedName name="SHARED_FORMULA_7_414_7_414_37">NA()</definedName>
    <definedName name="SHARED_FORMULA_7_416_7_416_26">+#REF!*#REF!*#REF!*#REF!</definedName>
    <definedName name="SHARED_FORMULA_7_418_7_418_30">+#REF!*#REF!*#REF!</definedName>
    <definedName name="SHARED_FORMULA_7_42_7_42_26">+#REF!*#REF!*#REF!*#REF!</definedName>
    <definedName name="SHARED_FORMULA_7_431_7_431_22">#REF!*#REF!*#REF!*#REF!</definedName>
    <definedName name="SHARED_FORMULA_7_431_7_431_30">NA()</definedName>
    <definedName name="SHARED_FORMULA_7_435_7_435_37">NA()</definedName>
    <definedName name="SHARED_FORMULA_7_45_7_45_26">NA()</definedName>
    <definedName name="SHARED_FORMULA_7_451_7_451_37">+#REF!*#REF!*#REF!*#REF!</definedName>
    <definedName name="SHARED_FORMULA_7_453_7_453_30">NA()</definedName>
    <definedName name="SHARED_FORMULA_7_453_7_453_37">NA()</definedName>
    <definedName name="SHARED_FORMULA_7_457_7_457_30">+#REF!*#REF!*#REF!</definedName>
    <definedName name="SHARED_FORMULA_7_46_7_46_22">#REF!*#REF!*#REF!*#REF!</definedName>
    <definedName name="SHARED_FORMULA_7_472_7_472_37">+#REF!*#REF!*#REF!*#REF!</definedName>
    <definedName name="SHARED_FORMULA_7_473_7_473_22">NA()</definedName>
    <definedName name="SHARED_FORMULA_7_479_7_479_30">+#REF!*#REF!*#REF!</definedName>
    <definedName name="SHARED_FORMULA_7_49_7_49_22">NA()</definedName>
    <definedName name="SHARED_FORMULA_7_494_7_494_37">+#REF!*#REF!*#REF!*#REF!</definedName>
    <definedName name="SHARED_FORMULA_7_5_7_5_22">#REF!*#REF!*#REF!*#REF!</definedName>
    <definedName name="SHARED_FORMULA_7_500_7_500_22">#REF!*#REF!*#REF!*#REF!</definedName>
    <definedName name="SHARED_FORMULA_7_505_7_505_22">NA()</definedName>
    <definedName name="SHARED_FORMULA_7_509_7_509_26">NA()</definedName>
    <definedName name="SHARED_FORMULA_7_520_7_520_37">NA()</definedName>
    <definedName name="SHARED_FORMULA_7_532_7_532_22">#REF!*#REF!*#REF!*#REF!</definedName>
    <definedName name="SHARED_FORMULA_7_538_7_538_22">NA()</definedName>
    <definedName name="SHARED_FORMULA_7_539_7_539_37">#REF!*#REF!*#REF!</definedName>
    <definedName name="SHARED_FORMULA_7_541_7_541_26">#REF!*#REF!</definedName>
    <definedName name="SHARED_FORMULA_7_544_7_544_37">NA()</definedName>
    <definedName name="SHARED_FORMULA_7_549_7_549_22">NA()</definedName>
    <definedName name="SHARED_FORMULA_7_565_7_565_22">#REF!*#REF!*#REF!*#REF!</definedName>
    <definedName name="SHARED_FORMULA_7_565_7_565_37">+#REF!*#REF!*#REF!</definedName>
    <definedName name="SHARED_FORMULA_7_57_7_57_22">#REF!*#REF!*#REF!*#REF!</definedName>
    <definedName name="SHARED_FORMULA_7_57_7_57_30">#REF!*#REF!*#REF!*#REF!</definedName>
    <definedName name="SHARED_FORMULA_7_571_7_571_26">NA()</definedName>
    <definedName name="SHARED_FORMULA_7_577_7_577_22">#REF!*#REF!*#REF!*#REF!</definedName>
    <definedName name="SHARED_FORMULA_7_581_7_581_22">NA()</definedName>
    <definedName name="SHARED_FORMULA_7_589_7_589_37">+#REF!*#REF!*#REF!*#REF!</definedName>
    <definedName name="SHARED_FORMULA_7_599_7_599_26">NA()</definedName>
    <definedName name="SHARED_FORMULA_7_60_7_60_22">NA()</definedName>
    <definedName name="SHARED_FORMULA_7_60_7_60_30">NA()</definedName>
    <definedName name="SHARED_FORMULA_7_609_7_609_22">#REF!*#REF!*#REF!*#REF!</definedName>
    <definedName name="SHARED_FORMULA_7_609_7_609_26">#REF!*#REF!*#REF!*#REF!*#REF!</definedName>
    <definedName name="SHARED_FORMULA_7_610_7_610_22">NA()</definedName>
    <definedName name="SHARED_FORMULA_7_611_7_611_26">NA()</definedName>
    <definedName name="SHARED_FORMULA_7_620_7_620_22">NA()</definedName>
    <definedName name="SHARED_FORMULA_7_628_7_628_26">NA()</definedName>
    <definedName name="SHARED_FORMULA_7_63_7_63_26">+#REF!*#REF!*#REF!*#REF!</definedName>
    <definedName name="SHARED_FORMULA_7_637_7_637_26">#REF!*#REF!*#REF!*#REF!</definedName>
    <definedName name="SHARED_FORMULA_7_638_7_638_22">#REF!*#REF!*#REF!*#REF!</definedName>
    <definedName name="SHARED_FORMULA_7_638_7_638_26">NA()</definedName>
    <definedName name="SHARED_FORMULA_7_640_7_640_22">NA()</definedName>
    <definedName name="SHARED_FORMULA_7_648_7_648_22">#REF!*#REF!*#REF!*#REF!</definedName>
    <definedName name="SHARED_FORMULA_7_649_7_649_26">#REF!*#REF!*#REF!*#REF!*#REF!</definedName>
    <definedName name="SHARED_FORMULA_7_65_7_65_8">NA()</definedName>
    <definedName name="SHARED_FORMULA_7_655_7_655_26">NA()</definedName>
    <definedName name="SHARED_FORMULA_7_66_7_66_26">NA()</definedName>
    <definedName name="SHARED_FORMULA_7_660_7_660_22">#REF!*#REF!*#REF!</definedName>
    <definedName name="SHARED_FORMULA_7_664_7_664_22">NA()</definedName>
    <definedName name="SHARED_FORMULA_7_665_7_665_26">NA()</definedName>
    <definedName name="SHARED_FORMULA_7_666_7_666_26">+#REF!*#REF!*#REF!*#REF!</definedName>
    <definedName name="SHARED_FORMULA_7_67_7_67_30">+#REF!*#REF!*#REF!*#REF!</definedName>
    <definedName name="SHARED_FORMULA_7_674_7_674_26">#REF!*#REF!*#REF!*#REF!*#REF!</definedName>
    <definedName name="SHARED_FORMULA_7_677_7_677_22">NA()</definedName>
    <definedName name="SHARED_FORMULA_7_680_7_680_22">#REF!*#REF!*#REF!</definedName>
    <definedName name="SHARED_FORMULA_7_682_7_682_26">NA()</definedName>
    <definedName name="SHARED_FORMULA_7_691_7_691_26">+#REF!*#REF!*#REF!*#REF!</definedName>
    <definedName name="SHARED_FORMULA_7_697_7_697_26">NA()</definedName>
    <definedName name="SHARED_FORMULA_7_699_7_699_26">#REF!*#REF!*#REF!*#REF!*#REF!</definedName>
    <definedName name="SHARED_FORMULA_7_7_7_7_33">#REF!*#REF!*#REF!*#REF!</definedName>
    <definedName name="SHARED_FORMULA_7_70_7_70_30">NA()</definedName>
    <definedName name="SHARED_FORMULA_7_707_7_707_22">#REF!*#REF!*#REF!*#REF!*#REF!</definedName>
    <definedName name="SHARED_FORMULA_7_716_7_716_26">#REF!*#REF!*#REF!*#REF!</definedName>
    <definedName name="SHARED_FORMULA_7_72_7_72_22">#REF!*#REF!*#REF!*#REF!</definedName>
    <definedName name="SHARED_FORMULA_7_720_7_720_22">#REF!*#REF!*#REF!*#REF!*#REF!</definedName>
    <definedName name="SHARED_FORMULA_7_722_7_722_26">NA()</definedName>
    <definedName name="SHARED_FORMULA_7_732_7_732_26">#REF!*#REF!*#REF!*#REF!</definedName>
    <definedName name="SHARED_FORMULA_7_741_7_741_26">NA()</definedName>
    <definedName name="SHARED_FORMULA_7_75_7_75_22">NA()</definedName>
    <definedName name="SHARED_FORMULA_7_752_7_752_22">NA()</definedName>
    <definedName name="SHARED_FORMULA_7_757_7_757_26">#REF!*#REF!*#REF!*#REF!</definedName>
    <definedName name="SHARED_FORMULA_7_760_7_760_26">NA()</definedName>
    <definedName name="SHARED_FORMULA_7_769_7_769_22">NA()</definedName>
    <definedName name="SHARED_FORMULA_7_776_7_776_26">#REF!*#REF!*#REF!*#REF!</definedName>
    <definedName name="SHARED_FORMULA_7_780_7_780_26">NA()</definedName>
    <definedName name="SHARED_FORMULA_7_792_7_792_26">NA()</definedName>
    <definedName name="SHARED_FORMULA_7_795_7_795_26">#REF!*#REF!*#REF!*#REF!</definedName>
    <definedName name="SHARED_FORMULA_7_801_7_801_22">NA()</definedName>
    <definedName name="SHARED_FORMULA_7_803_7_803_26">NA()</definedName>
    <definedName name="SHARED_FORMULA_7_805_7_805_22">#REF!*#REF!*#REF!*#REF!</definedName>
    <definedName name="SHARED_FORMULA_7_813_7_813_22">NA()</definedName>
    <definedName name="SHARED_FORMULA_7_814_7_814_26">NA()</definedName>
    <definedName name="SHARED_FORMULA_7_815_7_815_26">+#REF!*#REF!*#REF!*#REF!*#REF!</definedName>
    <definedName name="SHARED_FORMULA_7_826_7_826_26">NA()</definedName>
    <definedName name="SHARED_FORMULA_7_827_7_827_26">+#REF!*#REF!*#REF!*#REF!*#REF!</definedName>
    <definedName name="SHARED_FORMULA_7_828_7_828_22">NA()</definedName>
    <definedName name="SHARED_FORMULA_7_837_7_837_26">+#REF!*#REF!*#REF!*#REF!*#REF!</definedName>
    <definedName name="SHARED_FORMULA_7_84_7_84_26">#REF!*#REF!*#REF!*#REF!</definedName>
    <definedName name="SHARED_FORMULA_7_84_7_84_30">+#REF!*#REF!*#REF!*#REF!</definedName>
    <definedName name="SHARED_FORMULA_7_84_7_84_37">NA()</definedName>
    <definedName name="SHARED_FORMULA_7_843_7_843_22">#REF!*#REF!*#REF!*#REF!</definedName>
    <definedName name="SHARED_FORMULA_7_847_7_847_26">+#REF!*#REF!*#REF!*#REF!*#REF!</definedName>
    <definedName name="SHARED_FORMULA_7_850_7_850_26">NA()</definedName>
    <definedName name="SHARED_FORMULA_7_853_7_853_22">#REF!*#REF!*#REF!*#REF!</definedName>
    <definedName name="SHARED_FORMULA_7_859_7_859_22">NA()</definedName>
    <definedName name="SHARED_FORMULA_7_86_7_86_30">NA()</definedName>
    <definedName name="SHARED_FORMULA_7_866_7_866_26">NA()</definedName>
    <definedName name="SHARED_FORMULA_7_869_7_869_26">+#REF!*#REF!*#REF!</definedName>
    <definedName name="SHARED_FORMULA_7_87_7_87_26">NA()</definedName>
    <definedName name="SHARED_FORMULA_7_87_7_87_37">#REF!*#REF!*#REF!*#REF!</definedName>
    <definedName name="SHARED_FORMULA_7_870_7_870_22">NA()</definedName>
    <definedName name="SHARED_FORMULA_7_882_7_882_26">NA()</definedName>
    <definedName name="SHARED_FORMULA_7_893_7_893_26">+#REF!*#REF!*#REF!</definedName>
    <definedName name="SHARED_FORMULA_7_895_7_895_22">#REF!*#REF!*#REF!*#REF!</definedName>
    <definedName name="SHARED_FORMULA_7_9_7_9_37">#REF!*#REF!*#REF!*#REF!</definedName>
    <definedName name="SHARED_FORMULA_7_900_7_900_22">NA()</definedName>
    <definedName name="SHARED_FORMULA_7_900_7_900_26">NA()</definedName>
    <definedName name="SHARED_FORMULA_7_906_7_906_22">#REF!*#REF!*#REF!*#REF!</definedName>
    <definedName name="SHARED_FORMULA_7_909_7_909_26">+#REF!*#REF!*#REF!</definedName>
    <definedName name="SHARED_FORMULA_7_91_7_91_37">NA()</definedName>
    <definedName name="SHARED_FORMULA_7_925_7_925_26">+#REF!*#REF!*#REF!</definedName>
    <definedName name="SHARED_FORMULA_7_926_7_926_22">#REF!*#REF!*#REF!*#REF!</definedName>
    <definedName name="SHARED_FORMULA_7_932_7_932_22">NA()</definedName>
    <definedName name="SHARED_FORMULA_7_932_7_932_26">NA()</definedName>
    <definedName name="SHARED_FORMULA_7_94_7_94_37">#REF!*#REF!*#REF!*#REF!</definedName>
    <definedName name="SHARED_FORMULA_7_941_7_941_22">NA()</definedName>
    <definedName name="SHARED_FORMULA_7_945_7_945_26">#REF!*#REF!*#REF!*#REF!</definedName>
    <definedName name="SHARED_FORMULA_7_947_7_947_22">#REF!*#REF!*#REF!*#REF!</definedName>
    <definedName name="SHARED_FORMULA_7_951_7_951_22">NA()</definedName>
    <definedName name="SHARED_FORMULA_7_96_7_96_33">NA()</definedName>
    <definedName name="SHARED_FORMULA_7_962_7_962_26">NA()</definedName>
    <definedName name="SHARED_FORMULA_7_969_7_969_22">NA()</definedName>
    <definedName name="SHARED_FORMULA_7_976_7_976_26">NA()</definedName>
    <definedName name="SHARED_FORMULA_7_977_7_977_22">#REF!*#REF!*#REF!*#REF!</definedName>
    <definedName name="SHARED_FORMULA_7_982_7_982_26">#REF!*#REF!*#REF!*#REF!</definedName>
    <definedName name="SHARED_FORMULA_7_988_7_988_22">NA()</definedName>
    <definedName name="SHARED_FORMULA_7_992_7_992_26">#REF!*#REF!*#REF!*#REF!</definedName>
    <definedName name="SHARED_FORMULA_8_1161_8_1161_6">NA()</definedName>
    <definedName name="SHARED_FORMULA_8_1242_8_1242_6">NA()</definedName>
    <definedName name="SHARED_FORMULA_8_1255_8_1255_6">NA()</definedName>
    <definedName name="SHARED_FORMULA_8_1272_8_1272_6">NA()</definedName>
    <definedName name="SHARED_FORMULA_8_1308_8_1308_5">NA()</definedName>
    <definedName name="SHARED_FORMULA_8_1418_8_1418_6">NA()</definedName>
    <definedName name="SHARED_FORMULA_8_1426_8_1426_6">NA()</definedName>
    <definedName name="SHARED_FORMULA_8_1434_8_1434_6">NA()</definedName>
    <definedName name="SHARED_FORMULA_8_1709_8_1709_6">NA()</definedName>
    <definedName name="SHARED_FORMULA_8_1754_8_1754_6">NA()</definedName>
    <definedName name="SHARED_FORMULA_8_1777_8_1777_6">NA()</definedName>
    <definedName name="SHARED_FORMULA_8_1801_8_1801_6">NA()</definedName>
    <definedName name="SHARED_FORMULA_8_3_8_3_25">NA()</definedName>
    <definedName name="SHARED_FORMULA_8_46_8_46_5">NA()</definedName>
    <definedName name="SHARED_FORMULA_8_51_8_51_5">NA()</definedName>
    <definedName name="SHARED_FORMULA_8_54_8_54_5">NA()</definedName>
    <definedName name="SHARED_FORMULA_9_617_9_617_9">NA()</definedName>
    <definedName name="SHASHI">NA()</definedName>
    <definedName name="sheet1">NA()</definedName>
    <definedName name="Sheet2">"[93]data!#ref!"</definedName>
    <definedName name="shi">NA()</definedName>
    <definedName name="shiva">NA()</definedName>
    <definedName name="SHOULDERS">NA()</definedName>
    <definedName name="shru">"[412]footings!#ref!"</definedName>
    <definedName name="Shyam">NA()</definedName>
    <definedName name="si">NA()</definedName>
    <definedName name="SIDEWALL">NA()</definedName>
    <definedName name="SIDEWALLSONETOSIX">NA()</definedName>
    <definedName name="SIDEWALLSSEVENTOTHIRTEEN">#REF!</definedName>
    <definedName name="signage">"'[141]14'!$a$1:$u$65536"</definedName>
    <definedName name="single">NA()</definedName>
    <definedName name="sir">NA()</definedName>
    <definedName name="Siri">Scheduled_Payment+Extra_Payment</definedName>
    <definedName name="SITE">#REF!</definedName>
    <definedName name="SIXTOTHIRTEEN">#REF!</definedName>
    <definedName name="size">NA()</definedName>
    <definedName name="SKDIRD">{"'ridftotal'!$A$4:$S$27"}</definedName>
    <definedName name="skirting_shahbad">NA()</definedName>
    <definedName name="sla">NA()</definedName>
    <definedName name="SLAB">#REF!</definedName>
    <definedName name="slab_8">NA()</definedName>
    <definedName name="SLAB1">NA()</definedName>
    <definedName name="SLOAD">#REF!</definedName>
    <definedName name="sluicevalve">NA()</definedName>
    <definedName name="SLUICEVALVES">NA()</definedName>
    <definedName name="Slushy_soil_and_silt_clearance_upto_0_60_metres_depth_SS_20_B">NA()</definedName>
    <definedName name="sm">#REF!</definedName>
    <definedName name="sma">NA()</definedName>
    <definedName name="SMAZDOOR">#REF!</definedName>
    <definedName name="smc">#REF!</definedName>
    <definedName name="smetal">NA()</definedName>
    <definedName name="sn">#REF!</definedName>
    <definedName name="sngsd">#REF!</definedName>
    <definedName name="sngst">#REF!</definedName>
    <definedName name="so_desgn">#REF!</definedName>
    <definedName name="Soft_disentigrated_rock___removable_by_pick_axes_and_crow_bars">NA()</definedName>
    <definedName name="soil_types">#REF!</definedName>
    <definedName name="Soling">NA()</definedName>
    <definedName name="Soling_stone_of_150_mm_size_of_granite__trap_and_Dolamite_varieties_">NA()</definedName>
    <definedName name="SortOrder">NA()</definedName>
    <definedName name="sp">NA()</definedName>
    <definedName name="SP_136_BCCP">NA()</definedName>
    <definedName name="SP_136_BODY">NA()</definedName>
    <definedName name="SP_136_FLY_BCCP">NA()</definedName>
    <definedName name="Sp_136_Found">#REF!</definedName>
    <definedName name="SP_148_BCCP">NA()</definedName>
    <definedName name="SP_BACKFILL">NA()</definedName>
    <definedName name="SP_BED_HP">NA()</definedName>
    <definedName name="Sp_BetweenBodywalls">#REF!</definedName>
    <definedName name="SP_BM">#REF!</definedName>
    <definedName name="SP_BM_50">NA()</definedName>
    <definedName name="SP_BT_PATCH_40">NA()</definedName>
    <definedName name="SP_Diversion_Road">#REF!</definedName>
    <definedName name="sp_eew">#REF!</definedName>
    <definedName name="SP_EW_C">NA()</definedName>
    <definedName name="SP_EW_Car">#REF!</definedName>
    <definedName name="SP_EW_FMC_Side">#REF!</definedName>
    <definedName name="SP_EW_Form_OMC">#REF!</definedName>
    <definedName name="SP_EW_FOUND">NA()</definedName>
    <definedName name="SP_EW_Man">#REF!</definedName>
    <definedName name="SP_EW_OMC_Car">#REF!</definedName>
    <definedName name="SP_EW_OMC_Side">#REF!</definedName>
    <definedName name="SP_EW_S">NA()</definedName>
    <definedName name="SP_EW_SIDE">NA()</definedName>
    <definedName name="sp_EW_side_OMC">#REF!</definedName>
    <definedName name="SP_EW_T">NA()</definedName>
    <definedName name="SP_EW_USS">NA()</definedName>
    <definedName name="SP_FILL_INB_BODY">NA()</definedName>
    <definedName name="SP_FILTER_ABUT">NA()</definedName>
    <definedName name="SP_FILTER_BPITCH">NA()</definedName>
    <definedName name="SP_G2_22B_AS_PR">NA()</definedName>
    <definedName name="SP_G2_22B_AS_VR">NA()</definedName>
    <definedName name="SP_G2_45B_AS_PR">NA()</definedName>
    <definedName name="SP_G2_45B_AS_VR">NA()</definedName>
    <definedName name="SP_G3_22B_BS_PR">NA()</definedName>
    <definedName name="SP_G3_22B_BS_VR">NA()</definedName>
    <definedName name="SP_G3_45B_BS_PR">NA()</definedName>
    <definedName name="SP_G3_45B_BS_VR">NA()</definedName>
    <definedName name="SP_Gravel_Bedding">#REF!</definedName>
    <definedName name="SP_Gravel_Quardrent">#REF!</definedName>
    <definedName name="SP_GROUT_REV">NA()</definedName>
    <definedName name="SP_GS">NA()</definedName>
    <definedName name="Sp_GSB">#REF!</definedName>
    <definedName name="SP_HP_600">#REF!</definedName>
    <definedName name="Sp_HPC">#REF!</definedName>
    <definedName name="SP_HPL_600">#REF!</definedName>
    <definedName name="SP_HYSD_FOUND">NA()</definedName>
    <definedName name="SP_HYSD_SUB">NA()</definedName>
    <definedName name="SP_HYSD_Super">#REF!</definedName>
    <definedName name="SP_M10_base">#REF!</definedName>
    <definedName name="sp_M10_bCC">#REF!</definedName>
    <definedName name="SP_M10_drainS">#REF!</definedName>
    <definedName name="SP_M15_deviders">#REF!</definedName>
    <definedName name="SP_M15_DIVIDERS">NA()</definedName>
    <definedName name="SP_M15_footing">#REF!</definedName>
    <definedName name="SP_M15_FOUND">NA()</definedName>
    <definedName name="SP_M15_LEVEL">NA()</definedName>
    <definedName name="SP_M15_SUB">#REF!</definedName>
    <definedName name="Sp_M20_Bed">#REF!</definedName>
    <definedName name="SP_M20_BedBack">#REF!</definedName>
    <definedName name="SP_M20_COVER">#REF!</definedName>
    <definedName name="SP_M20_Slab">#REF!</definedName>
    <definedName name="SP_M20R_BEDBLOCKS">NA()</definedName>
    <definedName name="SP_M20R_COVER_SLAB">NA()</definedName>
    <definedName name="SP_M20R_DECK">NA()</definedName>
    <definedName name="SP_M20R_RAIL">NA()</definedName>
    <definedName name="SP_M25_ApproachSlab">#REF!</definedName>
    <definedName name="SP_M25R_APP">NA()</definedName>
    <definedName name="SP_M30_WC">#REF!</definedName>
    <definedName name="SP_M30R_WC">NA()</definedName>
    <definedName name="SP_M35_CC">#REF!</definedName>
    <definedName name="SP_M35_CCP">NA()</definedName>
    <definedName name="SP_M35_fLY_CCP">NA()</definedName>
    <definedName name="SP_M35_FlyAsh">#REF!</definedName>
    <definedName name="SP_Mild">#REF!</definedName>
    <definedName name="Sp_MSS">#REF!</definedName>
    <definedName name="SP_PAINT">NA()</definedName>
    <definedName name="SP_Painting">#REF!</definedName>
    <definedName name="SP_Pick">#REF!</definedName>
    <definedName name="SP_PLAST">NA()</definedName>
    <definedName name="SP_Plastering">#REF!</definedName>
    <definedName name="SP_Rev_A300">#REF!</definedName>
    <definedName name="SP_Rev_Q300">#REF!</definedName>
    <definedName name="SP_REV300">NA()</definedName>
    <definedName name="SP_SANDFILL">NA()</definedName>
    <definedName name="SP_Sandfilling">#REF!</definedName>
    <definedName name="SP_Scar_BT">#REF!</definedName>
    <definedName name="SP_SCAR_GRA">NA()</definedName>
    <definedName name="SP_Scar_GSB">#REF!</definedName>
    <definedName name="Sp_Scarf">#REF!</definedName>
    <definedName name="SP_SCSD">#REF!</definedName>
    <definedName name="SP_SCSD_6070">NA()</definedName>
    <definedName name="SP_SCSD_80100">#REF!</definedName>
    <definedName name="SP_SDBC">NA()</definedName>
    <definedName name="Sp_Shoulders">#REF!</definedName>
    <definedName name="SP_Tack">#REF!</definedName>
    <definedName name="Sp_WBM_G2">#REF!</definedName>
    <definedName name="SP_WBM_G3">#REF!</definedName>
    <definedName name="SP_WBM2">#REF!</definedName>
    <definedName name="SP_WBM2_HVR">#REF!</definedName>
    <definedName name="SP_WBM2_MCS">#REF!</definedName>
    <definedName name="SP_WBM2_MVR">#REF!</definedName>
    <definedName name="SP_WBM3">#REF!</definedName>
    <definedName name="SP_WBM3_HVR">#REF!</definedName>
    <definedName name="SP_WBM3_MCS">#REF!</definedName>
    <definedName name="SP_Weepholes">#REF!</definedName>
    <definedName name="SP_WMM">#REF!</definedName>
    <definedName name="sp002a">NA()</definedName>
    <definedName name="sp004a">NA()</definedName>
    <definedName name="SP005A">NA()</definedName>
    <definedName name="SP022a">NA()</definedName>
    <definedName name="sp023a">NA()</definedName>
    <definedName name="sp025a">NA()</definedName>
    <definedName name="SP034a">NA()</definedName>
    <definedName name="spaint">NA()</definedName>
    <definedName name="Spare">"[284]iocount!#ref!"</definedName>
    <definedName name="spas">NA()</definedName>
    <definedName name="spds">NA()</definedName>
    <definedName name="SpecialPrice" hidden="1">#REF!</definedName>
    <definedName name="Spreading__watering_gravel_for_150mm_compacted">NA()</definedName>
    <definedName name="SPREADING_40MM">NA()</definedName>
    <definedName name="SPREADING_65MM">NA()</definedName>
    <definedName name="Spreading_gravel_or_sand_including_watering_and_rolling_with_hand_roller_irrespective_of_thickness_in_layer">#REF!</definedName>
    <definedName name="sprev">NA()</definedName>
    <definedName name="spryer">NA()</definedName>
    <definedName name="Spülfreqenz_Filter">"[148]balan1!#ref!"</definedName>
    <definedName name="sri">#REF!</definedName>
    <definedName name="srinu">#REF!</definedName>
    <definedName name="ss">NA()</definedName>
    <definedName name="ss_pipes">NA()</definedName>
    <definedName name="ss_railing">NA()</definedName>
    <definedName name="SS_Reinigung_in_BiopurC">"[148]balan1!#ref!"</definedName>
    <definedName name="SS_reinigung_in_BiopurN">"[148]balan1!#ref!"</definedName>
    <definedName name="SS_Reinigung_in_Filter">"[148]balan1!#ref!"</definedName>
    <definedName name="ssand">NA()</definedName>
    <definedName name="Ssec1">NA()</definedName>
    <definedName name="Ssec2">NA()</definedName>
    <definedName name="Ssec3">NA()</definedName>
    <definedName name="Ssec4">NA()</definedName>
    <definedName name="Ssec5">NA()</definedName>
    <definedName name="Ssec6">NA()</definedName>
    <definedName name="SSF">NA()</definedName>
    <definedName name="SSR_Year">#REF!</definedName>
    <definedName name="sss">#REF!</definedName>
    <definedName name="sssaaa">NA()</definedName>
    <definedName name="ssss">NA()</definedName>
    <definedName name="SSSSS">"[113]data.f8.btr!#ref!"</definedName>
    <definedName name="ssssss">#REF!</definedName>
    <definedName name="ssssssa">"[71]material!#ref!"</definedName>
    <definedName name="ssssssssssssssss">"[71]material!#ref!"</definedName>
    <definedName name="sst">NA()</definedName>
    <definedName name="SSTACK">#REF!</definedName>
    <definedName name="sstype3drop">NA()</definedName>
    <definedName name="SSTYPE3DROP1">NA()</definedName>
    <definedName name="sstype3slab">NA()</definedName>
    <definedName name="SSTYPESLAB1">NA()</definedName>
    <definedName name="st">#REF!</definedName>
    <definedName name="st_100">NA()</definedName>
    <definedName name="st_150">NA()</definedName>
    <definedName name="st_200">NA()</definedName>
    <definedName name="st_25">NA()</definedName>
    <definedName name="st_250">NA()</definedName>
    <definedName name="st_300">NA()</definedName>
    <definedName name="st_32">NA()</definedName>
    <definedName name="st_40">NA()</definedName>
    <definedName name="st_400">NA()</definedName>
    <definedName name="st_50">NA()</definedName>
    <definedName name="st_500">NA()</definedName>
    <definedName name="st_65">NA()</definedName>
    <definedName name="st_80">NA()</definedName>
    <definedName name="stack">#REF!</definedName>
    <definedName name="stack1">#REF!</definedName>
    <definedName name="stack4">#REF!</definedName>
    <definedName name="stack5">NA()</definedName>
    <definedName name="stacking">NA()</definedName>
    <definedName name="stacking_gravel">NA()</definedName>
    <definedName name="stacking_metal">NA()</definedName>
    <definedName name="staf">#REF!</definedName>
    <definedName name="staff">#REF!</definedName>
    <definedName name="Staff1">"[130]v!#ref!"</definedName>
    <definedName name="Stagging">"[428]boq!#ref!"</definedName>
    <definedName name="Staircase">NA()</definedName>
    <definedName name="Staircase_8">NA()</definedName>
    <definedName name="Staircase2">NA()</definedName>
    <definedName name="STANDARD_SPECIFICATION_FOR_HOSPITAL_STRUCTURES">NA()</definedName>
    <definedName name="standrad">NA()</definedName>
    <definedName name="State">#REF!</definedName>
    <definedName name="STE">NA()</definedName>
    <definedName name="steel">NA()</definedName>
    <definedName name="steel_hysd">NA()</definedName>
    <definedName name="steel_mildbar">NA()</definedName>
    <definedName name="STEEL_WOODEN_SCAFFOLDING">#REF!</definedName>
    <definedName name="steelcenA">NA()</definedName>
    <definedName name="steelcenB">NA()</definedName>
    <definedName name="steelcenpb">NA()</definedName>
    <definedName name="sth">NA()</definedName>
    <definedName name="stock">NA()</definedName>
    <definedName name="stone">#REF!</definedName>
    <definedName name="stone_dust">NA()</definedName>
    <definedName name="Stone_matrix">NA()</definedName>
    <definedName name="STONEDUST">NA()</definedName>
    <definedName name="stoneld">"[222]leads!#ref!"</definedName>
    <definedName name="STONES_UPTO_25MM">#REF!</definedName>
    <definedName name="STONEWARE_SP1">#REF!</definedName>
    <definedName name="STONEWARE_SP2">#REF!</definedName>
    <definedName name="STONEWARE_SP3">#REF!</definedName>
    <definedName name="stp">NA()</definedName>
    <definedName name="str_steel">NA()</definedName>
    <definedName name="str_steel_plates">NA()</definedName>
    <definedName name="Streitwert">NA()</definedName>
    <definedName name="StrID">NA()</definedName>
    <definedName name="structure">NA()</definedName>
    <definedName name="stth">NA()</definedName>
    <definedName name="studext">NA()</definedName>
    <definedName name="STUDEXT1">NA()</definedName>
    <definedName name="stype2drop">NA()</definedName>
    <definedName name="STYPE2DROP1">NA()</definedName>
    <definedName name="stype2slab">NA()</definedName>
    <definedName name="STYPE2SLAB1">NA()</definedName>
    <definedName name="stype3drop">NA()</definedName>
    <definedName name="STYPE3DROP2">NA()</definedName>
    <definedName name="stype3slab">NA()</definedName>
    <definedName name="STYPE3SLAB1">NA()</definedName>
    <definedName name="SU">NA()</definedName>
    <definedName name="subbu">NA()</definedName>
    <definedName name="Subject">NA()</definedName>
    <definedName name="sudheer">NA()</definedName>
    <definedName name="suhas">NA()</definedName>
    <definedName name="sujin">NA()</definedName>
    <definedName name="Sum">NA()</definedName>
    <definedName name="suman">#REF!</definedName>
    <definedName name="SUMFINAL">NA()</definedName>
    <definedName name="summar">#REF!</definedName>
    <definedName name="summary">#REF!</definedName>
    <definedName name="SUMP">NA()</definedName>
    <definedName name="sumrisk">NA()</definedName>
    <definedName name="sun">#REF!</definedName>
    <definedName name="SUNLOAD">#REF!</definedName>
    <definedName name="Sunshade_0_6_m_wide">NA()</definedName>
    <definedName name="Sunshade_0_8_m_wide">NA()</definedName>
    <definedName name="Sunshade_1_0_m_wide">NA()</definedName>
    <definedName name="sunshade_width">#REF!</definedName>
    <definedName name="supervisor">NA()</definedName>
    <definedName name="Supply_and_Fixing_of_Frame_made_With_25_x_25_x_3mm_L_angle__AND__middle_patty_1_No__1_80mt__and_using_4mm_round_bars_75mm_C_C_in_vertical_and_using__3mm_round_bars_100mm_C_C_including_c_c_of_all_materials_and_labour_charges_etc__complete__Of_size_1_80_X_1">NA()</definedName>
    <definedName name="suresh">NA()</definedName>
    <definedName name="suri">NA()</definedName>
    <definedName name="SURYA">NA()</definedName>
    <definedName name="suryacem_paint">NA()</definedName>
    <definedName name="SV">NA()</definedName>
    <definedName name="SVA">NA()</definedName>
    <definedName name="sw">NA()</definedName>
    <definedName name="SWARE">#REF!</definedName>
    <definedName name="sware2">#REF!</definedName>
    <definedName name="swc">NA()</definedName>
    <definedName name="swci">NA()</definedName>
    <definedName name="SWFR">NA()</definedName>
    <definedName name="SWG">NA()</definedName>
    <definedName name="Sy">NA()</definedName>
    <definedName name="t">NA()</definedName>
    <definedName name="t_beam">#REF!</definedName>
    <definedName name="T_beams">"[71]works!#ref!"</definedName>
    <definedName name="T0">NA()</definedName>
    <definedName name="T0_10">NA()</definedName>
    <definedName name="T0_6">"'smb://Kumaresan/sathya/Documents%20and%20Settings/RQM/Desktop/Cost%20code.xls'#$''.$AH$34:$BF$58"</definedName>
    <definedName name="Table">NA()</definedName>
    <definedName name="Table1">NA()</definedName>
    <definedName name="Table2">NA()</definedName>
    <definedName name="Table3">NA()</definedName>
    <definedName name="Table4">NA()</definedName>
    <definedName name="TableRange">NA()</definedName>
    <definedName name="TAEW">#REF!</definedName>
    <definedName name="tailpiece">#REF!</definedName>
    <definedName name="taj">"[129]v!#ref!"</definedName>
    <definedName name="tanda">"[113]data.f8.btr!#ref!"</definedName>
    <definedName name="Tandam_Road_Roller">NA()</definedName>
    <definedName name="TapSpecials">NA()</definedName>
    <definedName name="tas">NA()</definedName>
    <definedName name="TAWBM">NA()</definedName>
    <definedName name="TaxTV">10%</definedName>
    <definedName name="TaxXL">5%</definedName>
    <definedName name="tbiiv0">NA()</definedName>
    <definedName name="tbiv0">NA()</definedName>
    <definedName name="tbl_ProdInfo" hidden="1">#REF!</definedName>
    <definedName name="td">NA()</definedName>
    <definedName name="TECV">NA()</definedName>
    <definedName name="TEI">NA()</definedName>
    <definedName name="TEI_8">NA()</definedName>
    <definedName name="tekmal">#REF!</definedName>
    <definedName name="temp">#REF!</definedName>
    <definedName name="temp1">NA()</definedName>
    <definedName name="ten">NA()</definedName>
    <definedName name="terrace">NA()</definedName>
    <definedName name="th">NA()</definedName>
    <definedName name="Timber">"[71]material!#ref!"</definedName>
    <definedName name="TIME">NA()</definedName>
    <definedName name="Tipper__Dumper_1_hour">NA()</definedName>
    <definedName name="Tipper_10_T">NA()</definedName>
    <definedName name="tit">NA()</definedName>
    <definedName name="Title1">NA()</definedName>
    <definedName name="Title2">NA()</definedName>
    <definedName name="tm">NA()</definedName>
    <definedName name="toilet">NA()</definedName>
    <definedName name="tol">NA()</definedName>
    <definedName name="top">"[130]boq!#ref!"</definedName>
    <definedName name="top_8">NA()</definedName>
    <definedName name="TOPDOME">#REF!</definedName>
    <definedName name="TOPDOMEONETOSIX">#REF!</definedName>
    <definedName name="TOPDOMESEVENTOTHIRTEEN">#REF!</definedName>
    <definedName name="topl">NA()</definedName>
    <definedName name="topn">NA()</definedName>
    <definedName name="TOPRINGGIRDERONETOSIX">#REF!</definedName>
    <definedName name="TOPRINGGIRDERSEVENTOTHIRTEEN">#REF!</definedName>
    <definedName name="tot">NA()</definedName>
    <definedName name="Total">NA()</definedName>
    <definedName name="Total_Interest">NA()</definedName>
    <definedName name="Total_Pay">NA()</definedName>
    <definedName name="Total_Payment">"scheduled_payment"+"extra_payment"</definedName>
    <definedName name="totalpop">NA()</definedName>
    <definedName name="TOWER_BOLTS">#REF!</definedName>
    <definedName name="TPR">NA()</definedName>
    <definedName name="TQBM">NA()</definedName>
    <definedName name="TQEW">"[384]r_det!#ref!"</definedName>
    <definedName name="TQGSB">NA()</definedName>
    <definedName name="TQVCC">NA()</definedName>
    <definedName name="TQVRCC">NA()</definedName>
    <definedName name="TQWBM">#REF!</definedName>
    <definedName name="tr">NA()</definedName>
    <definedName name="Tractor">NA()</definedName>
    <definedName name="tractor_frm">NA()</definedName>
    <definedName name="TRAFFIC">NA()</definedName>
    <definedName name="TransInsu">NA()</definedName>
    <definedName name="treads_shahbad">NA()</definedName>
    <definedName name="TREE">NA()</definedName>
    <definedName name="trgregerg">"[71]material!#ref!"</definedName>
    <definedName name="trrwqq">NA()</definedName>
    <definedName name="Ts">NA()</definedName>
    <definedName name="tsfb">"[122]process!#ref!"</definedName>
    <definedName name="tsl">"[122]process!#ref!"</definedName>
    <definedName name="tsswd">"[122]process!#ref!"</definedName>
    <definedName name="tsw">"[122]process!#ref!"</definedName>
    <definedName name="tt">NA()</definedName>
    <definedName name="ttt">NA()</definedName>
    <definedName name="ttttt">NA()</definedName>
    <definedName name="tttttttttt">"[71]works!#ref!"</definedName>
    <definedName name="TW_lipping_to_flush_door">NA()</definedName>
    <definedName name="TW_planks_1st_class">"[71]material!#ref!"</definedName>
    <definedName name="TW_planks_2nd_class">"[71]material!#ref!"</definedName>
    <definedName name="TW_scantling_sabove_2m_1st_class">"[71]material!#ref!"</definedName>
    <definedName name="TW_scantlings_above_2m_2nd_class">"[71]material!#ref!"</definedName>
    <definedName name="TW_scantlings_below_2m_1st_class">"[71]material!#ref!"</definedName>
    <definedName name="TW_scantlings_below_2m_2nd_class">"[71]material!#ref!"</definedName>
    <definedName name="twbm">NA()</definedName>
    <definedName name="twtttt">NA()</definedName>
    <definedName name="ty">NA()</definedName>
    <definedName name="Type1">NA()</definedName>
    <definedName name="Type1_8">NA()</definedName>
    <definedName name="type11">NA()</definedName>
    <definedName name="type1drop">NA()</definedName>
    <definedName name="type1slab">NA()</definedName>
    <definedName name="Type2">NA()</definedName>
    <definedName name="Type2_8">NA()</definedName>
    <definedName name="type2drop">NA()</definedName>
    <definedName name="type2slab">NA()</definedName>
    <definedName name="Type3">NA()</definedName>
    <definedName name="type3drop">NA()</definedName>
    <definedName name="type3slab">NA()</definedName>
    <definedName name="type4">NA()</definedName>
    <definedName name="type44">NA()</definedName>
    <definedName name="type4drop">NA()</definedName>
    <definedName name="type4slab">NA()</definedName>
    <definedName name="UCN">NA()</definedName>
    <definedName name="uetyyuwefgyusdhj">#REF!</definedName>
    <definedName name="uil">#REF!</definedName>
    <definedName name="ULTI_LPM">#REF!</definedName>
    <definedName name="ULTI_MLD">#REF!</definedName>
    <definedName name="ULTI_PERIOD">#REF!</definedName>
    <definedName name="ULTI_POP">#REF!</definedName>
    <definedName name="ULTI_YEAR">#REF!</definedName>
    <definedName name="UNICOD">NA()</definedName>
    <definedName name="UNICOD_10">NA()</definedName>
    <definedName name="unloading">NA()</definedName>
    <definedName name="unsecured">NA()</definedName>
    <definedName name="UP">NA()</definedName>
    <definedName name="Uprooting_and_clearing_prickly_pear_jungle">NA()</definedName>
    <definedName name="Uprooting_and_removing_Palmyrah_stumps_including_stacking_of_girth_30_to_100_cm_">NA()</definedName>
    <definedName name="Uprooting_and_removing_stumps_of__date_trees_including_stacking_of_girth_30_to_100_cm_">NA()</definedName>
    <definedName name="Uprooting_and_removing_stumps_of_other_kind_of_trees_including_stacking_of_girth_30_to_100_cm_">NA()</definedName>
    <definedName name="US">#REF!</definedName>
    <definedName name="usd">#REF!</definedName>
    <definedName name="utgg.jk.b.">Scheduled_Payment+Extra_Payment</definedName>
    <definedName name="utgg_jk_b_">"scheduled_payment"+"extra_payment"</definedName>
    <definedName name="utgyuj">NA()</definedName>
    <definedName name="v">NA()</definedName>
    <definedName name="vaibrating">NA()</definedName>
    <definedName name="Values_Entered">#N/A</definedName>
    <definedName name="valve">#REF!</definedName>
    <definedName name="VALVES">NA()</definedName>
    <definedName name="vandy">"[442]footings!#ref!"</definedName>
    <definedName name="var">#REF!</definedName>
    <definedName name="vara">NA()</definedName>
    <definedName name="vark">NA()</definedName>
    <definedName name="VAT">#REF!</definedName>
    <definedName name="vat_name">NA()</definedName>
    <definedName name="vat_rate">NA()</definedName>
    <definedName name="VATCESS">NA()</definedName>
    <definedName name="vatname">NA()</definedName>
    <definedName name="VB">{"'ridftotal'!$A$4:$S$27"}</definedName>
    <definedName name="vc">NA()</definedName>
    <definedName name="vcc">NA()</definedName>
    <definedName name="vcdfe">NA()</definedName>
    <definedName name="ver">#REF!</definedName>
    <definedName name="ver.con">#REF!</definedName>
    <definedName name="vertical">#REF!</definedName>
    <definedName name="VGFSS">#REF!</definedName>
    <definedName name="vh">NA()</definedName>
    <definedName name="Vibchr">NA()</definedName>
    <definedName name="vibrater">#REF!</definedName>
    <definedName name="vibrating_concrete">NA()</definedName>
    <definedName name="Vibrating_Roller">NA()</definedName>
    <definedName name="Vibratory_Roller">NA()</definedName>
    <definedName name="vil">#REF!</definedName>
    <definedName name="vitrified">NA()</definedName>
    <definedName name="VITRIFIED_TILES">#REF!</definedName>
    <definedName name="Vname">NA()</definedName>
    <definedName name="vrcc">NA()</definedName>
    <definedName name="vrcc_col">NA()</definedName>
    <definedName name="vrcc_footing">NA()</definedName>
    <definedName name="vrcc_lintel">NA()</definedName>
    <definedName name="vrcc_pb">NA()</definedName>
    <definedName name="vrcc_platform">NA()</definedName>
    <definedName name="vrcc_roof_IIv">NA()</definedName>
    <definedName name="vrcc_roofbeam">NA()</definedName>
    <definedName name="vrcc_sunshade">NA()</definedName>
    <definedName name="vsi">NA()</definedName>
    <definedName name="vso">NA()</definedName>
    <definedName name="vsp">NA()</definedName>
    <definedName name="vt">NA()</definedName>
    <definedName name="vvvvv">NA()</definedName>
    <definedName name="vvvvvvvvvvv">"[71]material!#ref!"</definedName>
    <definedName name="vvx">#REF!</definedName>
    <definedName name="vwf">#REF!</definedName>
    <definedName name="Vz">NA()</definedName>
    <definedName name="w">#REF!</definedName>
    <definedName name="w3e">NA()</definedName>
    <definedName name="Was">NA()</definedName>
    <definedName name="wasi">NA()</definedName>
    <definedName name="water">#REF!</definedName>
    <definedName name="Water_Tanker">NA()</definedName>
    <definedName name="waterproof_paint">NA()</definedName>
    <definedName name="wbag">NA()</definedName>
    <definedName name="wbs">NA()</definedName>
    <definedName name="wbsi">NA()</definedName>
    <definedName name="wc">#REF!</definedName>
    <definedName name="wcc">"[447]leads!$j$8"</definedName>
    <definedName name="wd">NA()</definedName>
    <definedName name="wdd">"[449]rateanalysis!$a$1:$ay$65536"</definedName>
    <definedName name="wdtd">NA()</definedName>
    <definedName name="we">#REF!</definedName>
    <definedName name="wei">NA()</definedName>
    <definedName name="Wet_Mix_Plant">NA()</definedName>
    <definedName name="wgl">{"'ridftotal'!$A$4:$S$27"}</definedName>
    <definedName name="WHC">NA()</definedName>
    <definedName name="Wheeled_Dozer___D_30_BEML">NA()</definedName>
    <definedName name="White_cement">NA()</definedName>
    <definedName name="window">NA()</definedName>
    <definedName name="window_sizes">NA()</definedName>
    <definedName name="wip">NA()</definedName>
    <definedName name="wl">NA()</definedName>
    <definedName name="wltd">NA()</definedName>
    <definedName name="wm">NA()</definedName>
    <definedName name="wmm">NA()</definedName>
    <definedName name="wn">NA()</definedName>
    <definedName name="Woman_Mazdoor">NA()</definedName>
    <definedName name="WOOD_TYPE">#REF!</definedName>
    <definedName name="word">NA()</definedName>
    <definedName name="work">NA()</definedName>
    <definedName name="wp">NA()</definedName>
    <definedName name="wr">NA()</definedName>
    <definedName name="wrb">NA()</definedName>
    <definedName name="wrbi">NA()</definedName>
    <definedName name="wrn.detailed." hidden="1">{#N/A,#N/A,FALSE,"no"}</definedName>
    <definedName name="wrn_detailed_">NA()</definedName>
    <definedName name="wrn_pl_">NA()</definedName>
    <definedName name="wrn_pl_td_">NA()</definedName>
    <definedName name="ws">#REF!</definedName>
    <definedName name="wsss">#REF!</definedName>
    <definedName name="wsw">NA()</definedName>
    <definedName name="wtd">NA()</definedName>
    <definedName name="ww">#REF!</definedName>
    <definedName name="WWEEW">#REF!</definedName>
    <definedName name="wwi">NA()</definedName>
    <definedName name="wwknr">#REF!</definedName>
    <definedName name="www">NA()</definedName>
    <definedName name="wwwwwwwwwwwwwwwww">"[71]material!#ref!"</definedName>
    <definedName name="wwwwwwwwwwwwwwwwwwww">"[71]material!#ref!"</definedName>
    <definedName name="wz">NA()</definedName>
    <definedName name="x" hidden="1">#REF!</definedName>
    <definedName name="xbb">NA()</definedName>
    <definedName name="xbm">NA()</definedName>
    <definedName name="xcc11534020">NA()</definedName>
    <definedName name="xcc136c">NA()</definedName>
    <definedName name="xcf">NA()</definedName>
    <definedName name="xcgi">NA()</definedName>
    <definedName name="xcrs">NA()</definedName>
    <definedName name="xe">NA()</definedName>
    <definedName name="xew">NA()</definedName>
    <definedName name="xew20b">NA()</definedName>
    <definedName name="xfb">NA()</definedName>
    <definedName name="xfp">NA()</definedName>
    <definedName name="xfpolish">NA()</definedName>
    <definedName name="xfprr">NA()</definedName>
    <definedName name="xfpss">NA()</definedName>
    <definedName name="xfscc">NA()</definedName>
    <definedName name="xfss">NA()</definedName>
    <definedName name="xfsscc">NA()</definedName>
    <definedName name="xhb11010">NA()</definedName>
    <definedName name="xhb1104">NA()</definedName>
    <definedName name="xhb1106">NA()</definedName>
    <definedName name="xhb1108">NA()</definedName>
    <definedName name="xhb12510">NA()</definedName>
    <definedName name="xhb1254">NA()</definedName>
    <definedName name="xhb1256">NA()</definedName>
    <definedName name="xhb1258">NA()</definedName>
    <definedName name="xhb14010">NA()</definedName>
    <definedName name="xhb1404">NA()</definedName>
    <definedName name="xhb1406">NA()</definedName>
    <definedName name="xhb1408">NA()</definedName>
    <definedName name="xhb16010">NA()</definedName>
    <definedName name="xhb1604">NA()</definedName>
    <definedName name="xhb1606">NA()</definedName>
    <definedName name="xhb1608">NA()</definedName>
    <definedName name="xhb18010">NA()</definedName>
    <definedName name="xhb1804">NA()</definedName>
    <definedName name="xhb1806">NA()</definedName>
    <definedName name="xhb1808">NA()</definedName>
    <definedName name="xhb20010">NA()</definedName>
    <definedName name="xhb2004">NA()</definedName>
    <definedName name="xhb2006">NA()</definedName>
    <definedName name="xhb2008">NA()</definedName>
    <definedName name="xhb22510">NA()</definedName>
    <definedName name="xhb2254">NA()</definedName>
    <definedName name="xhb2256">#REF!</definedName>
    <definedName name="xhb2258">NA()</definedName>
    <definedName name="xhb25010">NA()</definedName>
    <definedName name="xhb2504">NA()</definedName>
    <definedName name="xhb2506">#REF!</definedName>
    <definedName name="xhb2508">NA()</definedName>
    <definedName name="xhb28010">NA()</definedName>
    <definedName name="xhb2804">NA()</definedName>
    <definedName name="xhb2806">#REF!</definedName>
    <definedName name="xhb2808">NA()</definedName>
    <definedName name="xhb31510">NA()</definedName>
    <definedName name="xhb3154">NA()</definedName>
    <definedName name="xhb3156">#REF!</definedName>
    <definedName name="xhb3158">NA()</definedName>
    <definedName name="xhb6310">NA()</definedName>
    <definedName name="xhb634">#REF!</definedName>
    <definedName name="xhb636">NA()</definedName>
    <definedName name="xhb638">NA()</definedName>
    <definedName name="xhb7510">NA()</definedName>
    <definedName name="xhb754">NA()</definedName>
    <definedName name="xhb756">NA()</definedName>
    <definedName name="xhb758">NA()</definedName>
    <definedName name="xhb9010">NA()</definedName>
    <definedName name="xhb904">NA()</definedName>
    <definedName name="xhb906">NA()</definedName>
    <definedName name="xhb908">NA()</definedName>
    <definedName name="ximp">NA()</definedName>
    <definedName name="ximp20">NA()</definedName>
    <definedName name="xlin">NA()</definedName>
    <definedName name="XOTOXSIX">#REF!</definedName>
    <definedName name="xpb11010">#REF!</definedName>
    <definedName name="xpb1104">#REF!</definedName>
    <definedName name="xpb1106">#REF!</definedName>
    <definedName name="xpb12510">#REF!</definedName>
    <definedName name="xpb1254">#REF!</definedName>
    <definedName name="xpb1256">#REF!</definedName>
    <definedName name="xpb14010">#REF!</definedName>
    <definedName name="xpb1404">#REF!</definedName>
    <definedName name="xpb1406">#REF!</definedName>
    <definedName name="xpb16010">NA()</definedName>
    <definedName name="xpb1604">#REF!</definedName>
    <definedName name="xpb1606">#REF!</definedName>
    <definedName name="xpb18010">NA()</definedName>
    <definedName name="xpb1804">#REF!</definedName>
    <definedName name="xpb1806">#REF!</definedName>
    <definedName name="xpb20010">NA()</definedName>
    <definedName name="xpb2004">NA()</definedName>
    <definedName name="xpb2006">#REF!</definedName>
    <definedName name="xpb22510">NA()</definedName>
    <definedName name="xpb2254">NA()</definedName>
    <definedName name="xpb2256">NA()</definedName>
    <definedName name="xpb25010">NA()</definedName>
    <definedName name="xpb2504">NA()</definedName>
    <definedName name="xpb2506">NA()</definedName>
    <definedName name="xpb28010">NA()</definedName>
    <definedName name="xpb2804">NA()</definedName>
    <definedName name="xpb2806">NA()</definedName>
    <definedName name="xpb31510">NA()</definedName>
    <definedName name="xpb3154">NA()</definedName>
    <definedName name="xpb3156">NA()</definedName>
    <definedName name="xpb6310">#REF!</definedName>
    <definedName name="xpb6311">#REF!</definedName>
    <definedName name="xpb634">NA()</definedName>
    <definedName name="xpb636">#REF!</definedName>
    <definedName name="xpb7510">#REF!</definedName>
    <definedName name="xpb754">#REF!</definedName>
    <definedName name="xpb756">#REF!</definedName>
    <definedName name="xpb9010">NA()</definedName>
    <definedName name="xpb904">#REF!</definedName>
    <definedName name="xpb906">#REF!</definedName>
    <definedName name="xpl121513">NA()</definedName>
    <definedName name="xpl1312">NA()</definedName>
    <definedName name="xpl1320">NA()</definedName>
    <definedName name="xpl1412">NA()</definedName>
    <definedName name="xpl1420">NA()</definedName>
    <definedName name="xpl201513">NA()</definedName>
    <definedName name="xrf">NA()</definedName>
    <definedName name="xrr">NA()</definedName>
    <definedName name="xrs">NA()</definedName>
    <definedName name="xrs112">NA()</definedName>
    <definedName name="xrs120">NA()</definedName>
    <definedName name="xrsd225">NA()</definedName>
    <definedName name="xsc">NA()</definedName>
    <definedName name="xscp">NA()</definedName>
    <definedName name="xsep">NA()</definedName>
    <definedName name="xsfb">NA()</definedName>
    <definedName name="XSIXTOXTHIRTEEN">#REF!</definedName>
    <definedName name="xspread">NA()</definedName>
    <definedName name="xss">NA()</definedName>
    <definedName name="xtb">NA()</definedName>
    <definedName name="xvrcc1153">NA()</definedName>
    <definedName name="xvrcc124">NA()</definedName>
    <definedName name="xww">NA()</definedName>
    <definedName name="xx">#REF!</definedName>
    <definedName name="xxx">#REF!</definedName>
    <definedName name="xxx_8">NA()</definedName>
    <definedName name="xxxbxb">NA()</definedName>
    <definedName name="xxxx">#REF!</definedName>
    <definedName name="XXXXX">"[453]data!#ref!"</definedName>
    <definedName name="xxxxxx">"[454]data!#ref!"</definedName>
    <definedName name="xxxxxxx">"[455]data!#ref!"</definedName>
    <definedName name="y">NA()</definedName>
    <definedName name="ycode">#REF!</definedName>
    <definedName name="year">NA()</definedName>
    <definedName name="yearssr">#REF!</definedName>
    <definedName name="YEN">NA()</definedName>
    <definedName name="ypr">"[459]data!#ref!"</definedName>
    <definedName name="ys">NA()</definedName>
    <definedName name="YTR">#REF!</definedName>
    <definedName name="yturtyhfh">#REF!</definedName>
    <definedName name="yu">NA()</definedName>
    <definedName name="YY">#REF!</definedName>
    <definedName name="YYYY">#REF!</definedName>
    <definedName name="yyyyy">NA()</definedName>
    <definedName name="yyyyyyyyyyyyy">"[71]material!#ref!"</definedName>
    <definedName name="z" hidden="1">#REF!</definedName>
    <definedName name="zam">NA()</definedName>
    <definedName name="zcr">NA()</definedName>
    <definedName name="ZEROTOSIX">NA()</definedName>
    <definedName name="Zins_Garantee">NA()</definedName>
    <definedName name="Zins_Monat">NA()</definedName>
    <definedName name="Zinz_ÖKB">NA()</definedName>
    <definedName name="Zip">#REF!</definedName>
    <definedName name="ZSW">#REF!</definedName>
    <definedName name="zxy">NA()</definedName>
    <definedName name="zz">NA()</definedName>
    <definedName name="전체">NA()</definedName>
    <definedName name="工場内部壁１">#REF!</definedName>
    <definedName name="工場内部壁２">#REF!</definedName>
    <definedName name="工場内部天井１">#REF!</definedName>
    <definedName name="工場内部天井２">#REF!</definedName>
    <definedName name="工場内部天井ドル">#REF!</definedName>
    <definedName name="工場内部床１">#REF!</definedName>
    <definedName name="工場内部床２">#REF!</definedName>
    <definedName name="工場内部建具１">#REF!</definedName>
    <definedName name="工場内部建具２">#REF!</definedName>
    <definedName name="工場内部建具ドル">#REF!</definedName>
    <definedName name="工場内部雑１">#REF!</definedName>
    <definedName name="工場内部雑2">#REF!</definedName>
    <definedName name="工場土工事１">#REF!</definedName>
    <definedName name="工場土工事２">#REF!</definedName>
    <definedName name="工場外壁１">#REF!</definedName>
    <definedName name="工場外壁２">#REF!</definedName>
    <definedName name="工場外部建具１">#REF!</definedName>
    <definedName name="工場外部建具２">#REF!</definedName>
    <definedName name="工場外部建具ドル">#REF!</definedName>
    <definedName name="工場外部雑１">#REF!</definedName>
    <definedName name="工場外部雑２">#REF!</definedName>
    <definedName name="工場屋根１">#REF!</definedName>
    <definedName name="工場屋根２">#REF!</definedName>
    <definedName name="工場屋根ドル">#REF!</definedName>
    <definedName name="工場躯体１">#REF!</definedName>
    <definedName name="工場躯体２">#REF!</definedName>
    <definedName name="掛率">NA()</definedName>
    <definedName name="管理内部天井１">#REF!</definedName>
    <definedName name="管理内部天井２">#REF!</definedName>
    <definedName name="管理内部床１">#REF!</definedName>
    <definedName name="管理内部床２">#REF!</definedName>
    <definedName name="管理内部建具１">#REF!</definedName>
    <definedName name="管理内部建具２">#REF!</definedName>
    <definedName name="管理内部建具ドル">#REF!</definedName>
    <definedName name="管理内部雑１">#REF!</definedName>
    <definedName name="管理内部雑２">#REF!</definedName>
    <definedName name="管理土工事１">#REF!</definedName>
    <definedName name="管理土工事２">#REF!</definedName>
    <definedName name="管理外壁１">#REF!</definedName>
    <definedName name="管理外壁２">#REF!</definedName>
    <definedName name="管理外部建具１">#REF!</definedName>
    <definedName name="管理外部建具２">#REF!</definedName>
    <definedName name="管理外部建具ドル">#REF!</definedName>
    <definedName name="管理外部雑１">#REF!</definedName>
    <definedName name="管理外部雑２">#REF!</definedName>
    <definedName name="管理屋根１">#REF!</definedName>
    <definedName name="管理屋根２">#REF!</definedName>
    <definedName name="管理躯体１">#REF!</definedName>
    <definedName name="管理躯体２">#REF!</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L493" i="1" l="1"/>
  <c r="M493" i="1"/>
  <c r="K493" i="1"/>
  <c r="Q6" i="2" l="1"/>
  <c r="Q7" i="2"/>
  <c r="Q8" i="2"/>
  <c r="Q9" i="2"/>
  <c r="Q5" i="2"/>
  <c r="Q4" i="2"/>
  <c r="M5" i="2"/>
  <c r="N5" i="2"/>
  <c r="O5" i="2"/>
  <c r="P5" i="2"/>
  <c r="M6" i="2"/>
  <c r="N6" i="2"/>
  <c r="O6" i="2"/>
  <c r="P6" i="2"/>
  <c r="M7" i="2"/>
  <c r="P7" i="2" s="1"/>
  <c r="N7" i="2"/>
  <c r="O7" i="2"/>
  <c r="M8" i="2"/>
  <c r="P8" i="2" s="1"/>
  <c r="N8" i="2"/>
  <c r="O8" i="2"/>
  <c r="M9" i="2"/>
  <c r="N9" i="2"/>
  <c r="O9" i="2"/>
  <c r="P9" i="2"/>
  <c r="O4" i="2"/>
  <c r="N4" i="2"/>
  <c r="M4" i="2"/>
  <c r="P4" i="2" s="1"/>
  <c r="Q10" i="2" l="1"/>
  <c r="K420" i="1" l="1"/>
  <c r="M20" i="2"/>
  <c r="M21" i="2" s="1"/>
  <c r="M22" i="2" s="1"/>
  <c r="K20" i="2"/>
  <c r="K21" i="2" s="1"/>
  <c r="K23" i="2" s="1"/>
  <c r="I18" i="2"/>
  <c r="G17" i="2"/>
  <c r="I16" i="2"/>
  <c r="G15" i="2"/>
  <c r="G16" i="2" s="1"/>
  <c r="M14" i="2"/>
  <c r="M15" i="2" s="1"/>
  <c r="K14" i="2"/>
  <c r="K15" i="2" s="1"/>
  <c r="I14" i="2"/>
  <c r="G18" i="2" l="1"/>
  <c r="G19" i="2" s="1"/>
  <c r="G20" i="2" s="1"/>
  <c r="M18" i="2"/>
  <c r="M17" i="2"/>
  <c r="K17" i="2"/>
  <c r="K18" i="2"/>
  <c r="K24" i="2" s="1"/>
  <c r="G21" i="2"/>
  <c r="G22" i="2"/>
  <c r="K22" i="2"/>
  <c r="M23" i="2"/>
  <c r="M24" i="2" s="1"/>
  <c r="I17" i="2"/>
  <c r="I19" i="2" s="1"/>
  <c r="I20" i="2" s="1"/>
  <c r="I21" i="2" s="1"/>
  <c r="I23" i="2" l="1"/>
  <c r="I22" i="2"/>
  <c r="L485" i="1" l="1"/>
  <c r="M485" i="1"/>
  <c r="L487" i="1"/>
  <c r="M487" i="1"/>
  <c r="L489" i="1"/>
  <c r="M489" i="1"/>
  <c r="L461" i="1"/>
  <c r="M461" i="1"/>
  <c r="L463" i="1"/>
  <c r="M463" i="1"/>
  <c r="L465" i="1"/>
  <c r="M465" i="1"/>
  <c r="L467" i="1"/>
  <c r="M467" i="1"/>
  <c r="L469" i="1"/>
  <c r="M469" i="1"/>
  <c r="L471" i="1"/>
  <c r="M471" i="1"/>
  <c r="L473" i="1"/>
  <c r="M473" i="1"/>
  <c r="L475" i="1"/>
  <c r="M475" i="1"/>
  <c r="L477" i="1"/>
  <c r="M477" i="1"/>
  <c r="L429" i="1"/>
  <c r="M429" i="1"/>
  <c r="L431" i="1"/>
  <c r="M431" i="1"/>
  <c r="L433" i="1"/>
  <c r="M433" i="1"/>
  <c r="L435" i="1"/>
  <c r="M435" i="1"/>
  <c r="L437" i="1"/>
  <c r="M437" i="1"/>
  <c r="L439" i="1"/>
  <c r="M439" i="1"/>
  <c r="L491" i="1"/>
  <c r="M491" i="1"/>
  <c r="L440" i="1"/>
  <c r="M440" i="1"/>
  <c r="L492" i="1"/>
  <c r="M492" i="1"/>
  <c r="L441" i="1"/>
  <c r="M441" i="1"/>
  <c r="L443" i="1"/>
  <c r="M443" i="1"/>
  <c r="L444" i="1"/>
  <c r="M444" i="1"/>
  <c r="L446" i="1"/>
  <c r="M446" i="1"/>
  <c r="L447" i="1"/>
  <c r="M447" i="1"/>
  <c r="L450" i="1"/>
  <c r="M450" i="1"/>
  <c r="L452" i="1"/>
  <c r="M452" i="1"/>
  <c r="L420" i="1"/>
  <c r="M420" i="1"/>
  <c r="L381" i="1"/>
  <c r="M381" i="1"/>
  <c r="L383" i="1"/>
  <c r="M383" i="1"/>
  <c r="L385" i="1"/>
  <c r="M385" i="1"/>
  <c r="L387" i="1"/>
  <c r="M387" i="1"/>
  <c r="L389" i="1"/>
  <c r="M389" i="1"/>
  <c r="L392" i="1"/>
  <c r="M392" i="1"/>
  <c r="L394" i="1"/>
  <c r="M394" i="1"/>
  <c r="L396" i="1"/>
  <c r="M396" i="1"/>
  <c r="L402" i="1"/>
  <c r="M402" i="1"/>
  <c r="L404" i="1"/>
  <c r="M404" i="1"/>
  <c r="L406" i="1"/>
  <c r="M406" i="1"/>
  <c r="L408" i="1"/>
  <c r="M408" i="1"/>
  <c r="L410" i="1"/>
  <c r="M410" i="1"/>
  <c r="L412" i="1"/>
  <c r="M412" i="1"/>
  <c r="L315" i="1"/>
  <c r="M315" i="1"/>
  <c r="L317" i="1"/>
  <c r="M317" i="1"/>
  <c r="L319" i="1"/>
  <c r="M319" i="1"/>
  <c r="L321" i="1"/>
  <c r="M321" i="1"/>
  <c r="L323" i="1"/>
  <c r="M323" i="1"/>
  <c r="L325" i="1"/>
  <c r="M325" i="1"/>
  <c r="L327" i="1"/>
  <c r="M327" i="1"/>
  <c r="L329" i="1"/>
  <c r="M329" i="1"/>
  <c r="L331" i="1"/>
  <c r="M331" i="1"/>
  <c r="L333" i="1"/>
  <c r="M333" i="1"/>
  <c r="L335" i="1"/>
  <c r="M335" i="1"/>
  <c r="L337" i="1"/>
  <c r="M337" i="1"/>
  <c r="L339" i="1"/>
  <c r="M339" i="1"/>
  <c r="L341" i="1"/>
  <c r="M341" i="1"/>
  <c r="L343" i="1"/>
  <c r="M343" i="1"/>
  <c r="L345" i="1"/>
  <c r="M345" i="1"/>
  <c r="L349" i="1"/>
  <c r="M349" i="1"/>
  <c r="L351" i="1"/>
  <c r="M351" i="1"/>
  <c r="L353" i="1"/>
  <c r="M353" i="1"/>
  <c r="L355" i="1"/>
  <c r="M355" i="1"/>
  <c r="L361" i="1"/>
  <c r="M361" i="1"/>
  <c r="L363" i="1"/>
  <c r="M363" i="1"/>
  <c r="L369" i="1"/>
  <c r="M369" i="1"/>
  <c r="L371" i="1"/>
  <c r="M371" i="1"/>
  <c r="L375" i="1"/>
  <c r="M375" i="1"/>
  <c r="L299" i="1"/>
  <c r="M299" i="1"/>
  <c r="L301" i="1"/>
  <c r="M301" i="1"/>
  <c r="L303" i="1"/>
  <c r="M303" i="1"/>
  <c r="L305" i="1"/>
  <c r="M305" i="1"/>
  <c r="L307" i="1"/>
  <c r="M307" i="1"/>
  <c r="L291" i="1"/>
  <c r="M291" i="1"/>
  <c r="L293" i="1"/>
  <c r="M293" i="1"/>
  <c r="L295" i="1"/>
  <c r="M295" i="1"/>
  <c r="L209" i="1"/>
  <c r="M209" i="1"/>
  <c r="L213" i="1"/>
  <c r="M213" i="1"/>
  <c r="L225" i="1"/>
  <c r="M225" i="1"/>
  <c r="L229" i="1"/>
  <c r="M229" i="1"/>
  <c r="L231" i="1"/>
  <c r="M231" i="1"/>
  <c r="L233" i="1"/>
  <c r="M233" i="1"/>
  <c r="L235" i="1"/>
  <c r="M235" i="1"/>
  <c r="L241" i="1"/>
  <c r="M241" i="1"/>
  <c r="L243" i="1"/>
  <c r="M243" i="1"/>
  <c r="L245" i="1"/>
  <c r="M245" i="1"/>
  <c r="L255" i="1"/>
  <c r="M255" i="1"/>
  <c r="L259" i="1"/>
  <c r="M259" i="1"/>
  <c r="L261" i="1"/>
  <c r="M261" i="1"/>
  <c r="L267" i="1"/>
  <c r="M267" i="1"/>
  <c r="L279" i="1"/>
  <c r="M279" i="1"/>
  <c r="L281" i="1"/>
  <c r="M281" i="1"/>
  <c r="L283" i="1"/>
  <c r="M283" i="1"/>
  <c r="L285" i="1"/>
  <c r="M285" i="1"/>
  <c r="L287" i="1"/>
  <c r="M287" i="1"/>
  <c r="L171" i="1"/>
  <c r="M171" i="1"/>
  <c r="L175" i="1"/>
  <c r="M175" i="1"/>
  <c r="L177" i="1"/>
  <c r="M177" i="1"/>
  <c r="L179" i="1"/>
  <c r="M179" i="1"/>
  <c r="L181" i="1"/>
  <c r="M181" i="1"/>
  <c r="L183" i="1"/>
  <c r="M183" i="1"/>
  <c r="L185" i="1"/>
  <c r="M185" i="1"/>
  <c r="L187" i="1"/>
  <c r="M187" i="1"/>
  <c r="L189" i="1"/>
  <c r="M189" i="1"/>
  <c r="L191" i="1"/>
  <c r="M191" i="1"/>
  <c r="L193" i="1"/>
  <c r="M193" i="1"/>
  <c r="L195" i="1"/>
  <c r="M195" i="1"/>
  <c r="L197" i="1"/>
  <c r="M197" i="1"/>
  <c r="L105" i="1"/>
  <c r="M105" i="1"/>
  <c r="L111" i="1"/>
  <c r="M111" i="1"/>
  <c r="L113" i="1"/>
  <c r="M113" i="1"/>
  <c r="L119" i="1"/>
  <c r="M119" i="1"/>
  <c r="L121" i="1"/>
  <c r="M121" i="1"/>
  <c r="L125" i="1"/>
  <c r="M125" i="1"/>
  <c r="L127" i="1"/>
  <c r="M127" i="1"/>
  <c r="L131" i="1"/>
  <c r="M131" i="1"/>
  <c r="L133" i="1"/>
  <c r="M133" i="1"/>
  <c r="L135" i="1"/>
  <c r="M135" i="1"/>
  <c r="L137" i="1"/>
  <c r="M137" i="1"/>
  <c r="L147" i="1"/>
  <c r="M147" i="1"/>
  <c r="L151" i="1"/>
  <c r="M151" i="1"/>
  <c r="L153" i="1"/>
  <c r="M153" i="1"/>
  <c r="L165" i="1"/>
  <c r="M165" i="1"/>
  <c r="L27" i="1"/>
  <c r="M27" i="1"/>
  <c r="L29" i="1"/>
  <c r="M29" i="1"/>
  <c r="L31" i="1"/>
  <c r="M31" i="1"/>
  <c r="L33" i="1"/>
  <c r="M33" i="1"/>
  <c r="L35" i="1"/>
  <c r="M35" i="1"/>
  <c r="L37" i="1"/>
  <c r="M37" i="1"/>
  <c r="L39" i="1"/>
  <c r="M39" i="1"/>
  <c r="L41" i="1"/>
  <c r="M41" i="1"/>
  <c r="L43" i="1"/>
  <c r="M43" i="1"/>
  <c r="L45" i="1"/>
  <c r="M45" i="1"/>
  <c r="L47" i="1"/>
  <c r="M47" i="1"/>
  <c r="L49" i="1"/>
  <c r="M49" i="1"/>
  <c r="L51" i="1"/>
  <c r="M51" i="1"/>
  <c r="L53" i="1"/>
  <c r="M53" i="1"/>
  <c r="L55" i="1"/>
  <c r="M55" i="1"/>
  <c r="L57" i="1"/>
  <c r="M57" i="1"/>
  <c r="L59" i="1"/>
  <c r="M59" i="1"/>
  <c r="L61" i="1"/>
  <c r="M61" i="1"/>
  <c r="L63" i="1"/>
  <c r="M63" i="1"/>
  <c r="L65" i="1"/>
  <c r="M65" i="1"/>
  <c r="L67" i="1"/>
  <c r="M67" i="1"/>
  <c r="L69" i="1"/>
  <c r="M69" i="1"/>
  <c r="L71" i="1"/>
  <c r="M71" i="1"/>
  <c r="L73" i="1"/>
  <c r="M73" i="1"/>
  <c r="L75" i="1"/>
  <c r="M75" i="1"/>
  <c r="L76" i="1"/>
  <c r="M76" i="1"/>
  <c r="L77" i="1"/>
  <c r="M77" i="1"/>
  <c r="L79" i="1"/>
  <c r="M79" i="1"/>
  <c r="L81" i="1"/>
  <c r="M81" i="1"/>
  <c r="L83" i="1"/>
  <c r="M83" i="1"/>
  <c r="L85" i="1"/>
  <c r="M85" i="1"/>
  <c r="L87" i="1"/>
  <c r="M87" i="1"/>
  <c r="L89" i="1"/>
  <c r="M89" i="1"/>
  <c r="L91" i="1"/>
  <c r="M91" i="1"/>
  <c r="L93" i="1"/>
  <c r="M93" i="1"/>
  <c r="L95" i="1"/>
  <c r="M95" i="1"/>
  <c r="L97" i="1"/>
  <c r="M97" i="1"/>
  <c r="L99" i="1"/>
  <c r="M99" i="1"/>
  <c r="L100" i="1"/>
  <c r="M100" i="1"/>
  <c r="L101" i="1"/>
  <c r="M101" i="1"/>
  <c r="K496" i="1"/>
  <c r="L496" i="1" s="1"/>
  <c r="K497" i="1"/>
  <c r="L497" i="1" s="1"/>
  <c r="K498" i="1"/>
  <c r="L498" i="1" s="1"/>
  <c r="K499" i="1"/>
  <c r="L499" i="1" s="1"/>
  <c r="K500" i="1"/>
  <c r="M500" i="1" s="1"/>
  <c r="K501" i="1"/>
  <c r="L501" i="1" s="1"/>
  <c r="K502" i="1"/>
  <c r="L502" i="1" s="1"/>
  <c r="K503" i="1"/>
  <c r="L503" i="1" s="1"/>
  <c r="K504" i="1"/>
  <c r="L504" i="1" s="1"/>
  <c r="K495" i="1"/>
  <c r="M495" i="1" s="1"/>
  <c r="K486" i="1"/>
  <c r="L486" i="1" s="1"/>
  <c r="K488" i="1"/>
  <c r="L488" i="1" s="1"/>
  <c r="K490" i="1"/>
  <c r="L490" i="1" s="1"/>
  <c r="K484" i="1"/>
  <c r="K481" i="1"/>
  <c r="M481" i="1" s="1"/>
  <c r="K462" i="1"/>
  <c r="L462" i="1" s="1"/>
  <c r="K464" i="1"/>
  <c r="L464" i="1" s="1"/>
  <c r="K466" i="1"/>
  <c r="L466" i="1" s="1"/>
  <c r="K468" i="1"/>
  <c r="L468" i="1" s="1"/>
  <c r="K470" i="1"/>
  <c r="L470" i="1" s="1"/>
  <c r="K472" i="1"/>
  <c r="L472" i="1" s="1"/>
  <c r="K474" i="1"/>
  <c r="L474" i="1" s="1"/>
  <c r="K476" i="1"/>
  <c r="L476" i="1" s="1"/>
  <c r="K478" i="1"/>
  <c r="L478" i="1" s="1"/>
  <c r="K460" i="1"/>
  <c r="M460" i="1" s="1"/>
  <c r="K457" i="1"/>
  <c r="M457" i="1" s="1"/>
  <c r="K430" i="1"/>
  <c r="L430" i="1" s="1"/>
  <c r="K432" i="1"/>
  <c r="L432" i="1" s="1"/>
  <c r="K434" i="1"/>
  <c r="L434" i="1" s="1"/>
  <c r="K436" i="1"/>
  <c r="L436" i="1" s="1"/>
  <c r="K438" i="1"/>
  <c r="L438" i="1" s="1"/>
  <c r="K442" i="1"/>
  <c r="L442" i="1" s="1"/>
  <c r="K445" i="1"/>
  <c r="L445" i="1" s="1"/>
  <c r="K448" i="1"/>
  <c r="L448" i="1" s="1"/>
  <c r="K449" i="1"/>
  <c r="L449" i="1" s="1"/>
  <c r="K451" i="1"/>
  <c r="L451" i="1" s="1"/>
  <c r="K453" i="1"/>
  <c r="M453" i="1" s="1"/>
  <c r="K419" i="1"/>
  <c r="L419" i="1" s="1"/>
  <c r="K421" i="1"/>
  <c r="L421" i="1" s="1"/>
  <c r="K422" i="1"/>
  <c r="L422" i="1" s="1"/>
  <c r="K423" i="1"/>
  <c r="M423" i="1" s="1"/>
  <c r="K424" i="1"/>
  <c r="L424" i="1" s="1"/>
  <c r="K425" i="1"/>
  <c r="L425" i="1" s="1"/>
  <c r="K418" i="1"/>
  <c r="M418" i="1" s="1"/>
  <c r="K251" i="1"/>
  <c r="L251" i="1" s="1"/>
  <c r="G382" i="1"/>
  <c r="G384" i="1"/>
  <c r="G386" i="1"/>
  <c r="G388" i="1"/>
  <c r="G390" i="1"/>
  <c r="G393" i="1"/>
  <c r="G395" i="1"/>
  <c r="G397" i="1"/>
  <c r="G399" i="1"/>
  <c r="G401" i="1"/>
  <c r="L401" i="1" s="1"/>
  <c r="G403" i="1"/>
  <c r="G405" i="1"/>
  <c r="G407" i="1"/>
  <c r="G409" i="1"/>
  <c r="G411" i="1"/>
  <c r="G413" i="1"/>
  <c r="G380" i="1"/>
  <c r="G314" i="1"/>
  <c r="L314" i="1" s="1"/>
  <c r="G316" i="1"/>
  <c r="L316" i="1" s="1"/>
  <c r="G318" i="1"/>
  <c r="G320" i="1"/>
  <c r="L320" i="1" s="1"/>
  <c r="G322" i="1"/>
  <c r="G324" i="1"/>
  <c r="G326" i="1"/>
  <c r="G328" i="1"/>
  <c r="L328" i="1" s="1"/>
  <c r="G330" i="1"/>
  <c r="G332" i="1"/>
  <c r="G334" i="1"/>
  <c r="G336" i="1"/>
  <c r="G338" i="1"/>
  <c r="G340" i="1"/>
  <c r="G342" i="1"/>
  <c r="G344" i="1"/>
  <c r="G346" i="1"/>
  <c r="G348" i="1"/>
  <c r="G350" i="1"/>
  <c r="G352" i="1"/>
  <c r="G354" i="1"/>
  <c r="G356" i="1"/>
  <c r="G358" i="1"/>
  <c r="G360" i="1"/>
  <c r="M360" i="1" s="1"/>
  <c r="G362" i="1"/>
  <c r="G364" i="1"/>
  <c r="G366" i="1"/>
  <c r="G368" i="1"/>
  <c r="L368" i="1" s="1"/>
  <c r="G370" i="1"/>
  <c r="G372" i="1"/>
  <c r="G374" i="1"/>
  <c r="G376" i="1"/>
  <c r="G312" i="1"/>
  <c r="G300" i="1"/>
  <c r="G302" i="1"/>
  <c r="G304" i="1"/>
  <c r="G306" i="1"/>
  <c r="G308" i="1"/>
  <c r="G298" i="1"/>
  <c r="G292" i="1"/>
  <c r="G294" i="1"/>
  <c r="G290" i="1"/>
  <c r="G202" i="1"/>
  <c r="G204" i="1"/>
  <c r="G206" i="1"/>
  <c r="G208" i="1"/>
  <c r="G210" i="1"/>
  <c r="G212" i="1"/>
  <c r="L212" i="1" s="1"/>
  <c r="G214" i="1"/>
  <c r="G216" i="1"/>
  <c r="G218" i="1"/>
  <c r="G220" i="1"/>
  <c r="G222" i="1"/>
  <c r="G224" i="1"/>
  <c r="L224" i="1" s="1"/>
  <c r="G226" i="1"/>
  <c r="G228" i="1"/>
  <c r="L228" i="1" s="1"/>
  <c r="G230" i="1"/>
  <c r="G232" i="1"/>
  <c r="G234" i="1"/>
  <c r="L234" i="1" s="1"/>
  <c r="G236" i="1"/>
  <c r="G238" i="1"/>
  <c r="G240" i="1"/>
  <c r="L240" i="1" s="1"/>
  <c r="G242" i="1"/>
  <c r="L242" i="1" s="1"/>
  <c r="G244" i="1"/>
  <c r="M244" i="1" s="1"/>
  <c r="G246" i="1"/>
  <c r="G248" i="1"/>
  <c r="G250" i="1"/>
  <c r="G252" i="1"/>
  <c r="G254" i="1"/>
  <c r="G256" i="1"/>
  <c r="G258" i="1"/>
  <c r="G260" i="1"/>
  <c r="G262" i="1"/>
  <c r="G264" i="1"/>
  <c r="G266" i="1"/>
  <c r="L266" i="1" s="1"/>
  <c r="G268" i="1"/>
  <c r="G270" i="1"/>
  <c r="G272" i="1"/>
  <c r="G274" i="1"/>
  <c r="G276" i="1"/>
  <c r="G278" i="1"/>
  <c r="G280" i="1"/>
  <c r="G282" i="1"/>
  <c r="G284" i="1"/>
  <c r="G286" i="1"/>
  <c r="M286" i="1" s="1"/>
  <c r="G200" i="1"/>
  <c r="G172" i="1"/>
  <c r="G174" i="1"/>
  <c r="M174" i="1" s="1"/>
  <c r="G176" i="1"/>
  <c r="L176" i="1" s="1"/>
  <c r="G178" i="1"/>
  <c r="G180" i="1"/>
  <c r="M180" i="1" s="1"/>
  <c r="G182" i="1"/>
  <c r="G184" i="1"/>
  <c r="G186" i="1"/>
  <c r="G188" i="1"/>
  <c r="G190" i="1"/>
  <c r="G192" i="1"/>
  <c r="G194" i="1"/>
  <c r="G196" i="1"/>
  <c r="G170" i="1"/>
  <c r="L170" i="1" s="1"/>
  <c r="G106" i="1"/>
  <c r="G108" i="1"/>
  <c r="G110" i="1"/>
  <c r="M110" i="1" s="1"/>
  <c r="G112" i="1"/>
  <c r="L112" i="1" s="1"/>
  <c r="G114" i="1"/>
  <c r="G116" i="1"/>
  <c r="G118" i="1"/>
  <c r="L118" i="1" s="1"/>
  <c r="G120" i="1"/>
  <c r="G122" i="1"/>
  <c r="G124" i="1"/>
  <c r="L124" i="1" s="1"/>
  <c r="G126" i="1"/>
  <c r="L126" i="1" s="1"/>
  <c r="G128" i="1"/>
  <c r="G130" i="1"/>
  <c r="G132" i="1"/>
  <c r="L132" i="1" s="1"/>
  <c r="G134" i="1"/>
  <c r="M134" i="1" s="1"/>
  <c r="G136" i="1"/>
  <c r="G138" i="1"/>
  <c r="G140" i="1"/>
  <c r="G142" i="1"/>
  <c r="G144" i="1"/>
  <c r="G146" i="1"/>
  <c r="M146" i="1" s="1"/>
  <c r="G148" i="1"/>
  <c r="G150" i="1"/>
  <c r="L150" i="1" s="1"/>
  <c r="G152" i="1"/>
  <c r="G154" i="1"/>
  <c r="G156" i="1"/>
  <c r="G158" i="1"/>
  <c r="G160" i="1"/>
  <c r="G162" i="1"/>
  <c r="G164" i="1"/>
  <c r="G166" i="1"/>
  <c r="G104" i="1"/>
  <c r="G8" i="1"/>
  <c r="G10" i="1"/>
  <c r="G12" i="1"/>
  <c r="G14" i="1"/>
  <c r="G16" i="1"/>
  <c r="G18" i="1"/>
  <c r="G20" i="1"/>
  <c r="G22" i="1"/>
  <c r="G24" i="1"/>
  <c r="G26" i="1"/>
  <c r="G28" i="1"/>
  <c r="G30" i="1"/>
  <c r="G32" i="1"/>
  <c r="G34" i="1"/>
  <c r="G36" i="1"/>
  <c r="G38" i="1"/>
  <c r="G40" i="1"/>
  <c r="G42" i="1"/>
  <c r="G44" i="1"/>
  <c r="G46" i="1"/>
  <c r="G48" i="1"/>
  <c r="G50" i="1"/>
  <c r="G52" i="1"/>
  <c r="G54" i="1"/>
  <c r="G56" i="1"/>
  <c r="G58" i="1"/>
  <c r="G60" i="1"/>
  <c r="G62" i="1"/>
  <c r="G64" i="1"/>
  <c r="G66" i="1"/>
  <c r="G68" i="1"/>
  <c r="G70" i="1"/>
  <c r="G72" i="1"/>
  <c r="G74" i="1"/>
  <c r="G78" i="1"/>
  <c r="G80" i="1"/>
  <c r="L80" i="1" s="1"/>
  <c r="G82" i="1"/>
  <c r="G84" i="1"/>
  <c r="G86" i="1"/>
  <c r="G88" i="1"/>
  <c r="G90" i="1"/>
  <c r="G92" i="1"/>
  <c r="G94" i="1"/>
  <c r="G96" i="1"/>
  <c r="G98" i="1"/>
  <c r="G6" i="1"/>
  <c r="P6" i="1" a="1"/>
  <c r="P6" i="1" s="1"/>
  <c r="P490" i="1"/>
  <c r="P488" i="1"/>
  <c r="F27" i="3"/>
  <c r="F28" i="3"/>
  <c r="G506" i="1"/>
  <c r="H428" i="1"/>
  <c r="K428" i="1" s="1"/>
  <c r="M428" i="1" s="1"/>
  <c r="L484" i="1" l="1"/>
  <c r="L286" i="1"/>
  <c r="L180" i="1"/>
  <c r="L110" i="1"/>
  <c r="L146" i="1"/>
  <c r="L360" i="1"/>
  <c r="M170" i="1"/>
  <c r="M484" i="1"/>
  <c r="L174" i="1"/>
  <c r="L244" i="1"/>
  <c r="L134" i="1"/>
  <c r="L423" i="1"/>
  <c r="L500" i="1"/>
  <c r="L453" i="1"/>
  <c r="M401" i="1"/>
  <c r="M422" i="1"/>
  <c r="M436" i="1"/>
  <c r="M430" i="1"/>
  <c r="M476" i="1"/>
  <c r="M470" i="1"/>
  <c r="M464" i="1"/>
  <c r="M490" i="1"/>
  <c r="L495" i="1"/>
  <c r="M499" i="1"/>
  <c r="M150" i="1"/>
  <c r="M132" i="1"/>
  <c r="M126" i="1"/>
  <c r="M266" i="1"/>
  <c r="M242" i="1"/>
  <c r="M224" i="1"/>
  <c r="M212" i="1"/>
  <c r="M328" i="1"/>
  <c r="M316" i="1"/>
  <c r="M421" i="1"/>
  <c r="M451" i="1"/>
  <c r="M445" i="1"/>
  <c r="M504" i="1"/>
  <c r="M80" i="1"/>
  <c r="L418" i="1"/>
  <c r="M434" i="1"/>
  <c r="L457" i="1"/>
  <c r="M474" i="1"/>
  <c r="M468" i="1"/>
  <c r="M462" i="1"/>
  <c r="M488" i="1"/>
  <c r="M503" i="1"/>
  <c r="M498" i="1"/>
  <c r="M124" i="1"/>
  <c r="M118" i="1"/>
  <c r="M112" i="1"/>
  <c r="M176" i="1"/>
  <c r="M240" i="1"/>
  <c r="M234" i="1"/>
  <c r="M228" i="1"/>
  <c r="M368" i="1"/>
  <c r="M320" i="1"/>
  <c r="M314" i="1"/>
  <c r="M425" i="1"/>
  <c r="M419" i="1"/>
  <c r="M449" i="1"/>
  <c r="L460" i="1"/>
  <c r="M502" i="1"/>
  <c r="M497" i="1"/>
  <c r="M251" i="1"/>
  <c r="M424" i="1"/>
  <c r="L428" i="1"/>
  <c r="M448" i="1"/>
  <c r="M442" i="1"/>
  <c r="M438" i="1"/>
  <c r="M432" i="1"/>
  <c r="M478" i="1"/>
  <c r="M472" i="1"/>
  <c r="M466" i="1"/>
  <c r="L481" i="1"/>
  <c r="M486" i="1"/>
  <c r="M501" i="1"/>
  <c r="M496" i="1"/>
  <c r="G296" i="1"/>
  <c r="G310" i="1"/>
  <c r="Q18" i="1"/>
  <c r="Q15" i="1"/>
  <c r="R7" i="1"/>
  <c r="Q12" i="1"/>
  <c r="R15" i="1"/>
  <c r="R16" i="1"/>
  <c r="Q17" i="1"/>
  <c r="Q16" i="1"/>
  <c r="Q11" i="1"/>
  <c r="Q14" i="1"/>
  <c r="G288" i="1"/>
  <c r="Q7" i="1"/>
  <c r="G378" i="1"/>
  <c r="G415" i="1"/>
  <c r="R21" i="1"/>
  <c r="R20" i="1"/>
  <c r="Q21" i="1"/>
  <c r="R19" i="1"/>
  <c r="G168" i="1"/>
  <c r="Q20" i="1"/>
  <c r="R18" i="1"/>
  <c r="Q19" i="1"/>
  <c r="R17" i="1"/>
  <c r="G198" i="1"/>
  <c r="Q13" i="1"/>
  <c r="Q10" i="1"/>
  <c r="Q9" i="1"/>
  <c r="Q8" i="1"/>
  <c r="G102" i="1"/>
  <c r="Q6" i="1"/>
  <c r="E20" i="3"/>
  <c r="G416" i="1" l="1"/>
  <c r="Q22" i="1"/>
  <c r="K458" i="1"/>
  <c r="F15" i="3" s="1"/>
  <c r="H237" i="1"/>
  <c r="H143" i="1"/>
  <c r="H109" i="1"/>
  <c r="I500" i="1"/>
  <c r="I499" i="1"/>
  <c r="I498" i="1"/>
  <c r="I497" i="1"/>
  <c r="I496" i="1"/>
  <c r="I495" i="1"/>
  <c r="K455" i="1" l="1"/>
  <c r="K426" i="1"/>
  <c r="F13" i="3" s="1"/>
  <c r="G13" i="3" s="1"/>
  <c r="G15" i="3"/>
  <c r="H15" i="3"/>
  <c r="H13" i="3"/>
  <c r="L479" i="1"/>
  <c r="K479" i="1"/>
  <c r="F16" i="3" s="1"/>
  <c r="K505" i="1"/>
  <c r="K482" i="1"/>
  <c r="F17" i="3" s="1"/>
  <c r="L455" i="1"/>
  <c r="L458" i="1"/>
  <c r="L482" i="1"/>
  <c r="L426" i="1" l="1"/>
  <c r="F14" i="3"/>
  <c r="F19" i="3"/>
  <c r="G16" i="3"/>
  <c r="H16" i="3"/>
  <c r="G17" i="3"/>
  <c r="H17" i="3"/>
  <c r="L505" i="1"/>
  <c r="M505" i="1" s="1"/>
  <c r="H400" i="1"/>
  <c r="H398" i="1"/>
  <c r="H211" i="1"/>
  <c r="H207" i="1"/>
  <c r="H359" i="1"/>
  <c r="H163" i="1"/>
  <c r="H149" i="1"/>
  <c r="H141" i="1"/>
  <c r="H145" i="1"/>
  <c r="H173" i="1"/>
  <c r="H161" i="1"/>
  <c r="H277" i="1"/>
  <c r="H275" i="1"/>
  <c r="H273" i="1"/>
  <c r="H271" i="1"/>
  <c r="H269" i="1"/>
  <c r="H205" i="1"/>
  <c r="H129" i="1"/>
  <c r="H123" i="1"/>
  <c r="H117" i="1"/>
  <c r="H115" i="1"/>
  <c r="H107" i="1"/>
  <c r="H104" i="1"/>
  <c r="H14" i="3" l="1"/>
  <c r="G14" i="3"/>
  <c r="G19" i="3"/>
  <c r="H19" i="3"/>
  <c r="J347" i="1"/>
  <c r="K347" i="1" l="1"/>
  <c r="L347" i="1" l="1"/>
  <c r="M347" i="1"/>
  <c r="J373" i="1"/>
  <c r="K373" i="1" s="1"/>
  <c r="J367" i="1"/>
  <c r="K367" i="1" s="1"/>
  <c r="J365" i="1"/>
  <c r="K365" i="1" s="1"/>
  <c r="J313" i="1"/>
  <c r="K313" i="1" s="1"/>
  <c r="J257" i="1"/>
  <c r="K257" i="1" s="1"/>
  <c r="J163" i="1"/>
  <c r="K163" i="1" s="1"/>
  <c r="J157" i="1"/>
  <c r="K157" i="1" s="1"/>
  <c r="J155" i="1"/>
  <c r="K155" i="1" s="1"/>
  <c r="J139" i="1"/>
  <c r="K139" i="1" s="1"/>
  <c r="J129" i="1"/>
  <c r="K129" i="1" s="1"/>
  <c r="L139" i="1" l="1"/>
  <c r="M139" i="1"/>
  <c r="L257" i="1"/>
  <c r="M257" i="1"/>
  <c r="L129" i="1"/>
  <c r="M129" i="1"/>
  <c r="L367" i="1"/>
  <c r="M367" i="1"/>
  <c r="L155" i="1"/>
  <c r="M155" i="1"/>
  <c r="L157" i="1"/>
  <c r="M157" i="1"/>
  <c r="L163" i="1"/>
  <c r="M163" i="1"/>
  <c r="L313" i="1"/>
  <c r="M313" i="1"/>
  <c r="L365" i="1"/>
  <c r="M365" i="1"/>
  <c r="L373" i="1"/>
  <c r="M373" i="1"/>
  <c r="J141" i="1"/>
  <c r="K141" i="1" s="1"/>
  <c r="L141" i="1" l="1"/>
  <c r="M141" i="1"/>
  <c r="H200" i="1"/>
  <c r="H202" i="1"/>
  <c r="H204" i="1"/>
  <c r="H214" i="1"/>
  <c r="H216" i="1"/>
  <c r="H218" i="1"/>
  <c r="H220" i="1"/>
  <c r="H222" i="1"/>
  <c r="H238" i="1"/>
  <c r="H246" i="1"/>
  <c r="H248" i="1"/>
  <c r="H256" i="1"/>
  <c r="H258" i="1"/>
  <c r="H290" i="1"/>
  <c r="H292" i="1"/>
  <c r="H294" i="1"/>
  <c r="H312" i="1"/>
  <c r="H318" i="1"/>
  <c r="H322" i="1"/>
  <c r="H340" i="1"/>
  <c r="H342" i="1"/>
  <c r="H344" i="1"/>
  <c r="H346" i="1"/>
  <c r="H348" i="1"/>
  <c r="H350" i="1"/>
  <c r="H356" i="1"/>
  <c r="H362" i="1"/>
  <c r="H364" i="1"/>
  <c r="H366" i="1"/>
  <c r="H370" i="1"/>
  <c r="H372" i="1"/>
  <c r="H374" i="1"/>
  <c r="H376" i="1"/>
  <c r="J6" i="1"/>
  <c r="K6" i="1" s="1"/>
  <c r="L6" i="1" s="1"/>
  <c r="J8" i="1"/>
  <c r="K8" i="1" s="1"/>
  <c r="J10" i="1"/>
  <c r="K10" i="1" s="1"/>
  <c r="J12" i="1"/>
  <c r="K12" i="1" s="1"/>
  <c r="J14" i="1"/>
  <c r="K14" i="1" s="1"/>
  <c r="J16" i="1"/>
  <c r="K16" i="1" s="1"/>
  <c r="J18" i="1"/>
  <c r="K18" i="1" s="1"/>
  <c r="J20" i="1"/>
  <c r="K20" i="1" s="1"/>
  <c r="J22" i="1"/>
  <c r="K22" i="1" s="1"/>
  <c r="J24" i="1"/>
  <c r="K24" i="1" s="1"/>
  <c r="J26" i="1"/>
  <c r="K26" i="1" s="1"/>
  <c r="J28" i="1"/>
  <c r="K28" i="1" s="1"/>
  <c r="J30" i="1"/>
  <c r="K30" i="1" s="1"/>
  <c r="J32" i="1"/>
  <c r="K32" i="1" s="1"/>
  <c r="J34" i="1"/>
  <c r="K34" i="1" s="1"/>
  <c r="J36" i="1"/>
  <c r="K36" i="1" s="1"/>
  <c r="J38" i="1"/>
  <c r="K38" i="1" s="1"/>
  <c r="J40" i="1"/>
  <c r="K40" i="1" s="1"/>
  <c r="J42" i="1"/>
  <c r="K42" i="1" s="1"/>
  <c r="J44" i="1"/>
  <c r="K44" i="1" s="1"/>
  <c r="J46" i="1"/>
  <c r="K46" i="1" s="1"/>
  <c r="J48" i="1"/>
  <c r="K48" i="1" s="1"/>
  <c r="J50" i="1"/>
  <c r="K50" i="1" s="1"/>
  <c r="J52" i="1"/>
  <c r="K52" i="1" s="1"/>
  <c r="J54" i="1"/>
  <c r="K54" i="1" s="1"/>
  <c r="J56" i="1"/>
  <c r="K56" i="1" s="1"/>
  <c r="J58" i="1"/>
  <c r="K58" i="1" s="1"/>
  <c r="J60" i="1"/>
  <c r="K60" i="1" s="1"/>
  <c r="J62" i="1"/>
  <c r="K62" i="1" s="1"/>
  <c r="J64" i="1"/>
  <c r="K64" i="1" s="1"/>
  <c r="J66" i="1"/>
  <c r="K66" i="1" s="1"/>
  <c r="J68" i="1"/>
  <c r="K68" i="1" s="1"/>
  <c r="J70" i="1"/>
  <c r="K70" i="1" s="1"/>
  <c r="J72" i="1"/>
  <c r="K72" i="1" s="1"/>
  <c r="J74" i="1"/>
  <c r="K74" i="1" s="1"/>
  <c r="J76" i="1"/>
  <c r="J78" i="1"/>
  <c r="K78" i="1" s="1"/>
  <c r="J80" i="1"/>
  <c r="J82" i="1"/>
  <c r="K82" i="1" s="1"/>
  <c r="J84" i="1"/>
  <c r="K84" i="1" s="1"/>
  <c r="J86" i="1"/>
  <c r="K86" i="1" s="1"/>
  <c r="J88" i="1"/>
  <c r="K88" i="1" s="1"/>
  <c r="J90" i="1"/>
  <c r="K90" i="1" s="1"/>
  <c r="J92" i="1"/>
  <c r="K92" i="1" s="1"/>
  <c r="J94" i="1"/>
  <c r="K94" i="1" s="1"/>
  <c r="J96" i="1"/>
  <c r="K96" i="1" s="1"/>
  <c r="J98" i="1"/>
  <c r="K98" i="1" s="1"/>
  <c r="J100" i="1"/>
  <c r="J104" i="1"/>
  <c r="K104" i="1" s="1"/>
  <c r="J106" i="1"/>
  <c r="J108" i="1"/>
  <c r="J110" i="1"/>
  <c r="J112" i="1"/>
  <c r="J114" i="1"/>
  <c r="J116" i="1"/>
  <c r="J118" i="1"/>
  <c r="J120" i="1"/>
  <c r="K120" i="1" s="1"/>
  <c r="J122" i="1"/>
  <c r="J124" i="1"/>
  <c r="J126" i="1"/>
  <c r="J128" i="1"/>
  <c r="K128" i="1" s="1"/>
  <c r="J130" i="1"/>
  <c r="K130" i="1" s="1"/>
  <c r="J132" i="1"/>
  <c r="J134" i="1"/>
  <c r="J136" i="1"/>
  <c r="K136" i="1" s="1"/>
  <c r="J138" i="1"/>
  <c r="K138" i="1" s="1"/>
  <c r="J140" i="1"/>
  <c r="K140" i="1" s="1"/>
  <c r="J142" i="1"/>
  <c r="J144" i="1"/>
  <c r="J146" i="1"/>
  <c r="J148" i="1"/>
  <c r="J150" i="1"/>
  <c r="J170" i="1"/>
  <c r="J172" i="1"/>
  <c r="J174" i="1"/>
  <c r="J176" i="1"/>
  <c r="J178" i="1"/>
  <c r="K178" i="1" s="1"/>
  <c r="J180" i="1"/>
  <c r="J182" i="1"/>
  <c r="K182" i="1" s="1"/>
  <c r="J184" i="1"/>
  <c r="K184" i="1" s="1"/>
  <c r="J186" i="1"/>
  <c r="K186" i="1" s="1"/>
  <c r="J188" i="1"/>
  <c r="K188" i="1" s="1"/>
  <c r="J190" i="1"/>
  <c r="K190" i="1" s="1"/>
  <c r="J192" i="1"/>
  <c r="K192" i="1" s="1"/>
  <c r="J194" i="1"/>
  <c r="K194" i="1" s="1"/>
  <c r="J196" i="1"/>
  <c r="K196" i="1" s="1"/>
  <c r="J152" i="1"/>
  <c r="K152" i="1" s="1"/>
  <c r="J154" i="1"/>
  <c r="K154" i="1" s="1"/>
  <c r="J156" i="1"/>
  <c r="K156" i="1" s="1"/>
  <c r="J158" i="1"/>
  <c r="J160" i="1"/>
  <c r="J162" i="1"/>
  <c r="K162" i="1" s="1"/>
  <c r="J164" i="1"/>
  <c r="K164" i="1" s="1"/>
  <c r="J166" i="1"/>
  <c r="K166" i="1" s="1"/>
  <c r="J200" i="1"/>
  <c r="J201" i="1" s="1"/>
  <c r="J202" i="1"/>
  <c r="J203" i="1" s="1"/>
  <c r="K203" i="1" s="1"/>
  <c r="J204" i="1"/>
  <c r="J205" i="1" s="1"/>
  <c r="J206" i="1"/>
  <c r="J208" i="1"/>
  <c r="K208" i="1" s="1"/>
  <c r="J210" i="1"/>
  <c r="J212" i="1"/>
  <c r="J214" i="1"/>
  <c r="J215" i="1" s="1"/>
  <c r="J216" i="1"/>
  <c r="J217" i="1" s="1"/>
  <c r="J218" i="1"/>
  <c r="J219" i="1" s="1"/>
  <c r="J220" i="1"/>
  <c r="J221" i="1" s="1"/>
  <c r="J222" i="1"/>
  <c r="J223" i="1" s="1"/>
  <c r="J224" i="1"/>
  <c r="J226" i="1"/>
  <c r="J228" i="1"/>
  <c r="J230" i="1"/>
  <c r="K230" i="1" s="1"/>
  <c r="J232" i="1"/>
  <c r="K232" i="1" s="1"/>
  <c r="J234" i="1"/>
  <c r="J236" i="1"/>
  <c r="J238" i="1"/>
  <c r="J239" i="1" s="1"/>
  <c r="J240" i="1"/>
  <c r="J242" i="1"/>
  <c r="J244" i="1"/>
  <c r="J246" i="1"/>
  <c r="J247" i="1" s="1"/>
  <c r="J248" i="1"/>
  <c r="J249" i="1" s="1"/>
  <c r="J250" i="1"/>
  <c r="K250" i="1" s="1"/>
  <c r="J252" i="1"/>
  <c r="J254" i="1"/>
  <c r="K254" i="1" s="1"/>
  <c r="J256" i="1"/>
  <c r="J258" i="1"/>
  <c r="J260" i="1"/>
  <c r="K260" i="1" s="1"/>
  <c r="J262" i="1"/>
  <c r="J264" i="1"/>
  <c r="J266" i="1"/>
  <c r="J268" i="1"/>
  <c r="J270" i="1"/>
  <c r="J272" i="1"/>
  <c r="J274" i="1"/>
  <c r="J276" i="1"/>
  <c r="J278" i="1"/>
  <c r="K278" i="1" s="1"/>
  <c r="J280" i="1"/>
  <c r="K280" i="1" s="1"/>
  <c r="J282" i="1"/>
  <c r="K282" i="1" s="1"/>
  <c r="J284" i="1"/>
  <c r="K284" i="1" s="1"/>
  <c r="J286" i="1"/>
  <c r="J290" i="1"/>
  <c r="J292" i="1"/>
  <c r="J300" i="1"/>
  <c r="K300" i="1" s="1"/>
  <c r="J294" i="1"/>
  <c r="J298" i="1"/>
  <c r="K298" i="1" s="1"/>
  <c r="J302" i="1"/>
  <c r="K302" i="1" s="1"/>
  <c r="J304" i="1"/>
  <c r="K304" i="1" s="1"/>
  <c r="J306" i="1"/>
  <c r="K306" i="1" s="1"/>
  <c r="J308" i="1"/>
  <c r="K308" i="1" s="1"/>
  <c r="J312" i="1"/>
  <c r="J314" i="1"/>
  <c r="J316" i="1"/>
  <c r="J318" i="1"/>
  <c r="J320" i="1"/>
  <c r="J322" i="1"/>
  <c r="J324" i="1"/>
  <c r="K324" i="1" s="1"/>
  <c r="J326" i="1"/>
  <c r="K326" i="1" s="1"/>
  <c r="J328" i="1"/>
  <c r="J330" i="1"/>
  <c r="K330" i="1" s="1"/>
  <c r="J332" i="1"/>
  <c r="K332" i="1" s="1"/>
  <c r="J334" i="1"/>
  <c r="K334" i="1" s="1"/>
  <c r="J336" i="1"/>
  <c r="K336" i="1" s="1"/>
  <c r="J338" i="1"/>
  <c r="K338" i="1" s="1"/>
  <c r="J340" i="1"/>
  <c r="J342" i="1"/>
  <c r="J344" i="1"/>
  <c r="J346" i="1"/>
  <c r="J348" i="1"/>
  <c r="J350" i="1"/>
  <c r="J352" i="1"/>
  <c r="K352" i="1" s="1"/>
  <c r="J354" i="1"/>
  <c r="K354" i="1" s="1"/>
  <c r="J356" i="1"/>
  <c r="J357" i="1" s="1"/>
  <c r="J358" i="1"/>
  <c r="J360" i="1"/>
  <c r="J362" i="1"/>
  <c r="J364" i="1"/>
  <c r="J366" i="1"/>
  <c r="J368" i="1"/>
  <c r="J370" i="1"/>
  <c r="J372" i="1"/>
  <c r="J374" i="1"/>
  <c r="J376" i="1"/>
  <c r="J380" i="1"/>
  <c r="K380" i="1" s="1"/>
  <c r="J382" i="1"/>
  <c r="K382" i="1" s="1"/>
  <c r="J384" i="1"/>
  <c r="K384" i="1" s="1"/>
  <c r="J386" i="1"/>
  <c r="K386" i="1" s="1"/>
  <c r="J388" i="1"/>
  <c r="K388" i="1" s="1"/>
  <c r="J390" i="1"/>
  <c r="J393" i="1"/>
  <c r="K393" i="1" s="1"/>
  <c r="J395" i="1"/>
  <c r="K395" i="1" s="1"/>
  <c r="J397" i="1"/>
  <c r="J399" i="1"/>
  <c r="J401" i="1"/>
  <c r="J403" i="1"/>
  <c r="K403" i="1" s="1"/>
  <c r="J405" i="1"/>
  <c r="K405" i="1" s="1"/>
  <c r="J407" i="1"/>
  <c r="K407" i="1" s="1"/>
  <c r="J409" i="1"/>
  <c r="K409" i="1" s="1"/>
  <c r="J411" i="1"/>
  <c r="K411" i="1" s="1"/>
  <c r="J413" i="1"/>
  <c r="K413" i="1" s="1"/>
  <c r="K390" i="1" l="1"/>
  <c r="J391" i="1"/>
  <c r="K391" i="1" s="1"/>
  <c r="M104" i="1"/>
  <c r="L104" i="1"/>
  <c r="L78" i="1"/>
  <c r="M78" i="1"/>
  <c r="L54" i="1"/>
  <c r="M54" i="1"/>
  <c r="L30" i="1"/>
  <c r="M30" i="1"/>
  <c r="M128" i="1"/>
  <c r="L128" i="1"/>
  <c r="L98" i="1"/>
  <c r="M98" i="1"/>
  <c r="L48" i="1"/>
  <c r="M48" i="1"/>
  <c r="M330" i="1"/>
  <c r="L330" i="1"/>
  <c r="L302" i="1"/>
  <c r="M302" i="1"/>
  <c r="L190" i="1"/>
  <c r="M190" i="1"/>
  <c r="M186" i="1"/>
  <c r="L186" i="1"/>
  <c r="L94" i="1"/>
  <c r="M94" i="1"/>
  <c r="L70" i="1"/>
  <c r="M70" i="1"/>
  <c r="L46" i="1"/>
  <c r="M46" i="1"/>
  <c r="M22" i="1"/>
  <c r="L22" i="1"/>
  <c r="L194" i="1"/>
  <c r="M194" i="1"/>
  <c r="L50" i="1"/>
  <c r="M50" i="1"/>
  <c r="M24" i="1"/>
  <c r="L24" i="1"/>
  <c r="L184" i="1"/>
  <c r="M184" i="1"/>
  <c r="L92" i="1"/>
  <c r="M92" i="1"/>
  <c r="L68" i="1"/>
  <c r="M68" i="1"/>
  <c r="L44" i="1"/>
  <c r="M44" i="1"/>
  <c r="M20" i="1"/>
  <c r="L20" i="1"/>
  <c r="L304" i="1"/>
  <c r="M304" i="1"/>
  <c r="L52" i="1"/>
  <c r="M52" i="1"/>
  <c r="L96" i="1"/>
  <c r="M96" i="1"/>
  <c r="M140" i="1"/>
  <c r="L140" i="1"/>
  <c r="L66" i="1"/>
  <c r="M66" i="1"/>
  <c r="L42" i="1"/>
  <c r="M42" i="1"/>
  <c r="M18" i="1"/>
  <c r="L18" i="1"/>
  <c r="M250" i="1"/>
  <c r="L250" i="1"/>
  <c r="L162" i="1"/>
  <c r="M162" i="1"/>
  <c r="L138" i="1"/>
  <c r="M138" i="1"/>
  <c r="L88" i="1"/>
  <c r="M88" i="1"/>
  <c r="L64" i="1"/>
  <c r="M64" i="1"/>
  <c r="L40" i="1"/>
  <c r="M40" i="1"/>
  <c r="L16" i="1"/>
  <c r="M16" i="1"/>
  <c r="L380" i="1"/>
  <c r="M380" i="1"/>
  <c r="L203" i="1"/>
  <c r="M203" i="1"/>
  <c r="M298" i="1"/>
  <c r="L298" i="1"/>
  <c r="L166" i="1"/>
  <c r="M166" i="1"/>
  <c r="L120" i="1"/>
  <c r="M120" i="1"/>
  <c r="L393" i="1"/>
  <c r="M393" i="1"/>
  <c r="L182" i="1"/>
  <c r="M182" i="1"/>
  <c r="L413" i="1"/>
  <c r="M413" i="1"/>
  <c r="L284" i="1"/>
  <c r="M284" i="1"/>
  <c r="L260" i="1"/>
  <c r="M260" i="1"/>
  <c r="L156" i="1"/>
  <c r="M156" i="1"/>
  <c r="L178" i="1"/>
  <c r="M178" i="1"/>
  <c r="L136" i="1"/>
  <c r="M136" i="1"/>
  <c r="L86" i="1"/>
  <c r="M86" i="1"/>
  <c r="L62" i="1"/>
  <c r="M62" i="1"/>
  <c r="L38" i="1"/>
  <c r="M38" i="1"/>
  <c r="M14" i="1"/>
  <c r="L14" i="1"/>
  <c r="L352" i="1"/>
  <c r="M352" i="1"/>
  <c r="L28" i="1"/>
  <c r="M28" i="1"/>
  <c r="L188" i="1"/>
  <c r="M188" i="1"/>
  <c r="L300" i="1"/>
  <c r="M300" i="1"/>
  <c r="L395" i="1"/>
  <c r="M395" i="1"/>
  <c r="L90" i="1"/>
  <c r="M90" i="1"/>
  <c r="L338" i="1"/>
  <c r="M338" i="1"/>
  <c r="L411" i="1"/>
  <c r="M411" i="1"/>
  <c r="L386" i="1"/>
  <c r="M386" i="1"/>
  <c r="M336" i="1"/>
  <c r="L336" i="1"/>
  <c r="L282" i="1"/>
  <c r="M282" i="1"/>
  <c r="L154" i="1"/>
  <c r="M154" i="1"/>
  <c r="L84" i="1"/>
  <c r="M84" i="1"/>
  <c r="L60" i="1"/>
  <c r="M60" i="1"/>
  <c r="L36" i="1"/>
  <c r="M36" i="1"/>
  <c r="M12" i="1"/>
  <c r="L12" i="1"/>
  <c r="M354" i="1"/>
  <c r="L354" i="1"/>
  <c r="M192" i="1"/>
  <c r="L192" i="1"/>
  <c r="L74" i="1"/>
  <c r="M74" i="1"/>
  <c r="M324" i="1"/>
  <c r="L324" i="1"/>
  <c r="L390" i="1"/>
  <c r="M390" i="1"/>
  <c r="L409" i="1"/>
  <c r="M409" i="1"/>
  <c r="L334" i="1"/>
  <c r="M334" i="1"/>
  <c r="L308" i="1"/>
  <c r="M308" i="1"/>
  <c r="M280" i="1"/>
  <c r="L280" i="1"/>
  <c r="M232" i="1"/>
  <c r="L232" i="1"/>
  <c r="M208" i="1"/>
  <c r="L208" i="1"/>
  <c r="M152" i="1"/>
  <c r="L152" i="1"/>
  <c r="L82" i="1"/>
  <c r="M82" i="1"/>
  <c r="L58" i="1"/>
  <c r="M58" i="1"/>
  <c r="L34" i="1"/>
  <c r="M34" i="1"/>
  <c r="M10" i="1"/>
  <c r="L10" i="1"/>
  <c r="L405" i="1"/>
  <c r="M405" i="1"/>
  <c r="L403" i="1"/>
  <c r="M403" i="1"/>
  <c r="L326" i="1"/>
  <c r="M326" i="1"/>
  <c r="M26" i="1"/>
  <c r="L26" i="1"/>
  <c r="L72" i="1"/>
  <c r="M72" i="1"/>
  <c r="M164" i="1"/>
  <c r="L164" i="1"/>
  <c r="L388" i="1"/>
  <c r="M388" i="1"/>
  <c r="L384" i="1"/>
  <c r="M384" i="1"/>
  <c r="L407" i="1"/>
  <c r="M407" i="1"/>
  <c r="L382" i="1"/>
  <c r="M382" i="1"/>
  <c r="L332" i="1"/>
  <c r="M332" i="1"/>
  <c r="L306" i="1"/>
  <c r="M306" i="1"/>
  <c r="L278" i="1"/>
  <c r="M278" i="1"/>
  <c r="L254" i="1"/>
  <c r="M254" i="1"/>
  <c r="L230" i="1"/>
  <c r="M230" i="1"/>
  <c r="L196" i="1"/>
  <c r="M196" i="1"/>
  <c r="L130" i="1"/>
  <c r="M130" i="1"/>
  <c r="L56" i="1"/>
  <c r="M56" i="1"/>
  <c r="L32" i="1"/>
  <c r="M32" i="1"/>
  <c r="M8" i="1"/>
  <c r="L8" i="1"/>
  <c r="K346" i="1"/>
  <c r="K344" i="1"/>
  <c r="K322" i="1"/>
  <c r="K220" i="1"/>
  <c r="K318" i="1"/>
  <c r="K218" i="1"/>
  <c r="J277" i="1"/>
  <c r="K276" i="1"/>
  <c r="J253" i="1"/>
  <c r="K252" i="1"/>
  <c r="K205" i="1"/>
  <c r="M6" i="1"/>
  <c r="K102" i="1"/>
  <c r="H247" i="1"/>
  <c r="K247" i="1" s="1"/>
  <c r="K246" i="1"/>
  <c r="J275" i="1"/>
  <c r="K274" i="1"/>
  <c r="J227" i="1"/>
  <c r="K226" i="1"/>
  <c r="K376" i="1"/>
  <c r="K342" i="1"/>
  <c r="H239" i="1"/>
  <c r="K239" i="1" s="1"/>
  <c r="K238" i="1"/>
  <c r="J173" i="1"/>
  <c r="K172" i="1"/>
  <c r="J107" i="1"/>
  <c r="K107" i="1" s="1"/>
  <c r="K106" i="1"/>
  <c r="H249" i="1"/>
  <c r="K249" i="1" s="1"/>
  <c r="K248" i="1"/>
  <c r="R12" i="1"/>
  <c r="J273" i="1"/>
  <c r="K272" i="1"/>
  <c r="K201" i="1"/>
  <c r="J149" i="1"/>
  <c r="K148" i="1"/>
  <c r="K374" i="1"/>
  <c r="K340" i="1"/>
  <c r="K222" i="1"/>
  <c r="J271" i="1"/>
  <c r="K270" i="1"/>
  <c r="J398" i="1"/>
  <c r="K397" i="1"/>
  <c r="K366" i="1"/>
  <c r="K312" i="1"/>
  <c r="K216" i="1"/>
  <c r="J207" i="1"/>
  <c r="K206" i="1"/>
  <c r="K370" i="1"/>
  <c r="J143" i="1"/>
  <c r="K142" i="1"/>
  <c r="J265" i="1"/>
  <c r="K264" i="1"/>
  <c r="K217" i="1"/>
  <c r="J161" i="1"/>
  <c r="K160" i="1"/>
  <c r="J117" i="1"/>
  <c r="K116" i="1"/>
  <c r="R6" i="1"/>
  <c r="K364" i="1"/>
  <c r="K294" i="1"/>
  <c r="K214" i="1"/>
  <c r="K221" i="1"/>
  <c r="J145" i="1"/>
  <c r="K144" i="1"/>
  <c r="J263" i="1"/>
  <c r="K263" i="1" s="1"/>
  <c r="K262" i="1"/>
  <c r="K215" i="1"/>
  <c r="J159" i="1"/>
  <c r="K159" i="1" s="1"/>
  <c r="K158" i="1"/>
  <c r="J115" i="1"/>
  <c r="K114" i="1"/>
  <c r="K362" i="1"/>
  <c r="K292" i="1"/>
  <c r="K204" i="1"/>
  <c r="K223" i="1"/>
  <c r="K372" i="1"/>
  <c r="J237" i="1"/>
  <c r="K236" i="1"/>
  <c r="H357" i="1"/>
  <c r="K357" i="1" s="1"/>
  <c r="K356" i="1"/>
  <c r="K290" i="1"/>
  <c r="K202" i="1"/>
  <c r="K219" i="1"/>
  <c r="J211" i="1"/>
  <c r="K210" i="1"/>
  <c r="K350" i="1"/>
  <c r="K258" i="1"/>
  <c r="K200" i="1"/>
  <c r="J400" i="1"/>
  <c r="K400" i="1" s="1"/>
  <c r="K399" i="1"/>
  <c r="J123" i="1"/>
  <c r="K122" i="1"/>
  <c r="J269" i="1"/>
  <c r="K268" i="1"/>
  <c r="J359" i="1"/>
  <c r="K358" i="1"/>
  <c r="K310" i="1"/>
  <c r="J109" i="1"/>
  <c r="K109" i="1" s="1"/>
  <c r="K108" i="1"/>
  <c r="K348" i="1"/>
  <c r="K256" i="1"/>
  <c r="E9" i="3"/>
  <c r="E4" i="3"/>
  <c r="E10" i="3"/>
  <c r="E8" i="3"/>
  <c r="E6" i="3"/>
  <c r="E5" i="3"/>
  <c r="E7" i="3"/>
  <c r="L391" i="1" l="1"/>
  <c r="M391" i="1"/>
  <c r="M200" i="1"/>
  <c r="L200" i="1"/>
  <c r="L264" i="1"/>
  <c r="M264" i="1"/>
  <c r="L270" i="1"/>
  <c r="M270" i="1"/>
  <c r="L249" i="1"/>
  <c r="M249" i="1"/>
  <c r="M220" i="1"/>
  <c r="L220" i="1"/>
  <c r="L246" i="1"/>
  <c r="M246" i="1"/>
  <c r="L223" i="1"/>
  <c r="M223" i="1"/>
  <c r="L221" i="1"/>
  <c r="M221" i="1"/>
  <c r="L344" i="1"/>
  <c r="M344" i="1"/>
  <c r="L106" i="1"/>
  <c r="M106" i="1"/>
  <c r="L204" i="1"/>
  <c r="M204" i="1"/>
  <c r="L142" i="1"/>
  <c r="M142" i="1"/>
  <c r="L210" i="1"/>
  <c r="M210" i="1"/>
  <c r="L346" i="1"/>
  <c r="M346" i="1"/>
  <c r="L322" i="1"/>
  <c r="M322" i="1"/>
  <c r="L370" i="1"/>
  <c r="M370" i="1"/>
  <c r="L374" i="1"/>
  <c r="M374" i="1"/>
  <c r="M372" i="1"/>
  <c r="L372" i="1"/>
  <c r="L350" i="1"/>
  <c r="M350" i="1"/>
  <c r="L222" i="1"/>
  <c r="M222" i="1"/>
  <c r="M214" i="1"/>
  <c r="L214" i="1"/>
  <c r="L114" i="1"/>
  <c r="M114" i="1"/>
  <c r="L364" i="1"/>
  <c r="M364" i="1"/>
  <c r="L206" i="1"/>
  <c r="M206" i="1"/>
  <c r="L148" i="1"/>
  <c r="M148" i="1"/>
  <c r="M238" i="1"/>
  <c r="L238" i="1"/>
  <c r="L205" i="1"/>
  <c r="M205" i="1"/>
  <c r="L247" i="1"/>
  <c r="M247" i="1"/>
  <c r="L239" i="1"/>
  <c r="M239" i="1"/>
  <c r="L252" i="1"/>
  <c r="M252" i="1"/>
  <c r="L144" i="1"/>
  <c r="M144" i="1"/>
  <c r="L109" i="1"/>
  <c r="M109" i="1"/>
  <c r="M292" i="1"/>
  <c r="L292" i="1"/>
  <c r="L172" i="1"/>
  <c r="M172" i="1"/>
  <c r="L294" i="1"/>
  <c r="M294" i="1"/>
  <c r="M290" i="1"/>
  <c r="L290" i="1"/>
  <c r="M158" i="1"/>
  <c r="L158" i="1"/>
  <c r="M116" i="1"/>
  <c r="L116" i="1"/>
  <c r="L216" i="1"/>
  <c r="M216" i="1"/>
  <c r="L201" i="1"/>
  <c r="M201" i="1"/>
  <c r="M342" i="1"/>
  <c r="L342" i="1"/>
  <c r="M348" i="1"/>
  <c r="L348" i="1"/>
  <c r="L108" i="1"/>
  <c r="M108" i="1"/>
  <c r="L362" i="1"/>
  <c r="M362" i="1"/>
  <c r="M122" i="1"/>
  <c r="L122" i="1"/>
  <c r="L356" i="1"/>
  <c r="M356" i="1"/>
  <c r="L159" i="1"/>
  <c r="M159" i="1"/>
  <c r="M312" i="1"/>
  <c r="L312" i="1"/>
  <c r="L272" i="1"/>
  <c r="M272" i="1"/>
  <c r="L376" i="1"/>
  <c r="M376" i="1"/>
  <c r="L276" i="1"/>
  <c r="M276" i="1"/>
  <c r="L258" i="1"/>
  <c r="M258" i="1"/>
  <c r="L107" i="1"/>
  <c r="M107" i="1"/>
  <c r="L340" i="1"/>
  <c r="M340" i="1"/>
  <c r="L358" i="1"/>
  <c r="M358" i="1"/>
  <c r="L219" i="1"/>
  <c r="M219" i="1"/>
  <c r="M268" i="1"/>
  <c r="L268" i="1"/>
  <c r="M202" i="1"/>
  <c r="L202" i="1"/>
  <c r="L357" i="1"/>
  <c r="M357" i="1"/>
  <c r="L215" i="1"/>
  <c r="M215" i="1"/>
  <c r="L160" i="1"/>
  <c r="M160" i="1"/>
  <c r="M366" i="1"/>
  <c r="L366" i="1"/>
  <c r="M226" i="1"/>
  <c r="L226" i="1"/>
  <c r="L218" i="1"/>
  <c r="M218" i="1"/>
  <c r="L399" i="1"/>
  <c r="M399" i="1"/>
  <c r="L236" i="1"/>
  <c r="M236" i="1"/>
  <c r="M262" i="1"/>
  <c r="L262" i="1"/>
  <c r="L397" i="1"/>
  <c r="M397" i="1"/>
  <c r="M256" i="1"/>
  <c r="L256" i="1"/>
  <c r="L400" i="1"/>
  <c r="M400" i="1"/>
  <c r="L263" i="1"/>
  <c r="M263" i="1"/>
  <c r="L217" i="1"/>
  <c r="M217" i="1"/>
  <c r="L248" i="1"/>
  <c r="M248" i="1"/>
  <c r="M274" i="1"/>
  <c r="L274" i="1"/>
  <c r="M318" i="1"/>
  <c r="L318" i="1"/>
  <c r="K211" i="1"/>
  <c r="K359" i="1"/>
  <c r="K115" i="1"/>
  <c r="K265" i="1"/>
  <c r="K207" i="1"/>
  <c r="K296" i="1"/>
  <c r="F8" i="3" s="1"/>
  <c r="G8" i="3" s="1"/>
  <c r="R11" i="1"/>
  <c r="K273" i="1"/>
  <c r="K227" i="1"/>
  <c r="R13" i="1"/>
  <c r="K398" i="1"/>
  <c r="K143" i="1"/>
  <c r="K275" i="1"/>
  <c r="K149" i="1"/>
  <c r="K173" i="1"/>
  <c r="K269" i="1"/>
  <c r="K253" i="1"/>
  <c r="K123" i="1"/>
  <c r="K117" i="1"/>
  <c r="K271" i="1"/>
  <c r="K145" i="1"/>
  <c r="K237" i="1"/>
  <c r="K277" i="1"/>
  <c r="K161" i="1"/>
  <c r="F4" i="3"/>
  <c r="E11" i="3"/>
  <c r="E12" i="3" s="1"/>
  <c r="E21" i="3" s="1"/>
  <c r="G507" i="1"/>
  <c r="F9" i="3"/>
  <c r="L123" i="1" l="1"/>
  <c r="M123" i="1"/>
  <c r="L207" i="1"/>
  <c r="M207" i="1"/>
  <c r="L253" i="1"/>
  <c r="M253" i="1"/>
  <c r="L115" i="1"/>
  <c r="M115" i="1"/>
  <c r="L269" i="1"/>
  <c r="M269" i="1"/>
  <c r="L265" i="1"/>
  <c r="M265" i="1"/>
  <c r="L161" i="1"/>
  <c r="M161" i="1"/>
  <c r="L211" i="1"/>
  <c r="M211" i="1"/>
  <c r="L143" i="1"/>
  <c r="M143" i="1"/>
  <c r="L173" i="1"/>
  <c r="L198" i="1" s="1"/>
  <c r="M173" i="1"/>
  <c r="M198" i="1" s="1"/>
  <c r="L359" i="1"/>
  <c r="L378" i="1" s="1"/>
  <c r="M359" i="1"/>
  <c r="M378" i="1" s="1"/>
  <c r="L275" i="1"/>
  <c r="M275" i="1"/>
  <c r="L277" i="1"/>
  <c r="M277" i="1"/>
  <c r="L398" i="1"/>
  <c r="M398" i="1"/>
  <c r="L149" i="1"/>
  <c r="M149" i="1"/>
  <c r="L237" i="1"/>
  <c r="M237" i="1"/>
  <c r="L145" i="1"/>
  <c r="M145" i="1"/>
  <c r="L227" i="1"/>
  <c r="M227" i="1"/>
  <c r="L271" i="1"/>
  <c r="M271" i="1"/>
  <c r="L273" i="1"/>
  <c r="M273" i="1"/>
  <c r="L117" i="1"/>
  <c r="M117" i="1"/>
  <c r="L415" i="1"/>
  <c r="M415" i="1"/>
  <c r="K378" i="1"/>
  <c r="F10" i="3" s="1"/>
  <c r="H10" i="3" s="1"/>
  <c r="K288" i="1"/>
  <c r="F7" i="3" s="1"/>
  <c r="G7" i="3" s="1"/>
  <c r="R10" i="1"/>
  <c r="K198" i="1"/>
  <c r="F6" i="3" s="1"/>
  <c r="G6" i="3" s="1"/>
  <c r="R14" i="1"/>
  <c r="K415" i="1"/>
  <c r="R8" i="1"/>
  <c r="K168" i="1"/>
  <c r="F5" i="3" s="1"/>
  <c r="R9" i="1"/>
  <c r="H9" i="3"/>
  <c r="G9" i="3"/>
  <c r="E22" i="3"/>
  <c r="E23" i="3" s="1"/>
  <c r="E32" i="3" s="1"/>
  <c r="E35" i="3" s="1"/>
  <c r="H8" i="3"/>
  <c r="H4" i="3"/>
  <c r="G4" i="3"/>
  <c r="L310" i="1"/>
  <c r="M310" i="1"/>
  <c r="L296" i="1"/>
  <c r="M296" i="1"/>
  <c r="M102" i="1"/>
  <c r="L102" i="1"/>
  <c r="M168" i="1" l="1"/>
  <c r="G10" i="3"/>
  <c r="M288" i="1"/>
  <c r="M416" i="1" s="1"/>
  <c r="L288" i="1"/>
  <c r="R22" i="1"/>
  <c r="L168" i="1"/>
  <c r="H5" i="3"/>
  <c r="G5" i="3"/>
  <c r="K416" i="1"/>
  <c r="F11" i="3"/>
  <c r="H7" i="3"/>
  <c r="H6" i="3"/>
  <c r="L416" i="1" l="1"/>
  <c r="H11" i="3"/>
  <c r="H12" i="3" s="1"/>
  <c r="G11" i="3"/>
  <c r="G12" i="3" s="1"/>
  <c r="F12" i="3"/>
  <c r="F18" i="3" l="1"/>
  <c r="H18" i="3" s="1"/>
  <c r="H20" i="3" s="1"/>
  <c r="H21" i="3" s="1"/>
  <c r="K506" i="1"/>
  <c r="F20" i="3" l="1"/>
  <c r="F21" i="3" s="1"/>
  <c r="G18" i="3"/>
  <c r="G20" i="3" s="1"/>
  <c r="G21" i="3" s="1"/>
  <c r="L506" i="1"/>
  <c r="L507" i="1" s="1"/>
  <c r="M507" i="1"/>
  <c r="K507" i="1"/>
  <c r="F25" i="3"/>
  <c r="F24" i="3"/>
  <c r="F22" i="3"/>
  <c r="F29" i="3"/>
  <c r="K508" i="1" l="1"/>
  <c r="K511" i="1"/>
  <c r="G22" i="3"/>
  <c r="H22" i="3"/>
  <c r="F23" i="3"/>
  <c r="F30" i="3"/>
  <c r="F31" i="3" l="1"/>
  <c r="G23" i="3"/>
  <c r="F32" i="3"/>
  <c r="H23" i="3"/>
  <c r="F34" i="3" l="1"/>
  <c r="F35" i="3" s="1"/>
  <c r="G35" i="3" l="1"/>
  <c r="F37" i="3"/>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<sst xmlns="http://schemas.openxmlformats.org/spreadsheetml/2006/main" count="1669" uniqueCount="439">
  <si>
    <t>QTY</t>
  </si>
  <si>
    <t xml:space="preserve">REVISED ESTIMATE </t>
  </si>
  <si>
    <t>DESCRIPTION</t>
  </si>
  <si>
    <t>As Per Sanctioned Estimate</t>
  </si>
  <si>
    <t>As Per Working Estimate</t>
  </si>
  <si>
    <t>EXCESS</t>
  </si>
  <si>
    <t>LESS</t>
  </si>
  <si>
    <t>REMARKS</t>
  </si>
  <si>
    <t>UNIT</t>
  </si>
  <si>
    <t>Providing and laying screed plain cement concrete as per site condition for floor  bedding  using  high  quality  aggregates  including  base  preparation, compaction,  levelling,  all  lead  and  lifts,  rough  finishing  at  the  top  surface, curing,  shuttering  if  necessary  etc.,  complete   as  directed  .  at  MGMH Petlaburj</t>
  </si>
  <si>
    <t>Supply and fixing powder coated aluminium fully glazed swing door as per the approved drawing with fixed fan light of 500mm height at top door using aluminium sections of 101.60 mm x44.45mm , 3.18 mm thick for frame and door shutter made  of styles , top  and middle  rail of 47.62mm  x  44.45mm, 3.18  mm  thick  and  bottom  rail  of  96.00mm  x  44.45  mm,3.18mm  thick, powder  coating  of  aluminium  sections  25mm  microns  thick,  5  mm  thick plain glass fitted with suitable aluminium glazing clips and rubber beading in fan light portion, double shutters fitted with 5mm thick frosted glass in the top half and 12mm thick prelaminated particle board One side choice colour and  other  side  balancing  white  lamination  in  the  bottom  half  fitted  with suitable   aluminium   glazing   clips   and   rubber   beading,   as   approved   by Engineer-in-Charge including supply and fixing ISI marked powder coated aluminium fixtures of 2 Nos. tower bolts 10mm bolt IS:204 300mm long, 4 Nos.  aluminium  handles  IS:208  150mm  dia  and  1  Nos.  aldrops  IS:2681 250mm,  1  No.  door  closure,  Al.  Butt  hinges  125mm  long  6Nos  including labour charges for manufacturing door , fixing the door with required No. of screws etc., complete for finished item of work. The Aluminium section used shall  be standard make confirming to IS 1948-1961 and as approved by the Engineer 1200mmx2100mm at MGMH Petlaburj</t>
  </si>
  <si>
    <t>No</t>
  </si>
  <si>
    <t>Lot</t>
  </si>
  <si>
    <t>Cum</t>
  </si>
  <si>
    <t>Sqm</t>
  </si>
  <si>
    <t>MT</t>
  </si>
  <si>
    <t>Rmt</t>
  </si>
  <si>
    <t>sqm</t>
  </si>
  <si>
    <t>Pts</t>
  </si>
  <si>
    <t>Job</t>
  </si>
  <si>
    <t>Set</t>
  </si>
  <si>
    <t>each</t>
  </si>
  <si>
    <t>Dismantling  doors,  windows  and  clear  storey  windows,  Ventilators  etc., wood or steel shutters including Chowkhats, architraves, hold fasts and other attachments  etc.,  and  stacking  them  within  100m  lead  including  labour charge etc., and complete for finished item of work. Exceeding 3 sqm in area: Doors1.50x2.60M at MGMH Petlaburj</t>
  </si>
  <si>
    <t>Reinforced  Masonry  for  partition  walls  100  mm  thick  in  CM  1:4  prop. Aerated Cellular Autoclaved Concrete Blocks conforming to IS:2185 Part-3- 1984 and IS:6441-1972 of Compressive strength 3 N/mm2 600 x 200 x 100 mm and placing 2Nos. of 6mm M.S plain rods in every third layer with free ends  of  the  reinforcement  pegged  into  mortar  joints  of  main  brick  walls where applicable including cost and conveyance of all materials like cement, steel, sans, brick, water etc., to site, including sales and other taxes excluding GST   on   all   materials,   all   operational,   incidents   charges,   constructing masonry, lift charges, curing, complete for finished item of work. TSSS No. of 509. 3rd Floor at MGMH Petlaburj</t>
  </si>
  <si>
    <t>SITC of Oxygen  Flowmeter with  Humidifier,  CE Certified with four digit number  as  per  enclosed  technical  specifications  -  Imported  at  MGMH Petlaburj</t>
  </si>
  <si>
    <t>Condensing units - VRF/VRV System : Supply, Installation, Nitrogen testing,  Vacuuming  and  Commissioning  of  air  cooled  variable  refrigerant  flow modular   type   condensing   units,   each   comprising   of   multiple   scroll compressors  all  inverter  driven,  full   charge  of  refrigerant  gas   R-410a including additional gas filling , lubricating oil and all accessories as per the specifications.  The  condensing  units  shall  be  suitable  to  work  on  cooling mode.  The  minimum  Energy  Efficiency  Ratio  shall  be  as  per  ASHRAE STANDARDS  90.1  -2001  table  6.2.1B  .  The  COP  of  the  system  shall  be greater   than   4   under   ARI   conditions   for   100percentage   load   .   The condensing  units  shall  be  suitable  for  operation  on  415   plus  or  minus 10percentage volts, 50Hz, 3 phase  AC  power   supply  and ,  outdoor  units to  be  mounted  on  MS  platform  with  suitable  Vibration  Isolation  pads  to avoid vibrations. All the supports and angle base frame structure to be duly black  painted  with  synthetic  epoxy  paint.  the  condensing  units  shall  be  of following capacities: The VRF ODU should be capable of working with total capacity   of   connected   indoor   units   ranging   between   100percentage   to 140percentage  of ODU capacity .  COP minimum 3.5. Make : Daikin / LG  / O General / Toshiba at MGMH Petlaburj 16 HP</t>
  </si>
  <si>
    <t>SITC  of  Magnehelic  gauges  across  pre  and  fine  filter  at  AHUs  including mounting arrangement, SS nozzles, food grade PVC tubing, etc. at MGMH Petlaburj</t>
  </si>
  <si>
    <t>Modular  Double  skin  floor  mounted  EUROVENT  Certified  Air  Handling Unit 3000CFM / 8.5 TR / 150mm SP made out of 45  plus or minus  2mm thick  PUF  insulated  panels  Thermal  break  aluminium  profile  frame  work with  0.8mm  thick  pre  painted  /  powder  coated  inner  and  outer  skins comprising of mixing box with fresh air and return air dampers, pre filters with    10    and    5    microns    combination    filters    in    single    frame, Interlaced/Intertwined  DX  Cooling  Coil  suitable  for  connecting  2  nos  of 8.5TR capacity 1W plus 1S out door condensing units, SS304 drain pan with,  blower  section  with  Nicotra  /  Kruger  make  direct  drive/  Plug  type  fan, vibration isolators, EFF1 motor and blower section with on/off switches to operate from outside, limit switch for the fan section access door with a view port,  fine filter  section  with  3  microns  filters  inspection  doors  for all  filter and  fan  sections  and  damper  at  the  outlet  of  unit.  Ports  for  differential pressure gauges across all filters and blower to measure differential pressure. AHU Make : VTS / Systemair, Make - Blower - Nicotra / Kruger ; Motor - Crompton Greaves / Siemens ; Filter - Thermodyne / Freudenberg / Ultrafil at MGMH Petlaburj</t>
  </si>
  <si>
    <t>SITC  of  IVF  Center  Main  Panel  Indoor  IP-42  wall/  free  standing  floor mounted dust and vermin proof compartmentalized cubical panel made out of  CRCA  sheet,  required  hardware,  duly  treated  for  de-rusting  in  7  tank process with de-phosphate and with powder coating on both side of panel in desired shade. The panel having PU/ Neoprene rubber gasket of not less than 3mm  thickness,  separate  detachable  gland  plate  M.S.  base  channel,  hinged door with locking arrangement for equipment/switchgear. Thickness of sheet shall  not  be  less  than  1.6  mm  up  to  600  mm  length  /  width  of  any compartment and be of 2.0 mm above 600 mm. Load bearing structure shall be of 2.0 mm thick sheet supported by base M.S.  channel if required. Side walls and cable alley compartments having bolted type doors with /without detachable  extension  type  structure  with  all  type  of  suitable  switching accessories   and   bus-bar   as   per   load   requirement   of   respective IVF equipment’s. Which is including Lighting, power DBs and UPS at MGMH Petlaburj</t>
  </si>
  <si>
    <t>Supply, Lying and testing of 3.5CX50 sqmm XLPE Insulated Cable 1100V grade   armoured   aluminium   cable   with   ISI   mark   as   per   specification confirming  to  IS:7098  Part  -  I  with  heavy  duty  type  double  compression weather proof type brass cable glands duly nickel plated as per BS 6121 and IP66 complete with brass checknut, outer sheath sealing gasket heavy duty long  barrel  aluminium  lugs  confirming  to  I.S  specifications  with  complete nut, bolt and washer etc..                              Make      of      Cable:      Polycab/ KEI/Universal/Glostar/Finolex.       Make       of       gland       and       Lungs: HMI/Commet/Dowell’s at MGMH Petlaburj</t>
  </si>
  <si>
    <t>Providing and Fixing maintenance free earthing which consists of G.I. Earth station,   with   600X600X3.15mm   GI  Plate   at   2500mm   Depth  including construction of brick pedestal, providing meshed funnel, GI cover and other civil Engineering works, spreading a homogenous mixture of salt, charcoal around  the  pipe  etc.,  completely  as  per  IS  3043,  1987  or  latest  revision. Earthing testing should be done as per IE Rules like Earth valve test Etc. at MGMH Petlaburj</t>
  </si>
  <si>
    <t>Supply and installation of 50mm thick double skin   ceiling system made of 0.8 mm thick  Powder Coated GI sheets on both sides,  40  plus or minus  2 kg/m3 density PUF as infill, GI profiles all along the periphery, panels flush towards room side with maximum allowable gap of 3-4mm at panel to panel joints filled with silicon sealant. Ceiling panels are suspended from the RCC slab  by  using  concealed  AL  ceiling  grid  with  tie  rod  and  adjustable  turn buckle arrangement etc. This includes all required hardware for completion. Panels  to  be  covered  with  a  protective  film  to  avoid  any  damages  during transportation and installation at MGMH Petlaburj</t>
  </si>
  <si>
    <t>Painting  to  new  wood  work  and  flush  shutters  with  lappam  finish,  over  a primary coat and painting two coats of synthetic enamel paint Grade-II VOC Volatile  Organic  Compound  content  less  than  50  grams/litre  of  approved shade including cost and conveyance of all materials to site cost of primer coat and all labour charges etc. complete including applying sand paper on lappam  coats  for  neat  finish  including  sales  and  other  taxes  on  cost  of  all materials  etc.,  complete  in  all  floors  TSSS  No.1200,  1207  and  1211.  at MGMH Petlaburj</t>
  </si>
  <si>
    <t>Providing dadooing to walls with glazed full body porcelain wall tiles of size 300  x  600  mm  with  any  type  of  design  texture  such  as  marble  finish, wooden,  bamboo,  stone  finishes  etc.,  scratch  less,  stain  free  and  thickness between  6-8  mm  1st  quality  conforming  to  IS:13711,  IS:13712,  IS:13630 Parts 1 to 15 of any colour and finish in all shades and designs with borders as  approved  by  Engineer-in-Charge  set  over  base  coat  of  CM1:5  12  mm thick  using  screened  sand  with  cement  slurry  of  honey  like  consistency spread at the rate of 3.30 kgs per sqm and jointing with white cement paste mixed  with  pigment  of  matching  shade  to  full  depth,  including  cost  of  all materials like tiles, cement, sand and water etc., complete for finished item of work. 3rd  Floor at MGMH Petlaburj</t>
  </si>
  <si>
    <t>Supply and run of 3 of 2.5 sq.mm 36/0.mm phase neutral and earth FRLS / HFFR  PVC  insulated  flexible  copper  cable  in  existing  conduit  pipe  for individual   lighting   circuits   including   labour   charges   etc.,   complete   as required  for  switch  boards.  Makes  of  wires:  Finolex/  RR  Cable/  Havells/ Polycab/ HPL. at MGMH Petlaburj</t>
  </si>
  <si>
    <t>Wiring with 2 runs of 22/0.3mm 1.5 Sq.mm FRLS / HFFR P.V.C. insulated flexible copper cable ISI MARK in existing pipe with 6A Modular switch, Ceiling rose/BH/SBH Modular switches with cover plate and GI switch box including  all  labour  charges  etc.,  complete.  for  Non-  Residential  Building Makes  of  wires:  Finolex/  RR  Cable/  Havells/  Polycab/  HPL.  Makes  of switches:   -   GM   Four-Five   /   Legrand   Arteor   /   Schneider   Zen      celo /Honeywell Blenge Plus/Gold Medal curve. at MGMH Petlaburj</t>
  </si>
  <si>
    <t>Supply and laying of ISI 25mm outer dia medium grade with IS:9537-part 3 rigid  PVC  pipe  surface  on  wall  with  all  required  PVC  /  Metallic  Junction Boxes including masonry work and labour charges etc.,      Makes: Sudhakar/ Precision /Universal/ Modi / Million Plast. at MGMH Petlaburj</t>
  </si>
  <si>
    <t>Supply and laying of ISI 25mm outer dia medium grade with IS:9537-part 3 rigid PVC pipe concealed in wall with all required PVC / Metallic Junction Boxes including masonry work and labour charges etc.,      Makes: Sudhakar/ Precision /Universal/ Modi / Million Plast. at MGMH Petlaburj</t>
  </si>
  <si>
    <t>Supplying  and  fixing  of  4inches  101.6mm  multi  floor  trap  with  jali  - UPVC/SWR pipe fittings as per site requirements with standard practice for all  floors  including  cost  and  conveyance  of  all  materials  to  site,  labour charges ,etc., complete for finished item of work. at MGMH Petlaburj</t>
  </si>
  <si>
    <t>Supplying and fixing 15 mm  brass body CP finish bib tap of not less than 300 grams weight screw grams weight with quarter turn spindle with internal/  external  threaded  connection  conforming  to  IS  8931  as  approved  by  the Engineer-In-Charge  including  cost  and  conveyance  of  all  materials,  labour charges , overheads and contractors profit complete for finished item of work in all floors. at MGMH Petlaburj</t>
  </si>
  <si>
    <t>Conveyance of un-useful excavated earth to a distance of 21 KM for disposal including hire charges of T and P, labour charges etc., complete for finished item of work. Dismantled Brick masonry and existing flooring. at MGMH Petlaburj</t>
  </si>
  <si>
    <t>AE</t>
  </si>
  <si>
    <t>Supply and fixing of ISI mark batten holder / slanting holder Makes : Anchor/  Gold  Medal  Olive  /  Million  Zoom  in  lieu  of  ceiling  rose  of  light  point complete with all connections and all labour charges with 5.0W LED Lamp MAKE: OSRAM / Wipro / Crompton / Bajaj / Havells at MGMH Petlaburj</t>
  </si>
  <si>
    <t>Supply, transportation and installation of split AC unit 1.0 TR inverter type minimum 3 Star capable  of delivering 12000 BTU/hr and above  with high wall mounted indoor unit and outdoor condensing unit Hermetically sealed compressor  suitable  for  operation  on  230V,  50Hz,  1Phase  AC  supply capable  of  performing  cooling  dehumidifying  air  circulating  and  filtering with cooling and condensing units with 3.5 mts of copper piping, insulation kit  and  4  mts  of  3  core  copper  flexible  chord  ,  built-in  stabilizer  Voltage range 160- 264 volts and cordless remote control. Makes: Daikin / Thoshiba/ O General at MGMH Petlaburj</t>
  </si>
  <si>
    <t>PART-A</t>
  </si>
  <si>
    <t>Civil Works</t>
  </si>
  <si>
    <t>ELECTRICAL WORKS</t>
  </si>
  <si>
    <t>PLUMBING WORKS</t>
  </si>
  <si>
    <t>ELV WORKS</t>
  </si>
  <si>
    <t>FIRE FIGHTING WORKS</t>
  </si>
  <si>
    <t>AIR CONDITIONING</t>
  </si>
  <si>
    <t>MGPS</t>
  </si>
  <si>
    <t xml:space="preserve"> </t>
  </si>
  <si>
    <t>EQUIPMENT</t>
  </si>
  <si>
    <t>MGMH Petlaburj Hospital</t>
  </si>
  <si>
    <t>Ovum Aspiration Pumps at Petlaburj Hospital</t>
  </si>
  <si>
    <t>IVF Test tube Warmers at Petlaburj Hospital</t>
  </si>
  <si>
    <t>DICOM  compatible  fully  digital,  compact,  portable,  Ultrasound  Scan Machine Colour Doppler at Petlaburj Hospital</t>
  </si>
  <si>
    <t>Multipurpose Electro hydraulic with manual override mobile OT Table, with divided  leg  section  suitable  for  all  Gynaecological  surgical  procedures, complete with 5cm Mattress and corded handset at Petlaburj Hospital</t>
  </si>
  <si>
    <t>LED procedure Lights Double dome at Petlaburj Hospital</t>
  </si>
  <si>
    <t>LED procedure Lights Single dome  at Petlaburj Hospital</t>
  </si>
  <si>
    <t>IVF Workstation with LAF at Petlaburj Hospital</t>
  </si>
  <si>
    <t>IVF Ant vibration Table for procedure at Petlaburj Hospital</t>
  </si>
  <si>
    <t>CO2 Incubators at Petlaburj Hospital</t>
  </si>
  <si>
    <t>Trigas   bench   Top   Incubators   for  Human   Embryo   culture   at   Petlaburj Hospital</t>
  </si>
  <si>
    <t>Trinocular Stereozoom Microscope at Petlaburj Hospital</t>
  </si>
  <si>
    <t>ICSI Micro manipulator with Inverted Microscope at Petlaburj Hospital</t>
  </si>
  <si>
    <t>IVF Laser System at Petlaburj Hospital</t>
  </si>
  <si>
    <t>IVF Thermometer at Petlaburj Hospital</t>
  </si>
  <si>
    <t>CO2 Cylinder and Manifold at Petlaburj Hospital</t>
  </si>
  <si>
    <t>CO2 and O2 Analyzer at Petlaburj Hospital</t>
  </si>
  <si>
    <t>PH Meter at Petlaburj Hospital</t>
  </si>
  <si>
    <t>VOC Meter for ART Lab at Petlaburj Hospital</t>
  </si>
  <si>
    <t>Sperm Counting Makler Chamber at Petlaburj Hospital</t>
  </si>
  <si>
    <t>Binocular Microscope for Semen Analysis at Petlaburj Hospital</t>
  </si>
  <si>
    <t>Laminar flow cabinet with Andrology Work station at Petlaburj Hospital</t>
  </si>
  <si>
    <t>Clinical Centrifuge machine for Andrology at Petlaburj Hospital</t>
  </si>
  <si>
    <t>Dry Incubators at Petlaburj Hospital</t>
  </si>
  <si>
    <t>Pipetter and Denudation system at Petlaburj Hospital</t>
  </si>
  <si>
    <t>Pharmaceutical Refrigerator at Petlaburj Hospital</t>
  </si>
  <si>
    <t>Cryocans with wheels at Petlaburj Hospital</t>
  </si>
  <si>
    <t>Defibrillator at Petlaburj Hospital</t>
  </si>
  <si>
    <t>7 Para Patient Monitor at Petlaburj Hospital</t>
  </si>
  <si>
    <t>Suction machine at Petlaburj Hospital</t>
  </si>
  <si>
    <t>Anaesthesia Work station at Petlaburj Hospital</t>
  </si>
  <si>
    <t>Autoclave at Petlaburj Hospital</t>
  </si>
  <si>
    <t>Operative Hysteroscopy and Resectoscope Set Machine at Petlaburj Hospital</t>
  </si>
  <si>
    <t>Operative Laparoscopy Set at Petlaburj Hospital</t>
  </si>
  <si>
    <t>Multifunctional Printer at Petlaburj Hospital</t>
  </si>
  <si>
    <t>Ultrasound Examination Couch at Petlaburj Hospital</t>
  </si>
  <si>
    <t>UPS 20KVA with battery backup at Petlaburj Hospital</t>
  </si>
  <si>
    <t>Laptop for Office usage at Petlaburj Hospital</t>
  </si>
  <si>
    <t>Reception Table at Petlaburj Hospital</t>
  </si>
  <si>
    <t>Reception chair at Petlaburj Hospital</t>
  </si>
  <si>
    <t>Filing Cabinet at Petlaburj Hospital</t>
  </si>
  <si>
    <t>Patient Seating 3 in 1 model at Petlaburj Hospital</t>
  </si>
  <si>
    <t>Consultant Chair at Petlaburj Hospital</t>
  </si>
  <si>
    <t>Patient Chair at Petlaburj Hospital</t>
  </si>
  <si>
    <t>Small Trolley at Petlaburj Hospital</t>
  </si>
  <si>
    <t>Big Trolley at Petlaburj Hospital</t>
  </si>
  <si>
    <t>Wall Storage Cabinets at Petlaburj Hospital</t>
  </si>
  <si>
    <t>Office Table at Petlaburj Hospital</t>
  </si>
  <si>
    <t>Consumables and Media for 100 Cycles at Petlaburj Hospital</t>
  </si>
  <si>
    <t>Dismantling,  clearing  away  and  carefully  stacking  useful  materials  for  re- use  and  disposal  of  unserviceable  materials  with  100m  lead  as  directed  by Executive Engineer duly taking actual premeasurements before dismantling including  all  labour  charges,  etc.,  complete.  Brick  Masonry  at  MGMH Petlaburj</t>
  </si>
  <si>
    <t>Dismantling clearing away and carefully stacking useful materials for re use and  disposal  of  unserviceable  materials  with  100m  lead  as  directed  by Executive Engineer duly taking actual premeasurements before dismantling including all labour charges etc complete for Flooring at MGMH Petlaburj</t>
  </si>
  <si>
    <t>Dismantling  doors,  windows  and  clear  storey  windows,  Ventilators  etc., wood or steel shutters including Chowkhats, architraves, hold fasts and other attachments  etc.,  and  stacking  them  within  100m  lead  including  labour charge etc., and complete for finished item of work. Not exceeding 3 sqm in area: Doors 1.00x2.60M at MGMH Petlaburj</t>
  </si>
  <si>
    <t>Brick masonry for panel walls in superstructure with CM 1:8 prop: Aerated Cellular Autoclaved  Concrete  Blocks  conforming  to  IS:2185  Part-3  -  1984 and IS:6441-1972 of Compressive strength 3 N/mm2  600 x 200 x 200 mm including cost and  conveyance of  all materials like cement, screened  sand, bricks, water etc., to site, including sales and other taxes on all materials and such  as  labour  charges,  like  mixing  cement  mortar,  scaffolding  charges, constructing masonry, lift charges, curing, etc.,complete for finished item of work. TSSS No.501 and 504. 3rd  Floor at MGMH Petlaburj</t>
  </si>
  <si>
    <t>Providing Mild steel MS steel bars Fe 250 grade as per IS 432 of different diameters  including  labour  charges  for  straightening,  cutting,  bending  to required sizes and shapes, placing in position with cover blocks of approved materials and size and tying and lap-splicing with binding wire of 18 SWG, forming grills for reinforcement work as per approved designs and drawings, including cost and conveyance of steel bars, including all wastages such as overlaps,  couplings,  chairs,  spacer  bars  including  cost  and  conveyance  of binding  wire,  cover  blocks  and  all  incidental,  operational,  labour  charges such as cutting, bending, placing in position, tying including sales and other taxes on all materials etc. , complete for finished item of work. TSSS No.126 For RBM walls 6mm  dia: 3rd  Floor at MGMH Petlaburj</t>
  </si>
  <si>
    <t>Plastering  20mm  thick  in  two  coats  using  screened  sand  with  base  coat  of 16mm  thick  in  CM1:6  and  top  coat  of  4mm  thick  in  CM1:4  with  dubara sponge finishing including cost and conveyance of all materials like cement, sand, water etc., to site, including sales and other taxes on all materials, and all  operational,  incidental  charges  on  materials  and  including  cost  of  all labour charges for mixing mortar, finishing, scaffolding, lift charges, curing, including  cutting  grooves  as  directed  by  Engineer-in-charge  etc.,  complete for finished item of work .SS 901,903and 904 3rd  Floor at MGMH Petlaburj</t>
  </si>
  <si>
    <t>Plastering  12mm  thick  in  two  coats  using  screened  sand  with  base  coat  of 8mm  thick  in  CM  1:6  and  top  coat  of  4mm  thick  in  CM  1:4  with  dubara sponge finishing including cost and conveyance of all materials like cement, sand, water etc., to site, including sales and other taxes on all materials, and all  operational,  incidental  charges  on  materials  and  including  cost  of  all labour charges for mixing mortar, finishing, scaffolding, lift charges, curing, including   cutting   grooves   as   directed   by   Engineer-in-charge   etc.,   and complete  for  finished  item  of  work.  SS  901,903  and  904.  3rd  Floor  at MGMH Petlaburj</t>
  </si>
  <si>
    <t>Supply and fixing doors as per drawings with medium teak wood frame of section 100mm x 65 mm and ISI marked flush door shutters of 30 mm thick single  shutter  with  bond  wood  solid  block  board  type  Core  having  cross bands  and  face  veneers,  hot  pressed  bonded  with  water  proof  phenol formaldehyde synthetic resin factory made conforming to IS 2202-1991 Part- I both sides commercial ply with internal lipping on all sides including cost and  conveyance  to  site  of  teak  wood  frame,  flush  shutter including  supply and fixing 6 Nos. MS Z hold fasts of size 300 mm x 40 mm x 5mm including cost of ISI marked Aluminium fixtures of 3 Nos. butt long handles IS:208, 1 No. door stopper and 1 No. rubber bush including fixing the fixtures to door with required number of screws, bolt and nuts including labour charges for fixing the frame in position, fixing the shutter to the frame etc., complete for finished item of work as per APSS 1001 and 1002 The vertical frame of door shall be embedded in flooring for a depth of not less than 10 mm 1000mm x 2100mm at MGMH Petlaburj</t>
  </si>
  <si>
    <t>Flooring with soluble salt porcelain vitrified tiles screen printed and polished of  size  600  x  600  mm  and  thickness  between  8  to  10mm  1st  quality conforming  to  IS:  13711,  IS:  13712,  IS:  13630Parts  1  to  15  of  any  colour and  finish  in  all  shades  and  designs  with  borders  and  design  as  per  the approved flooring pattern as directed by the Engineer-In -Charge, laying tiles using  spacers  of  2mm  thick,  set  over  a  base  coat  of  CM  1:8  prop.  12mm thick  using  screened  sand  over  CC  bed  already  laid  or  RCC  roof  slab, including neat cement slurry of honey like consistency spread at the rate 3.3 kgs per Sqm. and jointed neatly with white cement paste to full depth mixed with  pigment  of  matching  shade  including  cost  and  conveyance  of  all materials like cement, sand, water, tiles, white cement etc., to site excluding cost of C.C. bed including cost of base coat and all labour charges for mixing of cement mortar, laying tiles to required slope as directed by the Engineer- in- charge etc., and  complete for finished item of work. TSSS No.701 and 707. 3rd Floor at MGMH Petlaburj</t>
  </si>
  <si>
    <t>Flooring with non-skid full body ceramic floor tiles of size 300mm x 300mm and  thickness  between  7  -  8mm  1st  quality  conforming  to  IS:  13711,  IS: 13712,  IS:  13630Part  1  to  15  of  any  colour  and  finish  in  all  shades  and designs  as  approved  by  Engineer-in-charge,  set  over  base  coat  of  cement mortar  1:8,  12mm  thick  using  screened  sand  over  CC  bed  already  laid  or RCC  roof  slab,  including  neat  cement  slurry  of  honey  like  consistency spread  at  the  rate  3.3  Kgs  per  Sqm  and  jointed  neatly  with  white  cement paste to full depth mixed with pigment of matching shade, including cost of all materials like cement, screened sand , water and tiles etc., complete for finished item of work. TSSS No.701 and 707 at MGMH Petlaburj</t>
  </si>
  <si>
    <t>Providing and applying Wall putty of White Cement or Polymer or Cement based of average 1 to 2 mm thickness over plastered surface to prepare the surface even and smooth after thoroughly brushing the surface to remove all dirt and remains of  loose powdered materials,  applying emery paper,  Sand the  surface,  clean  and  wipe  off loose  dust,  applying  knifing  paste  filler  by putty knife / muslin pad, air dry for 2 - 3 hrs, sand with 180 and 320 No., emery paper for the surface preparation including cost and conveyance of all materials  to  work  site  and  all  operational,  incidental,  labour  charges,  over heads  and  etc.,  complete  for  finished  item  of  work  in  3rd   floor  Internal walls. at MGMH Petlaburj</t>
  </si>
  <si>
    <t>Supply  and  application  of  one  coat  water  based  cement  primer  of  interior grade  I  and  two  coats  of  water  based  PU  paint  having  anti  bacterial applications content less than 50 grams/litre for internal walls including cost and  conveyance  of  all  materials  to  site,  sales  and  other  taxes,  incidental, operational  and  all  labour  charges  etc.,  and  complete  for  finished  item  of work in 3rd floor. at MGMH Petlaburj</t>
  </si>
  <si>
    <t>Painting to old  walls with 2 coats of water proof cement paint of shade as approved by the Engineer-In-Charge to give an even shade after thourughly brushing  the  surface  to  remove  all  dirt  and  remains  of  loose  powdered materials, including cost and conveyance of all materials to work site and all operational,   scaffolding   charges,   incidental,   labour   charges   etc.,   and overheads and contractors profit complete for finished item of work as per SS 912 in 3rd floor. at MGMH Petlaburj</t>
  </si>
  <si>
    <t>Supply  and  installation  of  80mm  thick  double  skin  modular  wall  Panels made of 0.8 mm thick powder coated GI on both the sides, with  40  plus or minus  2  kg/m3  density  PUF  as  infill,  GI  profiles  all  along  the  periphery, flush on both sides with maximum allowable gap of 3- 4mm filled with food grade silicon sealant and placed on cold rolled galvanised bottom tracks with a  recess  to  provide  floor  to  wall  coving  flush  with  the  wall  panel.  This includes  all  required  harware  for  completion  Panels  to  be  covered  with  a protective film to avoid any damages during transportation and installation at MGMH Petlaburj</t>
  </si>
  <si>
    <t>Double  leaf  clean  room  Doors  :  46mm  thick  flush  doors  made  of  0.8mm thick  Powder  coated  GI  sheets  on  both  sides,  90  plus  or  minus  2  kg/m3 density   Honeycomb   with   stand   upto   220   Deg.C   Temperature,   and compressible strength upto 400 Kg/Sqm, 1.2 mm thick GPSP .  door frames, double  glazed  vision  panel   with  necessary  adhesive   tapes  and  silicon sealant, necessary hardware like SS304 ball bearing butt hinges, D- handles, push plates, Dorma make door closure, concealed tower bolt, drop seals  for the double leaf door and provision for fixing magnetic type door interlocking system and automatic door bottoms, Both side lock and keys etc. complete. Size 1500 X 2100 mm with 300mm X 300mm double glazed view panels at MGMH Petlaburj</t>
  </si>
  <si>
    <t>Single leaf clean room Doors : 46mm thick flush doors made of 0.8mm thick Powder coated GI sheets on both sides, 90  plus or minus  2 kg/m3 density Honeycomb  with  stand  upto  220  Deg.C  Temperature,  and  compressible strength upto 400 Kg/Sqm, 1.2 mm thick GPSP .  door frames, double glazed vision  panel  with  necessary  adhesive  tapes  and  silicon  sealant,  necessary hardware  like  SS304  ball  bearing  butt  hinges,  D-  handles,  push  plates, Dorma make door closure, concealed tower bolt, drop seals  for the double leaf  door  and  provision  for  fixing  magnetic  type  door  interlocking  system and automatic door bottoms, Both side lock and keys etc. complete. Size 900 X 2100 mm with 300 mm x 300 mm  View panelat MGMH Petlaburj</t>
  </si>
  <si>
    <t>Supply and installation of Extruded Aluminium Coving at MGMH Petlaburj</t>
  </si>
  <si>
    <t>Providing,  laying  of  scratch  proof  PVC/Vinyl  flooring  of  2mm  thickness with proper welded joints air tight, along with leveling compound to match the existing flooring levels as per engineer in charge instructions. Sub floor preparation with self leveling compound. After the sub floor preparation, it should be suitable for ESD flooring. Rate inclusive of sifting of material and labour charges. at MGMH Petlaburj</t>
  </si>
  <si>
    <r>
      <t xml:space="preserve">Supply,  installation, testing  and  commissioning  of  16  G  GI powder  coated suitable single person entry air shower </t>
    </r>
    <r>
      <rPr>
        <sz val="12"/>
        <color rgb="FFBE0000"/>
        <rFont val="Arial"/>
        <family val="2"/>
      </rPr>
      <t xml:space="preserve">as per the Technical Specifications </t>
    </r>
    <r>
      <rPr>
        <sz val="12"/>
        <rFont val="Arial"/>
        <family val="2"/>
      </rPr>
      <t>at MGMH Petlaburj</t>
    </r>
  </si>
  <si>
    <t>Supply,  installation,  Testing  and  Commissioning  of  Static  Pass  Boxes  of Size  450X450mm  with  1.2mm  thick  SS  304  Mat  finish  ,  with  interlock doors, UV light On when doors closed condition. As per clean room standard and requirement. at MGMH Petlaburj</t>
  </si>
  <si>
    <t>Supply and fixing of Ashirvad/ Ajay/ Astral Flowguard or equivalent CPVC Pipes and Fittings SDR 13.5 to meet the requirement of ASTM-D 2846 and are  produced  in  CTS  Copper  Tube  Sizes  1/2inches  to  2inches  for  hot  and cold water IS 15778:2007 including cost and conveyance of all materials to site, labour charges for fixing,complete for finished item of work at all floor levels. 15.90mm OD pipe at MGMH Petlaburj</t>
  </si>
  <si>
    <t>Supply and fixing of Ashirvad/ Ajay/ Astral Flowguard or equivalent CPVC Pipes and Fittings SDR 13.5 to meet the requirement of ASTM-D 2846 and are  produced  in  CTS  Copper  Tube  Sizes  1/2inches  to  2inches  for  hot  and cold water IS 15778:2007 including cost and conveyance of all materials to site, labour charges for fixing,complete for finished item of work at all floor levels. 22.20mm OD pipe at MGMH Petlaburj</t>
  </si>
  <si>
    <t>Supplying and fixing of SWR PVC pipes Prince/Sudhakar/Kisan/Supreme or any  ISI  brand  4  Kg/Sq.cm.  and  fixing  all  special  such  as  plain  bends,  off sets, door bends, single junctions, double junctions as per site requirement, fixing with PVC clamps if necessary with required number of Bombay nails including  cost  and  conveyance  of  all  materials  to  site,  labour  charges, complete for finished item of work at all floor levels. APSS No. 1302 1319 and 1326 - 75mm dia at MGMH Petlaburj</t>
  </si>
  <si>
    <t>Supplying and fixing of SWR PVC pipes Prince/Sudhakar/Kisan/Supreme or any  ISI  brand  4  Kg/Sq.cm.  and  fixing  all  special  such  as  plain  bends,  off sets, door bends, single junctions, double junctions as per site requirement, fixing with PVC clamps if necessary with required number of Bombay nails including  cost  and  conveyance  of  all  materials  to  site,  labour  charges, complete for finished item of work at all floor levels. APSS No. 1302 1319 and 1326- 110mm dia at MGMH Petlaburj</t>
  </si>
  <si>
    <t>Supplying  and  fixing  Bronze  Gate/  Globe  valve  as  per  IS  -  778  Class  -  I, Indian  make  heavy  type  including  cost  and  conveyance  of  all  materials  , labour charges , overheads and contractors profit complete for finished item of work. 25mm Nominal bore at MGMH Petlaburj</t>
  </si>
  <si>
    <r>
      <rPr>
        <sz val="12"/>
        <rFont val="Arial"/>
        <family val="2"/>
      </rPr>
      <t>Supplying and fixing Indian make Flat Back  Wash Hand Basin 1st quality conforming  to  IS:2556-Part-4:1972  of  size  550mm  x  400mm  with  32  mm nominal  size  C.P.  Fitting  with  parallel  pipe  thread  conforming  to  IS:2963- 1979 and fitted with 15 mm nominal bore Chromium Plated Pillar Tap of 1st quality   Indian   make   heavy   duty   complete   with   standard   CI   brackets including wooden blocks ,1 No.12.70mm PVC connection with brass union nuts  CP  coated  ,  angle  stop  cock  12.70mm  dia.  first  quality  Indian  make heavy  duty,  30mm  dia.  PVC  flexible  waste  pipe  914.4mm  length  of  1st quality including cost and conveyance of all materials to site, labour charges
, for finished item of work at MGMH Petlaburj</t>
    </r>
  </si>
  <si>
    <t>Supply, Installation and commissioning approved make floor mounted Anglo Indian wash down EWC conforming to IS:2556 Part 8-2004 suit with P or S trap  with  dual  flush  porcelain  cistern  fixed  on  wash  down  EWC  with  all internal parts of dual flush cistern, ultra solid seat cover of approved make with  rubber  buffer  and  cap  and  15  mm  angle  stop  cock  and  450  mm  long PVC inter connection  pipe wall flanges all of approved make etc. complete for finished item of work in all respects:  TBSP-E.II-03 at MGMH Petlaburj</t>
  </si>
  <si>
    <t>Supplying  and  fixing  Chromium  plated  finish  brass  body  quarter  turn Bibcock cum Health Faucet with 1m long tube and wall hook with necessary fittings etc., complete including cost and conveyance of all materials, labour charges, complete for finished item of work in all floors. at MGMH Petlaburj</t>
  </si>
  <si>
    <t>Supplying and fixing CP finish brass soap dish of approved make ISI quality including cost and conveyance of all materials, labour charges for fixing, for finished item of work in all floors at MGMH Petlaburj</t>
  </si>
  <si>
    <t>Supplying and fixing TV shape mirror with plastic frame of size 609.6mm x 457.2mm,  plywood  back  with  NP  screws  1st  quality  including  cost  and conveyance of all materials, labour charges, for finished item of work in all floors. at MGMH Petlaburj</t>
  </si>
  <si>
    <t>Supplying and fixing of CP finish brass wall mounted towel ring at MGMH Petlaburj</t>
  </si>
  <si>
    <t>Supplying and fixing 15 mm brass body CP finish self closing tap push type conforming  to  IS  1711  as  approved  by  the  Engineer-In-Charge  including cost and conveyance of all materials, labour charges, complete for finished item of work in all floors. at MGMH Petlaburj</t>
  </si>
  <si>
    <t>Supply  and  fixing  of  6A  ISI  Mark  3/2  pin  Modular  socket  with  6A  1way Modular  switch,  3  Module  box  with  cover  frame  and  GI  switch  box  on common     switch     board     with     connections     etc.,     complete.  Makes of wires: Finolex/ RR Cable/ Havells/ Polycab/ HPL. Makes of switches:  - GM  Four-Five  /  Legrand  Arteor  /  Schneider  Zen  celo  /Honeywell  Blenge Plus/Gold Medal curve. at MGMH Petlaburj</t>
  </si>
  <si>
    <t>Supply and fixing of 16A switches - 1Nos and 6/16A 2 in one socket - 1Nos Modular type with cover plate and GI switch box fixing on separate board including all labour charges etc., complete. Makes of switches: - GM Four- Five  /  Legrand  Arteor  /  Schneider  Zen  celo  /Honeywell  Blenge  Plus/Gold Medal curve. at MGMH Petlaburj</t>
  </si>
  <si>
    <t>Supply  and  fixing  of  16A/6A,  2  in  one  socket  -  2  Nos  with  16A  switch control - 2 Nos modular type with and GI switch box with front cover plate including all labour charges etc., complete. Makes of switches: - GM Four- Five  /  Legrand  Arteor  /  Schneider  Zen  celo  /Honeywell  Blenge  Plus/Gold Medal curve. at MGMH Petlaburj</t>
  </si>
  <si>
    <t>Supply  and  fixing  of  16A/6A,  2  in  one  socket  -  4  Nos  with  16A  switch control - 4 Nos modular type with and GI switch box with front cover plate including all labour charges etc., complete. Makes of switches: - GM Four- Five  /  Legrand  Arteor  /  Schneider  Zen  celo  /Honeywell  Blenge  Plus/Gold Medal curve. at MGMH Petlaburj</t>
  </si>
  <si>
    <t>Supply and run of 1 of 22 /0.3mm 1.5 Sq.mm FRLS / HFFR P.V.C. insulated flexible copper cable in existing conduit pipe for earth continuity including all  labour  charges  etc.,  complete.  Makes  of  wires:  Finolex/  RR  Cable/ Havells/ Polycab/ HPL. at MGMH Petlaburj</t>
  </si>
  <si>
    <t>Supply and 3 runs of 4.0 sq mm 56/0.3 mm phase neutral and earth FRLS / HFFR PVC insulated flexible copper cable in existing conduit pipe including labour  charges  etc.,  complete  for  16A  sockets.  Makes  of  wires:  Finolex/ RR Cable/ Havells/ Polycab/ HPL. at MGMH Petlaburj</t>
  </si>
  <si>
    <t>Supply  and  run  of  5  of  6.0  Sqmm  90/0.3  mm  3  phases,  neutral  and  earth FRLS  /  HFFR  PVC  insulated  flexible  copper  cable  in  the  existing  conduit pipe for run of mains from Power panel board to TPN DBs with pin   type lugs    and    connections    etc.,    complete.    for   LDBs   Makes   of   wires: Finolex/ RR Cable/ Havells/ Polycab/ HPL. at MGMH Petlaburj</t>
  </si>
  <si>
    <t>Supply and run of 5 of 10.0 Sqmm 140/0.3 mm 3 phases, neutral and earth FRLS  /  HFFR  PVC  insulated  flexible  copper  cable  in  the  existing  conduit pipe for run of mains from Power panel board to TPN DBs with pin   type lugs    and    connections    etc.,    complete.    for   PDBs   Makes   of   wires: Finolex/ RR Cable/ Havells/ Polycab/ HPL.  at MGMH Petlaburj</t>
  </si>
  <si>
    <t>Supply and fixing of DP Metal Enclosure with  IP 20 Protection DB Make with  1  No  20A,  10  KA  DP  MCB  Make:  Legrand  /  Schneider  including internal  connection  and  labour  charges  for  Flush  Mounting  etc.,  complete. Makes: Legrand / Schneider. at MGMH Petlaburj</t>
  </si>
  <si>
    <t>Supply and fixing of 4 Way TPN DB Horizontal with IP 43 Protection as per IS:13032  Makes:  Legrand  /  Schneider and  Supply  and  Fixing  of  1  No.,  of 40A  FP  30mA  RCCB  as  incomer  and  12  Nos  6-32  A  10kA  SP  MCBs Makes:  Legrand-DX3  /  Schneider-Acti9  as  out  goings  including  internal connections  and  labour  charges  for  FLUSH  Mounting  etc.,  complete.  For Lighting DBs at MGMH Petlaburj</t>
  </si>
  <si>
    <t>Supply and fixing of 8 Way TPN DB Horizontal with IP 43 Protection as per IS:13032  Makes:  Legrand  /  Schneider and  Supply  and  Fixing  of  1  No.,  of 63A  FP  100mA  RCCB  as  incomer  and  24  Nos  6-32  A  10kA  SP  MCBs Makes:  Legrand-DX3  /  Schneider-Acti9  as  out  goings  including  internal connections  and  labour  charges  for  FLUSH  Mounting  etc.,  complete.  For Lighting DBs at MGMH Petlaburj</t>
  </si>
  <si>
    <t>Supply and fixing of 8 Way VTPN DB Horizontal with IP 43 Protection as per IS:13032 Makes: Legrand / Schneider and Supply and Fixing of 1 No., of 100A FP 10KA MCB as incomer and 4 Nos 63 A 10kA TP MCBs,     4 Nos 40 A 10kA TP MCBs Makes: Legrand-DX3 / Schneider-Acti9 as out goings including internal connections and labour charges for FLUSH Mounting etc., complete. For UPS MDB DBs at MGMH Petlaburj</t>
  </si>
  <si>
    <t>Providing and fixing of 125A 25KA TPN Thermal Magnetic Release Based MCCB and Terminal Spreaders in Existing panel board with 1 No. and 1 Set of  Indication  Lamps,  LED  type,  R,Y,B  and  breaker  ON  ,  OFF,  TRIP  and spring  charged  lamps.  and  replace  with  above  Mentioned  with  required Drilling  Holes,  removing  and  Making  Busbar  connections  etc,  as  required. Makes: Legrand / Schneider/ABB/LandT/CandS at MGMH Petlaburj</t>
  </si>
  <si>
    <t>Providing and fixing of 100A 10KA FP MCB and Terminal Spreaders in IP 43  isolator  Box  Making  connections  etc,  as  required.   Makes:  Legrand  / Schneider/ABB/LandT/ CandS at MGMH Petlaburj</t>
  </si>
  <si>
    <t>Supply, transportation and fixing of 24W edge lit LED Down light Square Housing Made of Aluminum alloy with corrosion resistant powder coat, with high efficiency acrylic wide diffuser Square with Protruded high efficiency diffuser, IP20, with wide operating voltage range, Power factor greater than 0.9, Surge protection: greater than 2KV, System efficacy of greater than100 lumens/watt, CCT: 3000K - 6500K as desired by the department and as per IS,  CRI  greater  than80,  and  THD  is  less  than  15percentage  etc.,  with  BIS Certification.  Makes:  Phillips  /  OSRAM  /  Wipro  /  Crompton  /  Bajaj  / Havells  at MGMH Petlaburj</t>
  </si>
  <si>
    <t>Supply  and  Transportation  36W  Edge  lit,  2  feet  x2  feet  600mm  x600mm slim  panel  LED  luminaire  Square  Housing  Made  of  Aluminum  alloy  with corrosion  resistant  powder  coat,  with  high  efficiency  acrylic  wide  diffuser, with  wide  operating  voltage  range,  Power  factor  greater  than  0.9,  Surge protection    greater    than    2KV,    System    efficacy    of    greater    than100 lumens/watt,  CCT:  3000K  -  6500K  as  desired  by  the  department,  CRI greater than 80, and THD is less than 15percentage etc., complete. Makes: Phillips / OSRAM / Wipro / Crompton / Bajaj / Havells at MGMH Petlaburj</t>
  </si>
  <si>
    <t>Supply  and  Transportation  42W  Clean  room  Light  fixture,  2  feet  x2  feet 600mm   x600mm   LED   luminaire   CRCA   powder   coated   white   after phosphocreatine treatment provided as standard. with high efficiency acrylic wide diffuser, with wide operating voltage range, Power factor greater than 0.9, Surge protection greater than 2KV, System efficacy of greater than100 lumens/watt,  CCT:  3000K  -  6500K  as  desired  by  the  department,  CRI greater than 80, and THD is less than 15percentage etc., complete. MAKE: OSRAM / Wipro / Crompton / Bajaj / Havells at MGMH Petlaburj</t>
  </si>
  <si>
    <t>Supply, Transportation of energy efficient fan, 1200 mm sweep, aluminium body, consuming 28 W, BEE 5 star rated, ceiling fan with Brush Less Direct Current BLDCmotor, class of insulation: B, 3 nos blades, 30 cm long down rod, 2 nos canopies, shackle kit, safety rope, copper winding, Power Factor greater  than  0.90,  Service  Value  CMMAV  greater  than  8.5,  Air  delivery minimum 235 CMM,350 RPM tolerance as per IS:374-2019, THD less than 10percentage.  with  remote  or  compatible  to  electronic  step  type  regulator unit for speed control and all remaining accessories including safety pin, nut bolts,   washers,   temperature   rise   equal   to75   degree   Cmax,   insulation resistance  more than  2  mega ohm,  suitable  for  230V,  50  HZ,  single  phase AC  supply,  earthing  etc.,  including  all  standard  accessories  etc.,  complete. Makes : Atomberg Efficio  / Havells /Orient at MGMH Petlaburj</t>
  </si>
  <si>
    <t>Supply and fixing of Modular type Stepped electronic regulator Makes : GM Four-Five  /  Legrand  Arteor  /  Schneider Zen  celo  /Honeywell  Blenge Plus/ Cabtree Verna/ Million logus / Gold Medal Curve for sweep AC ceiling fans of 1200mm / 1400mm complete with connections. at MGMH Petlaburj</t>
  </si>
  <si>
    <t>Supply and installation of 225mm Light duty exhaust fan with metal blades etc  complete  Makes:  Crompton  /  Havells  Ventilair-DB/  Orient  hill  air.  at MGMH Petlaburj</t>
  </si>
  <si>
    <t>SITC of Hot dip galvanized perforated cable tray of 100 mm Wide sizes for to run the cable from DBs to SBs and sockets and AC panel to Units units. All  necessary  supports  and  accessories  are  included.  Cable  tray  for  cables alone shall be included here Thickness shall be 1.6 mm.  at MGMH Petlaburj</t>
  </si>
  <si>
    <t>SITC of Hot dip galvanized perforated cable tray of 300 mm Wide sizes for to  run  the  cable  from  Floor  Panel  to  Lab  Panel  and  electrical  room  to  AC panel  and  AC  panel  to  Units.  All  necessary  supports  and  accessories  are included. Cable tray for cables alone shall be included here Thickness shall be 1.6 mm. at MGMH Petlaburj</t>
  </si>
  <si>
    <t>Supply and installation of 20KVA 3ph in and 3ph out on line UPS system IGBT    based    rectifier    with    input    power    factor    correction    32    bit microprocessor based with isolation transformers double conversion, SNMP controls, LCD display, Pure sine wave output, with auto static switch three phase  input  /  Three  phase  output  and  modular  structure  for  better  thermal technology / cooling facility, with warranty up to three years.Makes: APC / Numeric / Emerson / Fuji Electric at MGMH Petlaburj</t>
  </si>
  <si>
    <t>Supply and fixing of 12V 65 AH SMF battery including wire leads. Makes: Quanta / Racket / Exide. at MGMH Petlaburj</t>
  </si>
  <si>
    <t>Supply and providing of UPS  cum battery rack for 20 batteries at MGMH Petlaburj</t>
  </si>
  <si>
    <t>Supply and installation of 50x6 GI flat for body earthing of electrical panel and AC Panel which is laid in 300mm cable tray  at MGMH Petlaburj</t>
  </si>
  <si>
    <t>Supply and installation of 25x3 GI flat for body earthing of DBs and Cable tray which is laid in 100mm cable tray at MGMH Petlaburj</t>
  </si>
  <si>
    <t>Supply and installation of 25x3 Copper flat for Neutral earthing of UPS and Equipment which is laid in 100mm cable tray at MGMH Petlaburj</t>
  </si>
  <si>
    <t>Supply  and  installation  of  4  sqmm  Copper  wire  for  Earthing  of  DBs Equipment  at MGMH Petlaburj</t>
  </si>
  <si>
    <t>Supply, Lying and testing of 3.5Cx95 sqmm XLPE Insulated Cable 1100V grade   armoured   aluminium   cable   with   ISI   mark   as   per   specification confirming  to  IS:7098  Part  -  I  with  heavy  duty  type  double  compression weather proof type brass cable glands duly nickel plated as per BS 6121 and IP66 complete with brass checknut, outer sheath sealing gasket heavy duty long  barrel  aluminium  lugs  confirming  to  I.S  specifications  with  complete nut,      bolt      and      washer      etc..      Make      of      Cable:      Polycab/ KEI/Universal/Glostar/Finolex.       Make       of       gland       and       Lungs: HMI/Commet/Dowell’s at MGMH Petlaburj</t>
  </si>
  <si>
    <t>Supply,  Lying  and  testing  of  4Cx16  sqmm  PVC  Insulated  Cable  1100V grade armoured Copper cable with ISI mark as per specification confirming to IS:7098 Part - I with heavy duty type double compression weather proof type brass cable glands duly nickel plated as per BS 6121 and IP66 complete with  brass  checknut,  outer  sheath  sealing  gasket  heavy  duty  long  barrel aluminium lugs confirming to I.S specifications with complete nut, bolt and washer etc..  Make of Cable: Polycab/ KEI/Universal/Glostar/Finolex. Make of gland and Lungs: HMI/Commet/Dowell’s at MGMH Petlaburj</t>
  </si>
  <si>
    <t>Supply, Lying and testing of 4Cx6 sqmm PVC Insulated Cable 1100V grade armoured  Copper  cable  with  ISI  mark  as  per  specification  confirming  to IS:7098 Part - I with heavy duty type double compression weather proof type brass cable glands duly nickel plated as per BS 6121 and IP66 complete with brass   checknut,   outer   sheath   sealing   gasket   heavy   duty   long   barrel aluminium lugs confirming to I.S specifications with complete nut, bolt and washer etc.  Make of Cable: Polycab/ KEI/Universal/ Glostar/Finolex. Make of gland and Lungs: HMI/Commet/Dowell’s at MGMH Petlaburj</t>
  </si>
  <si>
    <t>SITC  of  IVF  center  AC  Panel  outdoor  IP-54  wall/  free  standing  floor mounted dust and vermin proof compartmentalized cubical panel made out of  CRCA  sheet,  required  hardware,  duly  treated  for  de-rusting  in  7  tank process with de-phosphate and with powder coating on both side of panel in desired shade. The panel having PU/ Neoprene rubber gasket of not less than 3mm  thickness,  separate  detachable  gland  plate  M.S.  base  channel,  hinged door with locking arrangement for equipment/switchgear. Thickness of sheet shall  not  be  less  than  1.6  mm  up  to  600  mm  length  /  width  of  any compartment and be of 2.0 mm above 600 mm. Load bearing structure shall be of 2.0 mm thick sheet supported by base M.S. channel if required. Side walls and cable alley compartments having bolted type doors with / without detachable  extension  type  structure  with  all  type  of  suitable  switching accessories   and   bus-bar   as   per   load   requirement   of   respective   AC equipment’s.  Which  is  including  1nos  AHU’s  stater  with  VFD  by  pass, Heater, ODU and VRF system at MGMH Petlaburj</t>
  </si>
  <si>
    <t>Supply and installation of AHUs stater on/off push button station for Remote control for inside IVF center with control wiring  from AC panel to on /off push button station with necessary items. at MGMH Petlaburj</t>
  </si>
  <si>
    <t>Supply,  installation,  testing  and  commissioning  of  20nos  LAN  points  with cat 6 cable and with suitable network rack and 5nos of telephone points with krone box to existing EPABEX.  at MGMH Petlaburj</t>
  </si>
  <si>
    <t>Supply,  installation,  testing  and  commissioning  of  1  no  of  Access  control system  with  egress  switch,  Power  Cable,  communication  cable  to  control panel with necessary required items Etc. at MGMH Petlaburj</t>
  </si>
  <si>
    <t>Supply,  installation,  testing  and  commissioning  of  5nos  IP  Based  CCTV cameras and Cat 6 Cable with NVR system. at MGMH Petlaburj</t>
  </si>
  <si>
    <t>Supply,  installation,  testing  and  commissioning  of  Audio  and  video recording of counseling rooms at MGMH Petlaburj</t>
  </si>
  <si>
    <t>Supply,  installation,  testing  and  commissioning  of  Automatic  Fire  Alarm System  which  is  including  30  nos  of  smoke  Detectors  1nos  manual  call point,  1  no  of  Hooter  with  fire  alarm  cable  connected  to  the  existing  fire control panel with necessary Required items etc.. at MGMH Petlaburj</t>
  </si>
  <si>
    <t>Supply  and  installation  of  Fire  Extinguishers  of  CO2  4.50  Kg  at  MGMH Petlaburj</t>
  </si>
  <si>
    <t>Supply and installation of ceiling mounted Fire Extinguishers of ABC MAP 90, 5.0 Kg stored pressure type at MGMH Petlaburj</t>
  </si>
  <si>
    <t>Supply and installation of 2.0 Kg clean agent HCFC 123 Fire Extinguishers at MGMH Petlaburj</t>
  </si>
  <si>
    <t>Supply and fixing of Fire escape signage Boards at MGMH Petlaburj</t>
  </si>
  <si>
    <t>Supply, transportation and installation of split AC unit 1.5 TR inverter type 3 Star capable of delivering 18000 BTU/hr and above with high wall mounted indoor  unit  and  outdoor  condensing  unit  Hermetically  sealed  compressor suitable   for  operation   on   230V,   50Hz,   1Phase   AC   supply   capable   of performing cooling dehumidifying air circulating and filtering with cooling and condensing units with 3.5 mts of copper piping, insulation kit and 4 mts of 3 core copper flexible chord , built-in stabilizer Voltage range 160- 264 volts and cordless remote control. Makes : Daikin / Thoshiba / O General at MGMH Petlaburj</t>
  </si>
  <si>
    <t>SITC  of  filter  module  made  out  of  heavy  duty  Aluminium  powder  coated extrusion with minimum of 13G . and to house 610 mm X 610 mm HEPA Filter  at  the  rate  0.3  microns  ,  99.9997,  H-14  Grade,  Filter  loading  from clean room side with bewel gear arrangement damper with access from clean room suitable to  house the following filter sizes pressure drop and Integrity testing   ports   into   room.   Includes   SS   capsule   perforated   diffuser.   This includes  all  required  supports  and  accessories  etc.  Capacity 1000  CFM.  at MGMH Petlaburj</t>
  </si>
  <si>
    <t>SITC of air cooled condensing units with two scroll compressors, air cooled condenser, power panel, vibration isolating pads, stand for ODU, thermostat, etc. of the following capacities. The nominal capacity of the condensing unit shall be as under. Air cooled condensing unit shall have horizontal discharge. All  refrigerant  piping  accessories  sight  glass,  drier,  expansion  valve,  etc. shall  be  supplied  with  the  condensing  units  and  suitable  to  connect  above AHUs. Refrigerant shall be R 407C / R 410A. Necessary thermostat, control wiring,  etc.  shall  be  included.  Derating  of  the  unit  shall  not  be  more  than 15percentage under 45 deg. C ambient temperature. Condensing unit shall be capable of operating up 50 deg. C ambient temperature. 8.5 TR capacity at MGMH Petlaburj</t>
  </si>
  <si>
    <t>SITC of Flange type, Flame proof FLP duct heaters of 5 kW capacity  with Mineral Filled AISI SS304/SS321 Sheathed Tubular Heater with GI Helical fins, Tube dia 8.2mm min and Helical Finn dia 25mm min, enclosed in the frame,  FLP  Terminal  box  etc.,  Nickel  Chromium  Inner  Element,  Silicon Sealing to Restrict Moisture pickup, Silver brazed mounting plate etc., and heaters shall be controlled with PID thyrestor controller based on the analog output  signal  of  0-10  V  DC  of  controller  .  And  this  should  have  saftey thermostat and cutouts and air stat etc. all safety controls. The capacities as follows and sizes of the heaters shall be as per the duct sizes and approved drawing. at MGMH Petlaburj</t>
  </si>
  <si>
    <r>
      <rPr>
        <sz val="12"/>
        <rFont val="Arial"/>
        <family val="2"/>
      </rPr>
      <t>SITC  of  20/21  G  hard  drawn  copper  refrigerant  piping  with  all  fittings, supports,  insulation  with  19  mm  thk  class  O  nitrile  rubber  insulation  with factory laminated glass cloth for physical protection and UV protection etc. Quality of copper piping  fittings shall be suitable for 18 G piping. Copper piping shall be clamped at every 1.5 mt. distance. copper piping shall be laid on inverted GI perforated cable trays and clamps as  per specification inside the building. Copper piping on the terrace shall be laid with bottom and top cable tray. Thickness of the tray shall be 1.6 mm. Copper pipe size shall be as per OEM standards</t>
    </r>
    <r>
      <rPr>
        <b/>
        <sz val="12"/>
        <rFont val="Arial"/>
        <family val="2"/>
      </rPr>
      <t xml:space="preserve">. Liquid Line </t>
    </r>
    <r>
      <rPr>
        <sz val="12"/>
        <rFont val="Arial"/>
        <family val="2"/>
      </rPr>
      <t>at MGMH Petlaburjl</t>
    </r>
  </si>
  <si>
    <r>
      <rPr>
        <sz val="12"/>
        <rFont val="Arial"/>
        <family val="2"/>
      </rPr>
      <t xml:space="preserve">SITC  of  20/21  G  hard  drawn  copper  refrigerant  piping  with  all  fittings, supports,  insulation  with  19  mm  thk  class  O  nitrile  rubber  insulation  with factory laminated glass cloth for physical protection and UV protection etc. Quality of copper piping  fittings shall be suitable for 18 G piping. Copper piping shall be clamped at every 1.5 mt. distance. copper piping shall be laid on inverted GI perforated cable trays and clamps as  per specification inside the building. Copper piping on the terrace shall be laid with bottom and top cable tray. Thickness of the tray shall be 1.6 mm. Copper pipe size shall be as per OEM standards. </t>
    </r>
    <r>
      <rPr>
        <b/>
        <sz val="12"/>
        <rFont val="Arial"/>
        <family val="2"/>
      </rPr>
      <t xml:space="preserve">Suction Line </t>
    </r>
    <r>
      <rPr>
        <sz val="12"/>
        <rFont val="Arial"/>
        <family val="2"/>
      </rPr>
      <t>at MGMH Petlaburj</t>
    </r>
  </si>
  <si>
    <r>
      <rPr>
        <sz val="12"/>
        <rFont val="Arial"/>
        <family val="2"/>
      </rPr>
      <t xml:space="preserve">SITC  of  CPVC  drain  ping  with  supports,  clamps  and  9  mm  thk.  Nitrile rubber  tube  insulation  of  the  following  sizes.  Insulation  shall  have  factory laminated glass cloth. </t>
    </r>
    <r>
      <rPr>
        <b/>
        <sz val="12"/>
        <rFont val="Arial"/>
        <family val="2"/>
      </rPr>
      <t xml:space="preserve">32mm Dia </t>
    </r>
    <r>
      <rPr>
        <sz val="12"/>
        <rFont val="Arial"/>
        <family val="2"/>
      </rPr>
      <t>at MGMH Petlaburj</t>
    </r>
  </si>
  <si>
    <r>
      <rPr>
        <sz val="12"/>
        <rFont val="Arial"/>
        <family val="2"/>
      </rPr>
      <t xml:space="preserve">SITC  of  CPVC  drain  ping  with  supports,  clamps  and  9  mm  thk.  Nitrile rubber  tube  insulation  of  the  following  sizes.  Insulation  shall  have  factory laminated glass cloth. </t>
    </r>
    <r>
      <rPr>
        <b/>
        <sz val="12"/>
        <rFont val="Arial"/>
        <family val="2"/>
      </rPr>
      <t xml:space="preserve">25mm Dia </t>
    </r>
    <r>
      <rPr>
        <sz val="12"/>
        <rFont val="Arial"/>
        <family val="2"/>
      </rPr>
      <t>at MGMH Petlaburj</t>
    </r>
  </si>
  <si>
    <r>
      <rPr>
        <sz val="12"/>
        <rFont val="Arial"/>
        <family val="2"/>
      </rPr>
      <t xml:space="preserve">SITC  of  Factory  fabricated  and  boxed  ducting  using  Aluminium  Sheets  / coils,  should  be  fabricated  as  per  SMACNA,  galvanised  hardware  and supports,    silicon    sealant    at    all   longitudinal   joints,   Galvanized    /GI Electroplated  iron  angle  flanges  for  all  the  joints,  bracing  angles  and minimum  5mm  thick  neoprene  rubber  gasket.-  Duct  pressure  testing  at 75mm  to  be  carried  out  before  insulatiting  the  duct.  pressure  testing  to  be done as per SMACNA. Procedure to be approved by consultant. </t>
    </r>
    <r>
      <rPr>
        <b/>
        <sz val="12"/>
        <rFont val="Arial"/>
        <family val="2"/>
      </rPr>
      <t xml:space="preserve">20G - 1.0 mm Thick </t>
    </r>
    <r>
      <rPr>
        <sz val="12"/>
        <rFont val="Arial"/>
        <family val="2"/>
      </rPr>
      <t>at MGMH Petlaburj</t>
    </r>
  </si>
  <si>
    <r>
      <rPr>
        <sz val="12"/>
        <rFont val="Arial"/>
        <family val="2"/>
      </rPr>
      <t xml:space="preserve">SITC  of  Factory  fabricated  and  boxed  ducting  using  Aluminium  Sheets  / coils,  should  be  fabricated  as  per  SMACNA,  galvanised  hardware  and supports,    silicon    sealant    at    all   longitudinal   joints,   Galvanized    /GI Electroplated  iron  angle  flanges  for  all  the  joints,  bracing  angles  and minimum  5mm  thick  neoprene  rubber  gasket.-  Duct  pressure  testing  at 75mm  to  be  carried  out  before  insulatiting  the  duct.  pressure  testing  to  be done as per SMACNA. Procedure to be approved by consultant. </t>
    </r>
    <r>
      <rPr>
        <b/>
        <sz val="12"/>
        <rFont val="Arial"/>
        <family val="2"/>
      </rPr>
      <t xml:space="preserve">22G - 0.8 mm Thick </t>
    </r>
    <r>
      <rPr>
        <sz val="12"/>
        <rFont val="Arial"/>
        <family val="2"/>
      </rPr>
      <t>at MGMH Petlaburj</t>
    </r>
  </si>
  <si>
    <t>Aluminium low leakage aerofoil design volume control dampers Suitable for manual and motorised operation  at MGMH Petlaburj</t>
  </si>
  <si>
    <t>CBRI  approved  16G  GI  Spring  return  actuated  fire  dampers  rated  for  90 minutes with limit switch  at MGMH Petlaburj</t>
  </si>
  <si>
    <t>SITC of SS perforated return raiser grilles with 10 microns filters with collar dampers  at MGMH Petlaburj</t>
  </si>
  <si>
    <t>Extruded  Al.  powder  coated  EXHAUST  /  RETURN  discrete  grilles       at MGMH Petlaburj</t>
  </si>
  <si>
    <t>SITC of Collar Dampers made of Al. extrusions with black powder coating for Grilles / Diffusers at MGMH Petlaburj</t>
  </si>
  <si>
    <t>SITC  of  Magnehelic  gauges  to  measure  the  room  differential  pressures  in operation  theatres  with  SS  mounting  box,  SS  nozzles,  food  grade  PVC tubing, etc. at MGMH Petlaburj</t>
  </si>
  <si>
    <t>SITC of Aluminium powder coated Fresh air and Exhaust Louvers of non- vision type with nylon mosquito net etc.  at MGMH Petlaburj</t>
  </si>
  <si>
    <r>
      <rPr>
        <sz val="12"/>
        <rFont val="Arial"/>
        <family val="2"/>
      </rPr>
      <t xml:space="preserve">Supply, laying of Class O Nitrile rubber with factory laminated Glass cloth, all joints shall be covered with self-adhesive tapes </t>
    </r>
    <r>
      <rPr>
        <b/>
        <sz val="12"/>
        <rFont val="Arial"/>
        <family val="2"/>
      </rPr>
      <t xml:space="preserve">32mm Thick </t>
    </r>
    <r>
      <rPr>
        <sz val="12"/>
        <rFont val="Arial"/>
        <family val="2"/>
      </rPr>
      <t>for Exposed Supply Air duct and finished with UV Protective Paint. at MGMH Petlaburj</t>
    </r>
  </si>
  <si>
    <r>
      <rPr>
        <sz val="12"/>
        <rFont val="Arial"/>
        <family val="2"/>
      </rPr>
      <t xml:space="preserve">Supply, laying of Class O Nitrile rubber with factory laminated Glass cloth, all joints shall be covered with self-adhesive tapes </t>
    </r>
    <r>
      <rPr>
        <b/>
        <sz val="12"/>
        <rFont val="Arial"/>
        <family val="2"/>
      </rPr>
      <t xml:space="preserve">25mm Thick </t>
    </r>
    <r>
      <rPr>
        <sz val="12"/>
        <rFont val="Arial"/>
        <family val="2"/>
      </rPr>
      <t>for Exposed Return Air Duct and finished with UV Protective Paint. at MGMH Petlaburj</t>
    </r>
  </si>
  <si>
    <r>
      <rPr>
        <sz val="12"/>
        <rFont val="Arial"/>
        <family val="2"/>
      </rPr>
      <t xml:space="preserve">Supply, laying of Class O Nitrile rubber with factory laminated Glass cloth, all joints shall be covered with self-adhesive tapes </t>
    </r>
    <r>
      <rPr>
        <b/>
        <sz val="12"/>
        <rFont val="Arial"/>
        <family val="2"/>
      </rPr>
      <t xml:space="preserve">25mm Thick </t>
    </r>
    <r>
      <rPr>
        <sz val="12"/>
        <rFont val="Arial"/>
        <family val="2"/>
      </rPr>
      <t>for Supply air duct running inside the building. at MGMH Petlaburj</t>
    </r>
  </si>
  <si>
    <r>
      <rPr>
        <sz val="12"/>
        <rFont val="Arial"/>
        <family val="2"/>
      </rPr>
      <t xml:space="preserve">Supply, laying of Class O Nitrile rubber with factory laminated Glass cloth, all joints shall be covered with self-adhesive tapes </t>
    </r>
    <r>
      <rPr>
        <b/>
        <sz val="12"/>
        <rFont val="Arial"/>
        <family val="2"/>
      </rPr>
      <t xml:space="preserve">19mm Thick </t>
    </r>
    <r>
      <rPr>
        <sz val="12"/>
        <rFont val="Arial"/>
        <family val="2"/>
      </rPr>
      <t>for Return air running inside the building. at MGMH Petlaburj</t>
    </r>
  </si>
  <si>
    <t>VRF  Indoor  Units  :  Hi  wall  Splits  :  Supply,  Installation,  Testing  and Commissioning  of  variable   refrigerant   flow  modular  type  indoor  units wired/wireless  remote  suitable  for  R410a   refrigerant  comprising  of  all accessories  as  per  the  specifications.  The  indoor  units  shall  be  suitable  to work  on  cooling.The  minimum  Energy  Efficiency  Ratio  shall  be  as  per ASHRAE  STANDARDS  90.1  -2001  table  6.2.1B.  The  indoor  units  shall be  suitable    for operation  on  220  plus or minus 6percentage  volts, 50Hz, 1 phase  AC power supply. 0.8 TR at MGMH Petlaburj</t>
  </si>
  <si>
    <t>VRF  Indoor  Units  :  Hi  wall  Splits  :  Supply,  Installation,  Testing  and Commissioning  of  variable   refrigerant   flow  modular  type  indoor  units wired/wireless  remote  suitable  for  R410a   refrigerant  comprising  of  all accessories  as  per  the  specifications.  The  indoor  units  shall  be  suitable  to work  on  cooling.The  minimum  Energy  Efficiency  Ratio  shall  be  as  per ASHRAE  STANDARDS  90.1  -2001  table  6.2.1B.  The  indoor  units  shall be  suitable    for operation  on  220  plus or minus 6percentage  volts, 50Hz, 1 phase  AC power supply. 1.0 TR at MGMH Petlaburj</t>
  </si>
  <si>
    <t>VRF  Indoor  Units  :  Hi  wall  Splits  :  Supply,  Installation,  Testing  and Commissioning  of  variable   refrigerant   flow  modular  type  indoor  units wired/wireless  remote  suitable  for  R410a   refrigerant  comprising  of  all accessories  as  per  the  specifications.  The  indoor  units  shall  be  suitable  to work  on  cooling.The  minimum  Energy  Efficiency  Ratio  shall  be  as  per ASHRAE  STANDARDS  90.1  -2001  table  6.2.1B.  The  indoor  units  shall be  suitable    for operation  on  220  plus or minus 6percentage  volts, 50Hz, 1 phase  AC power supply. 1.5 TR at MGMH Petlaburj</t>
  </si>
  <si>
    <t>Cassette   Units   :   Supply,   Installation,   Testing   and   Commissioning    of variable    refrigerant    flow   modular    type    indoor    units   wired/wireless remote  suitable  for  R410a  refrigerant  comprising  of  all  accessories  as  per the  specifications.  The  indoor  units  shall  be  suitable  to  work  on  cooling mode.The  minimum  Energy  Efficiency  Ratio  shall  be  as  per   ASHRAE STANDARDS   90.1   -2001     table   6.2.1B.   The  indoor   units     shall   be suitable   for  operation  on  220  plus  or  minus  6percentage  volts,  50Hz,  1 phase  AC power supply. 3.0 TR – 4 way at MGMH Petlaburj</t>
  </si>
  <si>
    <t>Supply,    Installation,    Testing    and    Commissioning    of    Hard    copper REFRIGERANT  PIPING  of  16swg  various  sizes  with  necessary  supports, fittings,    interconnecting    the   liquid    and    suction    lines    between   the aircooled outdoor units and the indoor units. The piping  shall  be carried out of  Hard  drawn  copper  pipes  of   type  K   with  soldered  /   brazed   socket fittings.  Isolating  valves  shall  be  provided  to  isolate  each  compressor, strainers, sight glass and any other component requiring proper operation and maintenance.  Both  the  suction  and  liquid  lines  shall  be  insulated  with 19mm  thick  closed  cell  insulation  for  above  25mm  dia  ,  13mm  thick  for pipes  below  25mm  dia  .  The  insulation  finished  with  treated  woven  glass fiber  reinforced  covering  for  inside  Piping  and  including  making  required holes in the wall and re finishing and water tight of holes after laying holes as per the specifications and approved drawings at MGMH Petlaburj</t>
  </si>
  <si>
    <t>Supply,  Installation  ,  Testing  and  Commissioning  of  Refnet  joints  to  be provided in refrigerant pipe line. Material of construction for fittings shall be similar to refrigerant piping at MGMH Petlaburj</t>
  </si>
  <si>
    <t>Supply and Installation of control cum transmission wiring of size 3C x 1.5 Sqmm  copper  wire  to  be  laid  in  heavy  grade  PVC  conduit  including  all fixing and accessories  at MGMH Petlaburj</t>
  </si>
  <si>
    <t>Supply and Installation of cabling of size 2C x 1 Sqmm copper wire to be laid in heavy grade PVC conduit including all fixing and accessories as per the approved routing  at MGMH Petlaburj.</t>
  </si>
  <si>
    <t>SITC  of  Oxygen  Manifold  Emergency  for  1  plus  1  Cylinders,  as         per technical specifications. at MGMH Petlaburj</t>
  </si>
  <si>
    <t>SITC  of  Oxygen  Outlets  with  matching  probes,  as  per  HTM-2022/02-01 of UK/NFPA99C of USA as per enclosed technical specifications - Imported at MGMH Petlaburj</t>
  </si>
  <si>
    <r>
      <rPr>
        <sz val="12"/>
        <rFont val="Arial"/>
        <family val="2"/>
      </rPr>
      <t xml:space="preserve">SITC  of  Nitrous  Oxide  Manifold  Emergency  for  1  Cylinder,  with  high pressure  Regulator,  NRV,  tailpipes  etc.  </t>
    </r>
    <r>
      <rPr>
        <sz val="12"/>
        <color rgb="FFBE0000"/>
        <rFont val="Arial"/>
        <family val="2"/>
      </rPr>
      <t xml:space="preserve">as  per  technical  specifications  </t>
    </r>
    <r>
      <rPr>
        <sz val="12"/>
        <rFont val="Arial"/>
        <family val="2"/>
      </rPr>
      <t>at MGMH Petlaburj</t>
    </r>
  </si>
  <si>
    <r>
      <t xml:space="preserve">SITC  of  N20  Outlets  with  matching  probes,  as  per  HTM-2022/02-01  of UK/NFPA99C of USA </t>
    </r>
    <r>
      <rPr>
        <sz val="12"/>
        <color rgb="FFFF0000"/>
        <rFont val="Arial"/>
        <family val="2"/>
      </rPr>
      <t xml:space="preserve">as per enclosed technical specifications - Imported </t>
    </r>
    <r>
      <rPr>
        <sz val="12"/>
        <rFont val="Arial"/>
        <family val="2"/>
      </rPr>
      <t>at MGMH Petlaburj</t>
    </r>
  </si>
  <si>
    <t>SITC of C02 Manifold for 2 Cylinders, with high pressure  Regulator, NRV, tailpipes etc. as per technical specifications  at MGMH Petlaburj</t>
  </si>
  <si>
    <t>SITC   of   C02   Outlets   with   matching   probes,   as   per   HTM-2022102- 01ofUK/NFPA99C   of   USA   as   per   enclosed   technical   specifications   - Imported  at MGMH Petlaburj</t>
  </si>
  <si>
    <t>SITC of MEDICAL Grade  BS EN:  13348 Kite Marked  12mm COPPER PIPE  at MGMH Petlaburj</t>
  </si>
  <si>
    <t>SITC of MEDICAL Grade  BS EN:  13348 Kite Marked  15mm COPPER PIPE  at MGMH Petlaburj</t>
  </si>
  <si>
    <t>SITC of MEDICAL Grade  BS EN:  13348 Kite Marked  22mm COPPER PIPE  at MGMH Petlaburj</t>
  </si>
  <si>
    <t>SITC of MEDICAL Grade  BS EN:  13348 Kite Marked  28mm COPPER PIPE  at MGMH Petlaburj</t>
  </si>
  <si>
    <t>SITC of  Touch type LCD Area Alarm and Zonal Valve box- as  per  HTM 2022/02-01/  NFPA99C  as  per  enclosed  technical  specifications  imported for 3 gases at MGMH Petlaburj</t>
  </si>
  <si>
    <r>
      <rPr>
        <sz val="12"/>
        <color rgb="FF333333"/>
        <rFont val="Arial"/>
        <family val="2"/>
      </rPr>
      <t>e</t>
    </r>
    <r>
      <rPr>
        <sz val="12"/>
        <rFont val="Arial"/>
        <family val="2"/>
      </rPr>
      <t>a</t>
    </r>
    <r>
      <rPr>
        <sz val="12"/>
        <color rgb="FF333333"/>
        <rFont val="Arial"/>
        <family val="2"/>
      </rPr>
      <t>c</t>
    </r>
    <r>
      <rPr>
        <sz val="12"/>
        <rFont val="Arial"/>
        <family val="2"/>
      </rPr>
      <t>h</t>
    </r>
  </si>
  <si>
    <t>SITC of  Touch type LCD Area Alarm and Zonal  Valve box- as  per  HTM 2022/02-01/  NFPA99C  as  per  enclosed  technical  specifications  imported for Master Main Alarm including all Gases at MGMH Petlaburj</t>
  </si>
  <si>
    <t>SITC  of    Medical  Line  Valve,    As  per  CE  Certified/UL  Listed,  As  per Technical Specifications- Indian 15mm 0D at MGMH Petlaburj</t>
  </si>
  <si>
    <t>SITC  of    Medical  Line  Valve,    As  per  CE  Certified/UL  Listed,  As  per Technical Specifications- Indian 22mm 0D at MGMH Petlaburj</t>
  </si>
  <si>
    <t>SITC  of    Medical  Line  Valve,    As  per  CE  Certified/UL  Listed,  As  per Technical Specifications- Indian 28mm 0D at MGMH Petlaburj</t>
  </si>
  <si>
    <t>SITC of  Bed Head Panel - as  per  HTM  2022/02-01/  NFPA99C  as  per enclosed technical specifications  at MGMH Petlaburj</t>
  </si>
  <si>
    <r>
      <rPr>
        <b/>
        <sz val="12"/>
        <rFont val="Arial"/>
        <family val="2"/>
      </rPr>
      <t>S.
No</t>
    </r>
  </si>
  <si>
    <t>RATE (Rs.)</t>
  </si>
  <si>
    <t>AMOUNT (Rs.)</t>
  </si>
  <si>
    <t>Supplying  and  fixing  of  Unplasticised  Poly  Vinyl  Chloride  UPVC  3  track sliding  windows  with  mesh  shutter  –  2-glass  shutters  and  1-mesh  shutter duly  manufactured  using  UPVC  reinforced  profiles  Composition  of  profile shall consists a minimum of 5.5 PHR of TiO2 and not more than 12 PHR of CaCo3 for every 100 parts of PVC resin of 94mm x 45 mm/80 mm x 52 mm x 2.20 mm for outer frames, 58 mm x 39 mm/54 mm x 38 mm x 2.20mm for sliding shutter frames capable of mounting single glazing system structurally reinforced with hot dip galvanized up to 50 microns of minimum thickness of  1.0/1.2  mm  prefabricated   and  welded  through  fusion  welding.  The window  sash  shall  be  fitted  with  5  mm  thick  clear  float  glass  of  reputed make and mesh shutter frame shall be 42 mm x 25mm/52 mm x 21.5 mm x 2.0 mm fitted with Vinyl Coated Fiber mesh-  on  rollers/ pulley duly  fixed with  Grey  colour  TPV  Gasket  for  sash  and  Glazing  bead  shall  be  co- extruded with Grey colour soft PVC.  System shall have single point locking with Touch Lock and the system is to be installed at the site using anchor fasteners, silicon rubber sealant, easy glazing/deglazing at site etc., including cost   and   conveyance   of   all   materials,   accessories,   labour   charges   for transportation,  erection  at  site  includingetc.,  complete  for  finished  item  of work. at MGMH Petlaburj</t>
  </si>
  <si>
    <t>Providing,  supplying and  fixing  of  Fixed  Louvered  Ventilator  made out  of multi chambered uPVC sections with Glazing bead shall be co-extruded with Grey   colour   soft   PVC.   having   isolated   drainage   and   reinforced   with Galvanized Iron profiles throughout the window. The outer frame having an overall size of 60 mm x 55 mm x 2.40 with reinforcement of 1 mm thickness and  Mullion  with  overall  size  of  74  mm  x  60  mm  x  2.40  mm  with reinforcement  of  1  mm  thickness.  Composition  of  profile  shall  consists  a minimum  of  5.5  PHR  of  TiO2  and  not  more  than  12  PHR  of  CaCo3  for every 100 parts of PVC resin. Ventilator shall be provided with 4.5 mm Pin Head glass, standard hardware. Wall thickness of frame and Mullion shall be 2.4 mm., including cost and conveyance of all materials, accessories, labour charges for transportation, erection at site etc., complete for finished item of work hinges IS:205 150mm long, 1 No. aldrop IS:2681 300mm long, 1 No. tower bolt IS:204 of 200 mm x 10 mm dia at top, 2 Nos. 150 mm at MGMH Petlaburj</t>
  </si>
  <si>
    <t>Supply and fixing doors as per drawings with medium teak wood frame of section 100mm x 65mm and  ISI marked flush door shutter of 30mm thick single  shutter  with  bond  wood  solid  block  board  type  Core  having  cross bands  and  face  veneers,  hot  pressed  bonded  with  water  proof  phenol formaldehyde synthetic resin factory made conforming to IS 2202-1991 Part- I both sides commercial ply with internal lipping on all sides including cost and  conveyance  to  site  of  medium  teak  wood  door  frame,  flush  shutter, including suply and fixing 6 Nos. MS Z hold fasts of size 300mm x 40mm x 5mm including ISI marked Aluminium fixtures 3 Nos. butt hinges IS:205 of 150mm long, 1 No. aldrop IS:2681 250 mm long, 1 No. tower bolt IS:204 of 150 mm x 10mm dia, 2 Nos. 125mm long handles IS:208,1 No. rubber bush including supplying and fixing 1.20mm thick PVC sheet to full height of the shutter  inside  including  labour  charges  for  fixing  the  frame  in  position, fixing the shutter to the frame etc., complete for finished item of work as per APSS  1001  and  1002.  The  vertical  frame  of  door  shall  be  embedded  in flooring  for  depth  of  not  less  than  10mm  750mm  x  2100mm.  at  MGMH Petlaburj</t>
  </si>
  <si>
    <t>Providing  and  fixing  in  true  horizontal  level  14  mm  -  Mineral  Fiber  sheet 595 x 595 Square / Tegular Fissura fine model edge tiles with a Humidity Resistance  of 90 percentage  RH,  Average  NRC  0.50,  Light  Reflectance greater  than80percentage,  Thermal  Conductivity  equal  to  0.052  to  0.057 w/mk, Fire Performance Class 0/Class 1 using hot dipped Galvanized Steel section exposed surface with pre-coated capping, main Tee of size 24 x 32 mm at every 1200 mm c/c maximum and rotary stitched cross tee of size 24 x 27 mm at every 600 mm c/c and sub-cross tee of size 24 mm x 25 mm at 1200 mm c/c and wall angle of size 19 x 19 mm fixed to periphery of the wall and the above grid is suspended at every 1200 mm c/c in both directions using 2.0 mm thick pre-straightened GI Wire including cost and conveyance of  all  materials  and  labour  charges  such  as  cutting  ,  fixing  of  standing  of frame work exposing roof making etc., complete for finished item of work in 3rd  floor. at MGMH Petlaburj</t>
  </si>
  <si>
    <t>Providing  and  Fixing  maintenance  free  earthing  which  consists  of  copper. Earth  station,  with  600X600X3.15mm  Copper  Plate  at  2500mm  Depth including construction of brick pedestal, providing meshed funnel, GI cover and other civil Engineering works, spreading a homogenous mixture of salt, charcoal  around  the  pipe  etc.,  completely  as  per  IS  3043,  1987  or  latest revision. Earthing testing should be done as per IE Rules like Earth valve test Etc. at MGMH Petlaburj</t>
  </si>
  <si>
    <t>Supply, Lying and testing of 4Cx4 sqmm PVC Insulated Cable 1100V grade armoured  Copper  cable  with  ISI  mark  as  per  specification  confirming  to IS:7098 Part - I with heavy duty type double compression weather proof type brass cable glands duly nickel plated as per BS 6121 and IP66 complete with brass   checknut,   outer   sheath   sealing   gasket   heavy   duty   long   barrel aluminium lugs confirming to I.S specifications with complete nut, bolt and washer  etc.  Make  of  Cable:Polycab/ KEI/Universal/Glostar/Finolex.  Make of gland and Lungs: HMI/Commet/Dowell’s at MGMH Petlaburj</t>
  </si>
  <si>
    <t>Providing skirting to internal walls to 10 cm height with Double charged / multi charged stain free fullbody porcelain vitrified tiles with double layer pigment of size 600 x 600 mm and thickness between 8-10 mm 1st quality conforming to IS:15622 - 2017, IS:13630 (Parts 1 to 15) of any colour and finish in all shades and designs, length equal to flooring tiles, set over base coat of CM(1:5) 12 mm thick using screened sand with cement slurry of honey like consistency spread at the rate of 3.30 kgs per sqm and jointing with white cement paste mixed with pigment of matching shade to full depth, including cost of all materials like tiles, cement, sand and water etc.,and overheads &amp; contractors profit complete for finished item of work.(APSS No.701 &amp;707)</t>
  </si>
  <si>
    <t>Supply and Installation change room Cubicles at Petlaburj Hospital GENERAL SPECIFICATIONS: Thickness of compact Laminate:12mm Thick Colour OF HPL Boards,In Single Colour,Size of Cubicle As per DWG, Door Size For Normal Cubicles AS per DWG Overall Height of Cubicle,2105mm Including bottom gap of 100mm,Accessories , Manufacturers standard makes of aluminium , SS Accessories .a Aluminium H Top Rail b. SS Hinges c. SS privacy Thumb turn occupancy indicator d.SS coat hook e. SS Door knob f. Aluminium U Channel g.Aluminium Door Stopper Channel h. Runner lining i.SS Screw And PVC Wall Plugs</t>
  </si>
  <si>
    <t>Supply &amp; Installation of MS Angle for Duct Support, Cable Tray Support and Condensing Unit Stand of size 50 X 50 x 5 mm Thick.</t>
  </si>
  <si>
    <t>Supply &amp; Installation of MS Angle for Duct Support, Cable Tray Support and Condensing Unit Stand of size 32 X 32 x 5 mm Thick.</t>
  </si>
  <si>
    <t>Providing, Fabricating and fixing full height V-board partitions of overall thickness of 75mm Partition frame work to be formed out of 50 X 25mm aluminium frame work placed vertically and horizontally at required centre to centre and cross braced with floor and ceiling channels. The cross bracing channels shall be provided also at above and below the partition framework and to be secured to floor at bottom and to any nearest structural member using galvanized metal screws and wooden / PVC rawl plugs. Partition framework to be cladded with 12.5mm thick tapered edge board on both sides of the partition in line and level fixed with drywall screws @ 300mm c/c with staggered joints to avoid through joints and finished with proprietary supplied jointing tape and compound.</t>
  </si>
  <si>
    <t>Nos</t>
  </si>
  <si>
    <t>Providing of Factory made prelaminated FPVC (Foamed Polyvinyl Chloride) Door frame of the size 105x40mm with a wall thickness of 10mm made out of extruded rigid FPVC profile mitre joined with 6 Nos. of 50mm long screw. The door frame shall be fixed to the wall by using 80mm long screws through the frame with the help of PVC fasteners of 3 no's to be provided for each vertical member, GI stiffeners of ("U" channel of size 29x9x1mm, 150mm long) -3 no's at hinge point, Frame reinforcement of("U" GI channel of size 46x22x.06mm), Bottom tie rod of ("U" GI channel size of 15x15x1mm) etc. complete as per manufacturers specification for finished item of work. Maximum door frame size: 980 x 2070 including providing of 35mm thick Factory made Prelaminated ABS (Acrolynitrile Butadyne Styrene) Door shutter moulded in in different designs, consisting of all round Frame made out of water proof solid foam PVC bar of size 20x32mm, reinforced by 32x 32mm 2 nos. for vertical made out of LVL (Laminated Veneer Lumber), core material of 32 mm thick high density craft paper honey comb board, sandwiched on both sides with prelaminated ABS sheet thickness of 1.5mm. PVC edge banding of size 0.45mm on the vertical sides. Hardware made out of steel coated butterfly hinges - 3 Nos. for each shutter and ISI make S.S round lock completes for finished item of work. Maximum shutter size of : 910 x 2030 mm</t>
  </si>
  <si>
    <t>Supply and Transportation 56W Clean room Light fixture, 2' x2' (600mm x600mm) LED luminaire CRCA powder coated white after phosphocreatine treatment provided as standard. with high efficiency acrylic wide diffuser, with wide operating voltage range, Power factor &gt; 0.9, Surge protection &gt;2KV, System efficacy of &gt;100 lumens/watt, CCT: 3000K - 6500K as desired by the department, CRI &gt;80, and THD is less than 15% etc., complete. Make: Philips</t>
  </si>
  <si>
    <t>Supply and Transportation of 48" ( 1200 mm) High Speed Fan Sweep Celing Fan with all accessories etc., complete. Make Havells S S 390</t>
  </si>
  <si>
    <t xml:space="preserve">Labour charges for fixing of ceiling fan and regulator including transportation and giving connections with twin core wire etc., complete. 
</t>
  </si>
  <si>
    <t>Supply and fixing of Anchor fastner with fan hook / Providing MS Fan hook with grouting and cement plastering.</t>
  </si>
  <si>
    <t>Supply &amp; fixing of  2nos6A, 2 in one socket - 2 Nos with 6A switch control - 2 Nos modular type with and GI switch box with front cover plate including all labour charges etc., complete. Makes of switches: -Hooney well Benz Plus</t>
  </si>
  <si>
    <t>Supply and erecting 19/20mm steel tube down rod of one meter length with bolts &amp; nuts duly painted with matching colour of  fan complete</t>
  </si>
  <si>
    <t>Supply and fixing of 12 Way SPN DB Horizontal with IP 43 Protection as per IS:13032 Makes: Legrand and Supply and Fixing of 1 No., of 63A FP MCB as incomer and 8 Nos 6-32 A 10kA SP MCBs Makes: Legrand-DX3 as out goings including internal connections and labour charges for FLUSH Mounting etc., complete. (For UPS DBs)</t>
  </si>
  <si>
    <t>Supply and fixing of cable  adopteres box with cover for DBs including, massanory work etc., complete.,</t>
  </si>
  <si>
    <t xml:space="preserve">Supply and fixing of FP Metal Enclosure with IP 20 Protection DB Make with 1 No 63A, 10 KA DP MCB   including internal connection and labour charges for Flush Mounting etc.,complete. 
Makes of Enclousure : Legrand   
MCB Makes : Legrand-DX3 
</t>
  </si>
  <si>
    <t>Supply and fixing of suitable out door feeder piller box of size made with 14 SWG CRCA sheet with double door arrangement, making powder coating after processing of 7 Tank process, lock and key, hinges, rubber gasket, danger board,suitable angle iron stand for mounting the feeder pillar with cement concrete, including Supply and fixing of Legrand / Schnieder make as out goings, indication lamps, din channel, 6 Sqmm 3 core copper cable for invidual light control, connectors, bus bars, shroudings, gland plates and provision for 3 phase energy meter etc., complete for finished item of work and suitable wiring provision for connecting the nature switch with following.63A, 4 Pole MCB as incomer, 9 Nos 6-32A SP MCBs</t>
  </si>
  <si>
    <t>Electrical Supplimental Items</t>
  </si>
  <si>
    <t>Civil Supplimental Items</t>
  </si>
  <si>
    <t>Cassette Units : Supply, Installation, Testing and Commissioning  of  variable   refrigerant   flow modular  type  indoor  units wired/wireless remote suitable for R410a  refrigerant comprising of all accessories as per the specifications. The indoor units shall  be suitable  to  work on cooling mode.The minimum Energy Efficiency Ratio shall be as per  ASHRAE  STANDARDS 90.1 -2001   table 6.2.1B. The indoor units   shall  be  suitable    for operation  on  220  plus or minus 6percentage  volts, 50Hz, 1 phase  AC power supply. 2.0 TR – 4 way at MGMH Petlaburj</t>
  </si>
  <si>
    <t>Modular Double skin floor mounted EUROVENT Certified Air Handling Unit 4400CFM / 11.0 TR / 150mm SP made out of 45  plus or minus  2mm thick PUF insulated panels Thermal break aluminium profile frame work with 0.8mm thick pre painted / powder coated inner and outer skins comprising of mixing box with fresh air and return air dampers, pre filters with 10 and 5 microns combination filters in single frame, Interlaced/Intertwined DX Cooling Coil suitable for connecting 2 nos of 11.0TR capacity 1W plus 1S out door condensing units, SS304 drain pan with , blower section with Nicotra / Kruger make direct drive/ Plug type fan,  vibration isolators, EFF1 motor and blower section with on/off switches to operate from outside, limit switch for the fan section access door with a view port, fine filter section with 3 microns filters inspection doors for all filter and fan sections and damper at the outlet of unit. Ports for differential pressure gauges across all filters and blower to measure differential pressure. AHU Make : VTS / Systemair, Make - Blower - Nicotra / Kruger ; Motor - Crompton Greaves / Siemens ; Filter - Thermodyne / Freudenberg / Ultrafil at MGMH Petlaburj</t>
  </si>
  <si>
    <t>SITC of air cooled condensing units with two scroll compressors, air cooled condenser, power panel, vibration isolating pads, stand for ODU, thermostat, etc. of the following capacities. The nominal capacity of the condensing unit shall be as under. Air cooled condensing unit shall have horizontal discharge. All refrigerant piping accessories sight glass, drier, expansion valve, etc. shall be supplied with the condensing units and suitable to connect above AHUs. Refrigerant shall be R 407C / R 410A. Necessary thermostat, control wiring, etc. shall be included. Derating of the unit shall not be more than 15percentage under 45 deg. C ambient temperature. Condensing unit shall be capable of operating up 50 deg. C ambient temperature. 11.0 TR capacity at MGMH Petlaburj</t>
  </si>
  <si>
    <r>
      <t xml:space="preserve">Supplying and fixing GI pipe Medium Grade properties &amp; weight as per IS 1239 in ground or on wall with GI fittings such as elbows tees couplings, nipples, plugs including excavation for trenches and refilling the trenches ,chiselling masonry walls and making good the walls &amp; floors to the original surface and fixing MS clamps on TW blocks on walls including cost and conveyance of all materials and labour charges , overheads &amp; contractors profit complete for finished item of work except for GI bends union and GI connectors with checkout and socket </t>
    </r>
    <r>
      <rPr>
        <b/>
        <sz val="12"/>
        <rFont val="Arial"/>
        <family val="2"/>
      </rPr>
      <t xml:space="preserve">Tata or Zenith </t>
    </r>
    <r>
      <rPr>
        <sz val="12"/>
        <rFont val="Arial"/>
        <family val="2"/>
      </rPr>
      <t xml:space="preserve">make or equivalent. </t>
    </r>
  </si>
  <si>
    <t>Equipment Supplemental Works</t>
  </si>
  <si>
    <t>3-Bay Surgical Scrub Station/Sink to be provided for use in the OT complex providing for pre-procedural scrub up with minimum three bay sink combination as suitable. The Scrub Station shall be made of Stainless Steel of 304 grade sheet with minimum thickness of 1.5mm and designed as per the high aesthetics of the theatre complex. Shall have smoothened surfaces &amp; corners. The scrub sink shall be provided with a front access panel which shall be easily removed for access to the water-controlled valve, waste connections, stoppers &amp; strainers. The Scrub station should be equipped with two foot operated and one elbow operated mechanisms. Shall have provision for fresh water and waste water piping ready for connections.</t>
  </si>
  <si>
    <t>Supply and installation of Stainless Steel 304 grade CSSD Rectangular Working table of size 1200x480x1050 mm with inbuilt sink of size 450x380x300 mm equipped with jali at bottom to stop any large particles entering into the drain to avoid drain clog. The table to be designed with raised front section and provision of SS sheet at foot level of the table forming a flat surface for storing/placing of items. The table to be of ready to use with all necessary fittings.</t>
  </si>
  <si>
    <t>Writing board made of Pressed wood coated with melamine surface. It has 900mm writing surface height, 1200mm writing surface wide, and 11mm deep, suitable for working on dry wipe board markers. It has an aluminium frame with dark grey plastic corner caps and maker tray. It is enabled with an easy wall mounting with a concealed slot system. It can be mounted either horizontally or vertically. IT consists of a complete mounting set, marker tray, and a board marker</t>
  </si>
  <si>
    <t>SS-304 working table of size 685x685x762 mm with I type support inner frame SS-304 pipe of size 40x40x1.5 mm, and top with 1.5 mm thick SS-304 sheet. All four legs equipped with adjustable nylone bushes.</t>
  </si>
  <si>
    <t>SS-304 working table of size 457x457x762 mm with I type support inner frame SS-304 pipe of size 40x40x1.5 mm, and top with 1.5 mm thick SS-304 sheet. All four legs equipped with adjustable nylone bushes.</t>
  </si>
  <si>
    <t>SS-304 working table of size 610x610x762 mm with I type support inner frame SS-304 pipe of size 40x40x1.5 mm, and top with 1.5 mm thick SS-304 sheet. All four legs equipped with adjustable nylone bushes.</t>
  </si>
  <si>
    <t>SS-304 working table of size 660x610x762 mm with I type support inner frame SS-304 pipe of size 40x40x1.5 mm, and top with 1.5 mm thick SS-304 sheet. All four legs equipped with adjustable nylone bushes.</t>
  </si>
  <si>
    <t>Supply and fixing of Powder coated GI stand with 4 nos height adjustable racks of size 670x410x1570 mm connected to two big rods of rectangular hollow section type supported with 4 legs with wheels with brakes to restrict movement/easy movement. Equipped with frame for holding a cylinder. A lockable box type space to be provided at bottom rack.</t>
  </si>
  <si>
    <t>Supply, Installation and Commissioning of Addressable fire alarm Panel which consists of display board which will have 160 Character Display with Touch key pad, Mother board which will have ARM CORTEX M3 32 Bit Processor, Inbuilt RS-485 Networking Circuit for peer to peer networking, Inbuilt USB 2.0 Port for upload and download the Configuration tools, Two inbuilt programmable inputs, Two inbuilt NAC's, and Three Programmable Relays, and 4 Loop Card circuits. power Supply, Installation and Commissioning Board which will have SMPS fully protected board, which its operates on 120 to 220V AC ‡ 10% with 50/60 Hz, battery backup 24V DC with built-in charger. the panel have IP-50 rating Optional: for BMS integration thru MODBUS converter, Graphical Software, Software for TCP/IP Module, provision for GSM based Auto dialler, provision for printer thru compatible module, Approval: UL Listed, Make: Ravel</t>
  </si>
  <si>
    <t>MGPS Supplemental Works</t>
  </si>
  <si>
    <r>
      <rPr>
        <b/>
        <u/>
        <sz val="12"/>
        <rFont val="Arial"/>
        <family val="2"/>
      </rPr>
      <t>Fully Automatic Control Panel for Oxygen </t>
    </r>
    <r>
      <rPr>
        <b/>
        <sz val="12"/>
        <rFont val="Arial"/>
        <family val="2"/>
      </rPr>
      <t xml:space="preserve"> </t>
    </r>
    <r>
      <rPr>
        <b/>
        <u/>
        <sz val="12"/>
        <rFont val="Arial"/>
        <family val="2"/>
      </rPr>
      <t xml:space="preserve">System:
</t>
    </r>
    <r>
      <rPr>
        <sz val="12"/>
        <rFont val="Arial"/>
        <family val="2"/>
      </rPr>
      <t>Supply, installation and commissioning of Fully Automatic control panel for unintrupted Oxygen supply</t>
    </r>
  </si>
  <si>
    <r>
      <rPr>
        <b/>
        <u/>
        <sz val="12"/>
        <rFont val="Arial"/>
        <family val="2"/>
      </rPr>
      <t xml:space="preserve">Trigas Emergency Manifold:
</t>
    </r>
    <r>
      <rPr>
        <sz val="12"/>
        <rFont val="Arial"/>
        <family val="2"/>
      </rPr>
      <t xml:space="preserve">SITC of </t>
    </r>
    <r>
      <rPr>
        <b/>
        <sz val="12"/>
        <rFont val="Arial"/>
        <family val="2"/>
      </rPr>
      <t xml:space="preserve">Emergency Trigas Manifold maximum for 1+1 </t>
    </r>
    <r>
      <rPr>
        <sz val="12"/>
        <rFont val="Arial"/>
        <family val="2"/>
      </rPr>
      <t>D-type Gas Cylinders complete with separate NRVs, tail pipes and brass fittings for each cylinders.</t>
    </r>
  </si>
  <si>
    <r>
      <rPr>
        <b/>
        <u/>
        <sz val="12"/>
        <rFont val="Arial"/>
        <family val="2"/>
      </rPr>
      <t>Fully Automatic Control Panel for Trigas </t>
    </r>
    <r>
      <rPr>
        <b/>
        <sz val="12"/>
        <rFont val="Arial"/>
        <family val="2"/>
      </rPr>
      <t xml:space="preserve"> </t>
    </r>
    <r>
      <rPr>
        <b/>
        <u/>
        <sz val="12"/>
        <rFont val="Arial"/>
        <family val="2"/>
      </rPr>
      <t xml:space="preserve">System:
</t>
    </r>
    <r>
      <rPr>
        <sz val="12"/>
        <rFont val="Arial"/>
        <family val="2"/>
      </rPr>
      <t>Supply, installation and commissioning of Fully Automatic control panel for unintrupted Nirous Oxide supply.</t>
    </r>
  </si>
  <si>
    <r>
      <rPr>
        <b/>
        <u/>
        <sz val="12"/>
        <rFont val="Arial"/>
        <family val="2"/>
      </rPr>
      <t>Fully Automatic Control Panel for CO2 </t>
    </r>
    <r>
      <rPr>
        <b/>
        <sz val="12"/>
        <rFont val="Arial"/>
        <family val="2"/>
      </rPr>
      <t xml:space="preserve"> </t>
    </r>
    <r>
      <rPr>
        <b/>
        <u/>
        <sz val="12"/>
        <rFont val="Arial"/>
        <family val="2"/>
      </rPr>
      <t xml:space="preserve">System:
</t>
    </r>
    <r>
      <rPr>
        <sz val="12"/>
        <rFont val="Arial"/>
        <family val="2"/>
      </rPr>
      <t>Supply, installation and commissioning of Fully Automatic control panel for unintrupted Nirous Oxide supply.</t>
    </r>
  </si>
  <si>
    <r>
      <t xml:space="preserve">SITC of </t>
    </r>
    <r>
      <rPr>
        <b/>
        <sz val="12"/>
        <rFont val="Arial"/>
        <family val="2"/>
      </rPr>
      <t xml:space="preserve">Medical Air-4 Outlet </t>
    </r>
    <r>
      <rPr>
        <sz val="12"/>
        <rFont val="Arial"/>
        <family val="2"/>
      </rPr>
      <t>with matching probe as per HTM-2022/02-01 of UK/ NFPA 99C of USA as per enclosed technical Specification.</t>
    </r>
  </si>
  <si>
    <r>
      <t xml:space="preserve">12 mm Valve for 12 mm OD Pipe
</t>
    </r>
    <r>
      <rPr>
        <b/>
        <sz val="12"/>
        <rFont val="Arial"/>
        <family val="2"/>
      </rPr>
      <t>Note: New item added</t>
    </r>
  </si>
  <si>
    <t>Nos.</t>
  </si>
  <si>
    <r>
      <t xml:space="preserve">Supply and installation of 46.7 liter size </t>
    </r>
    <r>
      <rPr>
        <b/>
        <sz val="12"/>
        <rFont val="Arial"/>
        <family val="2"/>
      </rPr>
      <t>CO2</t>
    </r>
    <r>
      <rPr>
        <sz val="12"/>
        <rFont val="Arial"/>
        <family val="2"/>
      </rPr>
      <t xml:space="preserve"> cylinders confirming to IS:7285 Part-2 (2017). The cylinder shall have an outer diameter of 232mm, a nominal length of 1365mm, and a minimum wall thickness of 5.3mm, ensuring robustness and safety during handling and storage. The cylinders shall have a capacity of 46.7 liters and comply with the standards set forth by the Indian Standards Institute. They shall be constructed from high-quality 37 Mn (Carbon Manganese) material, guaranteeing durability and reliability. The design shall feature a concave bottom and neck threading conforming to IS 3224:2002 14 TPI Type 4 - Size 2 specifications, facilitating secure connections and ease of use. The cylinder shall be capable of withstanding a test pressure of 250 BAR and have a working pressure of 150 BAR. The nominal tare weight of each cylinder shall be 51 kg. The cylinder includes first fill.</t>
    </r>
  </si>
  <si>
    <r>
      <t xml:space="preserve">Supply and installation of 46.7 liter size </t>
    </r>
    <r>
      <rPr>
        <b/>
        <sz val="12"/>
        <rFont val="Arial"/>
        <family val="2"/>
      </rPr>
      <t>O2</t>
    </r>
    <r>
      <rPr>
        <sz val="12"/>
        <rFont val="Arial"/>
        <family val="2"/>
      </rPr>
      <t xml:space="preserve"> cylinders confirming to IS:7285 Part-2 (2017). The cylinder shall have an outer diameter of 232mm, a nominal length of 1365mm, and a minimum wall thickness of 5.3mm, ensuring robustness and safety during handling and storage. The cylinders shall have a capacity of 46.7 liters and comply with the standards set forth by the Indian Standards Institute. They shall be constructed from high-quality 37 Mn (Carbon Manganese) material, guaranteeing durability and reliability. The design shall feature a concave bottom and neck threading conforming to IS 3224:2002 14 TPI Type 4 - Size 2 specifications, facilitating secure connections and ease of use. The cylinder shall be capable of withstanding a test pressure of 250 BAR and have a working pressure of 150 BAR. The nominal tare weight of each cylinder shall be 51 kg. The cylinder includes first fill.</t>
    </r>
  </si>
  <si>
    <r>
      <t xml:space="preserve">Supply and installation of 46.7 liter size </t>
    </r>
    <r>
      <rPr>
        <b/>
        <sz val="12"/>
        <rFont val="Arial"/>
        <family val="2"/>
      </rPr>
      <t>Trigas</t>
    </r>
    <r>
      <rPr>
        <sz val="12"/>
        <rFont val="Arial"/>
        <family val="2"/>
      </rPr>
      <t xml:space="preserve"> cylinders confirming to IS:7285 Part-2 (2017). The cylinder shall have an outer diameter of 232mm, a nominal length of 1365mm, and a minimum wall thickness of 5.3mm, ensuring robustness and safety during handling and storage. The cylinders shall have a capacity of 46.7 liters and comply with the standards set forth by the Indian Standards Institute. They shall be constructed from high-quality 37 Mn (Carbon Manganese) material, guaranteeing durability and reliability. The design shall feature a concave bottom and neck threading conforming to IS 3224:2002 14 TPI Type 4 - Size 2 specifications, facilitating secure connections and ease of use. The cylinder shall be capable of withstanding a test pressure of 250 BAR and have a working pressure of 150 BAR. The nominal tare weight of each cylinder shall be 51 kg. The cylinder includes first fill.</t>
    </r>
  </si>
  <si>
    <r>
      <t xml:space="preserve">Supply and installation of 46.7 liter size </t>
    </r>
    <r>
      <rPr>
        <b/>
        <sz val="12"/>
        <rFont val="Arial"/>
        <family val="2"/>
      </rPr>
      <t>N2O</t>
    </r>
    <r>
      <rPr>
        <sz val="12"/>
        <rFont val="Arial"/>
        <family val="2"/>
      </rPr>
      <t xml:space="preserve"> cylinders confirming to IS:7285 Part-2 (2017). The cylinder shall have an outer diameter of 232mm, a nominal length of 1365mm, and a minimum wall thickness of 5.3mm, ensuring robustness and safety during handling and storage. The cylinders shall have a capacity of 46.7 liters and comply with the standards set forth by the Indian Standards Institute. They shall be constructed from high-quality 37 Mn (Carbon Manganese) material, guaranteeing durability and reliability. The design shall feature a concave bottom and neck threading conforming to IS 3224:2002 14 TPI Type 4 - Size 2 specifications, facilitating secure connections and ease of use. The cylinder shall be capable of withstanding a test pressure of 250 BAR and have a working pressure of 150 BAR. The nominal tare weight of each cylinder shall be 51 kg. The cylinder includes first fill.</t>
    </r>
  </si>
  <si>
    <t>PART-B</t>
  </si>
  <si>
    <t>Providing and fixing factory made solid Wood Polymer Composite (WPC) single extruded Door Frame section of 100*65 MM with encapsulation of 6 MM rigid layer on all external surfaces. The door frame will have a rebate of 32MM/ 37 MM. The two Vertical members are to be joined together with the horizontal member using 8x75 MM long MS Star full thread screws to be used with reverse forward speed control hand drilling machine. The ready/assembled door frame is fixed to wall using Z Hand fast 300 MM long hold fast. Supplying and fixing of 28/30 mm thick Wood Plastic Composite (WPC) Door shutter, comprising of 70% virgin polymer, 15% wood powder (fiber), and the remaining 15% additives, comprising of virgin PVC polymer of K value 58-60 (Suspension grade), Calcium carbonate and natural fibers (wood powder) and non toxic additives (maximum toxicity index of 12 for 100 gms) having minimum door density of 650 kg/cum, screw withdrawal strength 1800N (Face) &amp; 900N (Edge), Modulus of Elasticity 900N/mm2 and resistance to spread of flame of Class A category with property of being termite/borer poof, water/moisture proof and fire retardant and fixed in position with stainless steel butt hinges of required size with necessary full body threaded star headed counter sunk SS screws all as per direction of Engineer -in- Charge (SS butt hinges and SS screws shall be paid separately)</t>
  </si>
  <si>
    <t>Plumbing Supplimental Works</t>
  </si>
  <si>
    <t>Air Conditioning Supplemental Works</t>
  </si>
  <si>
    <t>Fire Fighting Supplemental Works</t>
  </si>
  <si>
    <t>TOTAL EXCESS</t>
  </si>
  <si>
    <t>TOTAL (PART-B)</t>
  </si>
  <si>
    <t>GRAND TOTAL</t>
  </si>
  <si>
    <t xml:space="preserve">Supplying and fixing of  to windows / in open court yards using 25mm x 6mm MS flat alround and 10mm MS square bars horizontally at 125mm centre to centre and vertically at 300mm centre to centre including fixing with 4 Nos of MS  Z holdfasts (2 on each side) duly making cutting brick masonry, fixing and making to original surface neatly and painting grill with one coat of red oxide primer including cost all taxes and conveyance of all materials including cutting, bending, welding including all operational charges and all labour charges etc., complete for finished item of work. </t>
  </si>
  <si>
    <r>
      <t>50 LPH storage type RO of dimensions 525 x 425 x 1450 mm (WxDxH) of approx. weight 75Kg consists of 4 nos of 80 GPD 3-layer Thin Film Composite (TFC) membrane with 0.0001-micron pore size which can prevent TDS, heavy metals and equipped with 6 stage purification process which reduces pesticides in the water for reducing scale formation when water is heated. The RO should take min input pressure of 0.6 kg/cm2, 2000 ppm of TDS in Water, 500 ppm of Hardness, 6.5 to 8.5 PH of water which can give output of 20 to 25 % recovery in purified water and can run on 230V AC, 50 Hz supply with operating temp of 5</t>
    </r>
    <r>
      <rPr>
        <vertAlign val="superscript"/>
        <sz val="12"/>
        <rFont val="Arial"/>
        <family val="2"/>
      </rPr>
      <t>o</t>
    </r>
    <r>
      <rPr>
        <sz val="12"/>
        <rFont val="Arial"/>
        <family val="2"/>
      </rPr>
      <t>C to 45</t>
    </r>
    <r>
      <rPr>
        <vertAlign val="superscript"/>
        <sz val="12"/>
        <rFont val="Arial"/>
        <family val="2"/>
      </rPr>
      <t>o</t>
    </r>
    <r>
      <rPr>
        <sz val="12"/>
        <rFont val="Arial"/>
        <family val="2"/>
      </rPr>
      <t>C.</t>
    </r>
  </si>
  <si>
    <t>Emergency Fire Doors : 46mm thick flush doors made of 0.8mm thick Powder coated GI sheets on both sides, 90  plus or minus  2 kg/m3 density Honeycomb with stand upto 220 Deg.C Temperature, and compressible strength upto 400 Kg/Sqm, 1.2 mm thick GPSP .  door frames, double glazed vision panel  with necessary adhesive tapes and silicon sealant, necessary hardware like SS304 ball bearing butt hinges, D- handles, push plates, Dorma make door closure, concealed tower bolt, drop seals  for the double leaf door and provision for fixing magnetic type door interlocking system and automatic door bottoms, Both side lock and keys etc. complete. Size 1500 X 2100 mm with 2 hours fire rated and panic push bar and accessories etc. at MGMH Petlaburj</t>
  </si>
  <si>
    <t>Sub total of S.No 22 to 25</t>
  </si>
  <si>
    <t>Provision towards Unforseen items and rounding off (LS)</t>
  </si>
  <si>
    <t>Provision towards Engineering Supervision Charges @  4% on RE Value</t>
  </si>
  <si>
    <t>Provision towards GST 18% on Seniorage Charges</t>
  </si>
  <si>
    <t>Sub total of S.No 14 to 18</t>
  </si>
  <si>
    <t>Provision towards Haritha Nidhi</t>
  </si>
  <si>
    <t>Provision towards SMFT Charges 2% on seniorage Charges</t>
  </si>
  <si>
    <t>Provision towards DMF Charges 30% on Seniorage Charges</t>
  </si>
  <si>
    <t>Provision towards Seniorage Charges on Civil Component</t>
  </si>
  <si>
    <t>NAC @ 0.1% on Basic Price of Revised estimate</t>
  </si>
  <si>
    <t>Labour Cess @ 1% on Basic Price of Revised Estimate</t>
  </si>
  <si>
    <t>GST @ 18%</t>
  </si>
  <si>
    <t>Total (Part-A+Part-B)</t>
  </si>
  <si>
    <r>
      <t xml:space="preserve">Sub Total (Supplimental </t>
    </r>
    <r>
      <rPr>
        <b/>
        <sz val="11"/>
        <color rgb="FF000000"/>
        <rFont val="Arial"/>
        <family val="2"/>
      </rPr>
      <t>Part-B</t>
    </r>
    <r>
      <rPr>
        <sz val="11"/>
        <color rgb="FF000000"/>
        <rFont val="Arial"/>
        <family val="2"/>
      </rPr>
      <t>)</t>
    </r>
  </si>
  <si>
    <t>MGPS supplimental works</t>
  </si>
  <si>
    <t>Air Conditioning supplimental works</t>
  </si>
  <si>
    <t>Fire Fighting supplimental works</t>
  </si>
  <si>
    <t>Electrical supplimental works</t>
  </si>
  <si>
    <t>Plumbing supplimental works</t>
  </si>
  <si>
    <t>Civil supplimental works</t>
  </si>
  <si>
    <t>Equipment supplimental</t>
  </si>
  <si>
    <r>
      <t xml:space="preserve">Sub Total (Agreement </t>
    </r>
    <r>
      <rPr>
        <b/>
        <sz val="11"/>
        <color rgb="FF000000"/>
        <rFont val="Arial"/>
        <family val="2"/>
      </rPr>
      <t>Part-A</t>
    </r>
    <r>
      <rPr>
        <sz val="11"/>
        <color rgb="FF000000"/>
        <rFont val="Arial"/>
        <family val="2"/>
      </rPr>
      <t>)</t>
    </r>
  </si>
  <si>
    <t>MGPS works</t>
  </si>
  <si>
    <t>Air Conditioning works</t>
  </si>
  <si>
    <t>Fire Fighting works</t>
  </si>
  <si>
    <t>ELV works</t>
  </si>
  <si>
    <t>Electrical works</t>
  </si>
  <si>
    <t>Plumbing works</t>
  </si>
  <si>
    <t>Equipment</t>
  </si>
  <si>
    <t>Remarks</t>
  </si>
  <si>
    <t>Less</t>
  </si>
  <si>
    <t>Excess</t>
  </si>
  <si>
    <t>As per workdone</t>
  </si>
  <si>
    <t>As per Agreement</t>
  </si>
  <si>
    <t>Description</t>
  </si>
  <si>
    <t>S.No</t>
  </si>
  <si>
    <t>COMPARITIVE STATEMENT FOR GENERAL ABSTRACT</t>
  </si>
  <si>
    <t>Name of the work: Design, fabrication, establishing &amp; commissioning of In-Vitro Fertility Centers (IVFCs) along with allied services on Turnkey basis at Gandhi Hospital, Secunderabad, MGM Hospital, Warangal &amp; MGMH Petlaburj, Hyd.</t>
  </si>
  <si>
    <r>
      <t xml:space="preserve">Condensing units - VRF/VRV System : Supply, Installation, Nitrogen testing , Vacuuming and Commissioning  of   air  cooled   variable refrigerant  flow modular type condensing units, each comprising of multiple scroll compressors all inverter driven, full  charge of refrigerant gas  R-410a including additional gas filling , lubricating oil and all accessories as per the specifications. The condensing units shall be suitable to work on cooling mode. The minimum Energy Efficiency Ratio shall be as per ASHRAE STANDARDS 90.1 -2001 table 6.2.1B .  The COP of the system shall be greater than 4 under ARI conditions for 100percentage load . The condensing units shall be suitable for operation on 415  plus or minus  10percentage volts, 50Hz, 3 phase  AC  power   supply  and ,  outdoor  units to be mounted on MS platform with suitable Vibration Isolation pads to avoid vibrations. All the supports and angle base frame structure to be duly black painted with synthetic epoxy paint.  the condensing units shall be of following capacities: The VRF ODU should be capable of working with total capacity of connected indoor units ranging between 100percentage to 140percentage  of ODU capacity .  COP minimum 3.5. Make : Daikin / LG  / O General / Toshiba at MGMH Petlaburj </t>
    </r>
    <r>
      <rPr>
        <sz val="12"/>
        <color rgb="FFFF0000"/>
        <rFont val="Arial"/>
        <family val="2"/>
      </rPr>
      <t>24 HP</t>
    </r>
  </si>
  <si>
    <r>
      <t>Dismantling</t>
    </r>
    <r>
      <rPr>
        <sz val="12"/>
        <rFont val="Arial"/>
        <family val="2"/>
      </rPr>
      <t>, clearing away and carefully stacking useful materials for re-use and disposal of unserviceable materials with 100m lead as directed by Executive Engineer duly taking actual premeasurements before dismantling including all labour charges , overheads &amp; contractor profit etc., complete Finished item of work Old Cement Mortar</t>
    </r>
  </si>
  <si>
    <r>
      <t>Dismantling</t>
    </r>
    <r>
      <rPr>
        <sz val="12"/>
        <rFont val="Arial"/>
        <family val="2"/>
      </rPr>
      <t>, clearing away and carefully stacking useful materials for re-use and disposal of unserviceable materials with 100m lead as directed by Executive Engineer duly taking actual premeasurements before dismantling including all labour charges , overheads &amp; contractor profit etc., complete Finished item of work Reinforced Cement Concrete</t>
    </r>
  </si>
  <si>
    <r>
      <t>Providing Thermo Mechanically Treated  ( TMT) ( Fe-500/500D/550D from primery producer TATA, SAIL, VSP, JSW Steel, Goel steel, Jindal panther, X- Vega &amp; balaji Shakthi as per IS 1786-2008) of Different Diameters RCC Works</t>
    </r>
    <r>
      <rPr>
        <sz val="12"/>
        <rFont val="Arial"/>
        <family val="2"/>
      </rPr>
      <t xml:space="preserve"> , including labour charges for straightening, cutting, bending to required sizes and shapes, placing in position with cover blocks of approved materials and sizes and typing and lap - spacing with binding wire of 18 SWG, Forming grills for reinforcement work as per approved design and drawings, including and conveyanace of steel bars, including all wastages such as overlaps, coupling, chairs, spacer bars including cost and conveyance of binding wire cover blocks and incidential, operational, labour charges such as cutting bending, placing in position, typing incliding sales and other taxes on all materials etc., and overheads &amp; contractors profit completefor finished item of work</t>
    </r>
  </si>
  <si>
    <r>
      <t>Supply and placing of the Design Mix Concrete M 25 grade</t>
    </r>
    <r>
      <rPr>
        <sz val="12"/>
        <rFont val="Arial"/>
        <family val="2"/>
      </rPr>
      <t xml:space="preserve"> corresponding to IS 456 </t>
    </r>
    <r>
      <rPr>
        <b/>
        <sz val="12"/>
        <rFont val="Arial"/>
        <family val="2"/>
      </rPr>
      <t xml:space="preserve">with minimum cement content of 380 kgs per 1 cum of concrete </t>
    </r>
    <r>
      <rPr>
        <sz val="12"/>
        <rFont val="Arial"/>
        <family val="2"/>
      </rPr>
      <t>using Weight Batcher / Concrete mixer with 20mm size graded machine crushed hard granite metal (coarse aggregate - as per IS 383 - 1970 and IS 2386 Part 1 to Part 8) from approved quarry including cost and conveyance of all materials like cement, fine aggregate (sand) coarse aggregate, water etc., to site and sales &amp; other taxes on all materials,</t>
    </r>
    <r>
      <rPr>
        <b/>
        <sz val="12"/>
        <rFont val="Arial"/>
        <family val="2"/>
      </rPr>
      <t xml:space="preserve"> centering using Casurina Ballies, Bamboos, Wooden Reapers, Runners, Wood Posts, Steel Plates etc.</t>
    </r>
    <r>
      <rPr>
        <sz val="12"/>
        <rFont val="Arial"/>
        <family val="2"/>
      </rPr>
      <t>,</t>
    </r>
    <r>
      <rPr>
        <b/>
        <sz val="12"/>
        <rFont val="Arial"/>
        <family val="2"/>
      </rPr>
      <t xml:space="preserve"> </t>
    </r>
    <r>
      <rPr>
        <sz val="12"/>
        <rFont val="Arial"/>
        <family val="2"/>
      </rPr>
      <t>including all operational, incidental and labour charges such as weigh batching, machine mixing, lifting of concrete manually, laying concrete, curing , overheads &amp; contractors profit etc.,  complete but excluding cost of steel and its fabrication charges for finished item of work (APSS No. 402)</t>
    </r>
    <r>
      <rPr>
        <b/>
        <sz val="12"/>
        <rFont val="Arial"/>
        <family val="2"/>
      </rPr>
      <t xml:space="preserve"> </t>
    </r>
  </si>
  <si>
    <t>E</t>
  </si>
  <si>
    <t>C</t>
  </si>
  <si>
    <t>P</t>
  </si>
  <si>
    <t>ELV</t>
  </si>
  <si>
    <t>FF</t>
  </si>
  <si>
    <t>AC</t>
  </si>
  <si>
    <t>G</t>
  </si>
  <si>
    <t>EQP</t>
  </si>
  <si>
    <t>EQPS</t>
  </si>
  <si>
    <t>CS</t>
  </si>
  <si>
    <t>PS</t>
  </si>
  <si>
    <t>ES</t>
  </si>
  <si>
    <t>FFS</t>
  </si>
  <si>
    <t>ACS</t>
  </si>
  <si>
    <t>GS</t>
  </si>
  <si>
    <t>AS PER AGREEMENT</t>
  </si>
  <si>
    <t>AS PER WORKDONE</t>
  </si>
  <si>
    <t>UOM</t>
  </si>
  <si>
    <t>Brick Masonary</t>
  </si>
  <si>
    <t>Partition walls</t>
  </si>
  <si>
    <t>Plastering 20 mm</t>
  </si>
  <si>
    <t>Plastering 12 mm</t>
  </si>
  <si>
    <t>Proportion</t>
  </si>
  <si>
    <t>Qty</t>
  </si>
  <si>
    <t>V of 1 brick</t>
  </si>
  <si>
    <t>Ratio</t>
  </si>
  <si>
    <t>dry v</t>
  </si>
  <si>
    <t>no of bricks</t>
  </si>
  <si>
    <t>v of 1 brick</t>
  </si>
  <si>
    <t>cement</t>
  </si>
  <si>
    <t>qty</t>
  </si>
  <si>
    <t>sand</t>
  </si>
  <si>
    <t>mortor qty</t>
  </si>
  <si>
    <t>Cement</t>
  </si>
  <si>
    <t xml:space="preserve">Sand </t>
  </si>
  <si>
    <t>T sand qty</t>
  </si>
  <si>
    <t>Brick Amount</t>
  </si>
  <si>
    <t>Metal Amount</t>
  </si>
  <si>
    <t>Sand Amount</t>
  </si>
  <si>
    <t>Brick Rate</t>
  </si>
  <si>
    <t>Metal Rate</t>
  </si>
  <si>
    <t>Sand Rate</t>
  </si>
  <si>
    <t>Bricks</t>
  </si>
  <si>
    <t>Metal</t>
  </si>
  <si>
    <t>Sand</t>
  </si>
  <si>
    <t>Brick (QTY)</t>
  </si>
  <si>
    <t>Metal (QTY)</t>
  </si>
  <si>
    <t>Sand (QTY)</t>
  </si>
  <si>
    <t>Total Amount</t>
  </si>
  <si>
    <t>Amount</t>
  </si>
  <si>
    <t>Rates</t>
  </si>
  <si>
    <t>Co-efficients</t>
  </si>
  <si>
    <t>Item Name</t>
  </si>
  <si>
    <t>Total</t>
  </si>
  <si>
    <t>The item executed as per agreement quantity</t>
  </si>
  <si>
    <t>Item Deleted</t>
  </si>
  <si>
    <t xml:space="preserve"> This item was  not executed as it was requested  by the higher officials to keep the existing granite reception table instead  of this item. Hence savings.</t>
  </si>
  <si>
    <t>As per the site condition &amp; floor plans approved, the Qty. exceeded and now proposed as AE</t>
  </si>
  <si>
    <t>The qty is utilised as per site condition and hence savings</t>
  </si>
  <si>
    <t>As per the instructions issued during site visit Dt. 01.08.2023. ABS doors were proposed hence qty not utilised</t>
  </si>
  <si>
    <t>As per the site condition and instructions of  Higher officials,  daddoing provided at corridor area. Hence  the qty is exceeded and hence proposed as AE</t>
  </si>
  <si>
    <t>In view of Sterility, wood work was not executed. Hence savings</t>
  </si>
  <si>
    <t>As per the instructions of  Higher officials Autoclave Room, UPS Room &amp; Electrical Room Mandates the scientific door, the Qty. exceeded and now proposed as AE</t>
  </si>
  <si>
    <t>As per the instructions of  Higher officials Access Control Door Mandates the scientific door, the Qty. exceeded and now proposed as AE</t>
  </si>
  <si>
    <t>Qty increased so as to provide AC in UPS room and Reception.</t>
  </si>
  <si>
    <t>In place of 1.0 ton, provided with 1.5 ton AC</t>
  </si>
  <si>
    <t>As per the site condition &amp; floor plans approved, the increased area requires higher capacity of AHU. Hence proposed as Supplimental item and quantity of this item not utilized.</t>
  </si>
  <si>
    <t>As per the site condition &amp; floor plans approved, the increased area requires higher capacity of condensing unit to maintain required temperature and increase in AHU capacity too. Hence proposed as Supplimental item and quantity of this item not utilized.</t>
  </si>
  <si>
    <t>Not executed as not required at site.</t>
  </si>
  <si>
    <t>Qty increased as per site condition</t>
  </si>
  <si>
    <t>Qty increased  so as to provide proper covering from Dampness and moisture to copper pipe of IVF units and AHU units</t>
  </si>
  <si>
    <t>As per the site condition &amp; floor plans approved, the increa of indoor units as the new rooms added requires higher capacity of VRV system. Hence proposed as Supplimental item and quantity of this item not utilized.</t>
  </si>
  <si>
    <t>Qty increased so as to provide AC in Senior faculty room &amp; UPS Room.</t>
  </si>
  <si>
    <t>As per the site condition &amp; floor plans approved, the pre &amp; post operative ward requires less capacity units. Hence proposed as Supplimental item and quantity of this item not utilized.</t>
  </si>
  <si>
    <t>Qty increased so as to provide AC in Anesthetist room, Embryologist room, Sample collection room.</t>
  </si>
  <si>
    <t>Qty increased as the no of indoor units increased</t>
  </si>
  <si>
    <t xml:space="preserve">Additional Manifold is provided to supply CO2 at 2-3 bar pressure to IVF OT. </t>
  </si>
  <si>
    <t>Qty. increased as per the site requirement hence proposed as AE</t>
  </si>
  <si>
    <t>This item is executed since it is required for ICMR Clearance.</t>
  </si>
  <si>
    <t>An autoclave needs a CSSD table. Hence executed</t>
  </si>
  <si>
    <t>This is mandatory as per ICMR guidelines, hence work is executed as per the instructions of Enduser.</t>
  </si>
  <si>
    <t>It is necessary to place the equipments hence, work is executed as per the instructions of Higher officials.</t>
  </si>
  <si>
    <t xml:space="preserve">It is necessary to place the equipments hence, work is executed as per the instructions of Higher officials. this stand is necessary to place the  Hysterscopy &amp; Laproscopy set </t>
  </si>
  <si>
    <t>The work was taken up as per approved floor plan drawings and in contingent with the main work and hence proposed as supplemental item.</t>
  </si>
  <si>
    <t>This work is exectued as per site conditions.</t>
  </si>
  <si>
    <t>This work was executed as per the requirement and instructions from higher officials</t>
  </si>
  <si>
    <t>It is mandatorly required for support duct hence this work is executed as per the instructions of TSMSIDC Higher officials.</t>
  </si>
  <si>
    <t>This work is mandatory in contigent to the main work. Hence, executed.</t>
  </si>
  <si>
    <t>To maitain low VOC in Fertility center, wooden doors are replaced with ABS doors as per MOM dated: 01-08-2023. (copy Attached)</t>
  </si>
  <si>
    <t>To maitain low VOC in Fertility center, wooden doors are replaced with WPC doors as per MOM dated: 01-08-2023. (copy Attached)</t>
  </si>
  <si>
    <t xml:space="preserve">the work was taken up at reception and entrance area as per the instructions issued by the End user and TSMSIDC higher officials. </t>
  </si>
  <si>
    <t>Autoclave needs clean water as per ICMR guidelines, hence this item is takenup.</t>
  </si>
  <si>
    <t>This work is mandatory for autoclave to let out the steam outside the premises. Hence executed.</t>
  </si>
  <si>
    <t>During site inspection, EE (Electrical) has  instructed to provide 56W lights to attain required illumination. Hence executed.</t>
  </si>
  <si>
    <t>The EE (Electrical) during site inspection instructed to provide regular high speed fans since maintaining BLDC fans in governement instutions is not viable. Hence executed</t>
  </si>
  <si>
    <t>As per Instructions of EE (Electrical) during site inspection, regular high speed fans were provided. Hence executed</t>
  </si>
  <si>
    <t>6Amp socket was required as per site conditions. Hence executed</t>
  </si>
  <si>
    <t>As difference in false ceilling one meter down rods are used as per site conditions</t>
  </si>
  <si>
    <t>It is mandatory to provide 12 Way SPN DB for UPS. Hence executed</t>
  </si>
  <si>
    <t xml:space="preserve">It is mandatory to provide cable adapters to connect RAW power with UPS power. Hence executed </t>
  </si>
  <si>
    <t>It is mandatory required to connect Powre supply to autoclave</t>
  </si>
  <si>
    <t>It is necessary to monitor fire alaram detectors in case of emergency. This work is executed as per the instructions of TSMSIDC Higher officials</t>
  </si>
  <si>
    <t>As per the site condition &amp; floor plans approved, the increased area requires higher capacity of AHU. Hence proposed as Supplimental item.</t>
  </si>
  <si>
    <t xml:space="preserve">As per the site condition &amp; floor plans approved, the increa of indoor units as the new rooms added requires higher capacity of VRV system. Hence proposed as Supplimental item </t>
  </si>
  <si>
    <t xml:space="preserve">As per the site condition &amp; floor plans approved, the pre &amp; post operative ward requires less capacity units. Hence proposed as Supplimental item </t>
  </si>
  <si>
    <t xml:space="preserve">As per the site condition &amp; floor plans approved, the increased area requires higher capacity of condensing unit to maintain required temperature and increase in AHU capacity too. Hence proposed as Supplimental item </t>
  </si>
  <si>
    <t>This work is executed as per the necessity of medical gases in IVF Center under the instructions of End user</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</si>
</sst>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43" formatCode="_ * #,##0.00_ ;_ * \-#,##0.00_ ;_ * &quot;-&quot;??_ ;_ @_ "/>
    <numFmt numFmtId="164" formatCode="_(* #,##0.00_);_(* \(#,##0.00\);_(* &quot;-&quot;??_);_(@_)"/>
    <numFmt numFmtId="165" formatCode="0.0"/>
    <numFmt numFmtId="166" formatCode="_ * #,##0_ ;_ * \-#,##0_ ;_ * &quot;-&quot;??_ ;_ @_ "/>
    <numFmt numFmtId="167" formatCode="_(* #,##0_);_(* \(#,##0\);_(* &quot;-&quot;??_);_(@_)"/>
  </numFmts>
  <fonts count="29" x14ac:knownFonts="1">
    <font>
      <sz val="10"/>
      <color rgb="FF000000"/>
      <name val="Times New Roman"/>
      <charset val="204"/>
    </font>
    <font>
      <sz val="11"/>
      <color theme="1"/>
      <name val="Calibri"/>
      <family val="2"/>
      <scheme val="minor"/>
    </font>
    <font>
      <sz val="10"/>
      <color rgb="FF000000"/>
      <name val="Times New Roman"/>
      <family val="1"/>
    </font>
    <font>
      <b/>
      <sz val="16"/>
      <color rgb="FF000000"/>
      <name val="Arial"/>
      <family val="2"/>
    </font>
    <font>
      <b/>
      <sz val="12"/>
      <name val="Arial"/>
      <family val="2"/>
    </font>
    <font>
      <b/>
      <i/>
      <u/>
      <sz val="12"/>
      <name val="Arial"/>
      <family val="2"/>
    </font>
    <font>
      <sz val="12"/>
      <color rgb="FF000000"/>
      <name val="Arial"/>
      <family val="2"/>
    </font>
    <font>
      <sz val="12"/>
      <name val="Arial"/>
      <family val="2"/>
    </font>
    <font>
      <b/>
      <i/>
      <u/>
      <sz val="12"/>
      <color rgb="FF000000"/>
      <name val="Arial"/>
      <family val="2"/>
    </font>
    <font>
      <sz val="12"/>
      <color rgb="FFBE0000"/>
      <name val="Arial"/>
      <family val="2"/>
    </font>
    <font>
      <sz val="12"/>
      <color rgb="FFFF0000"/>
      <name val="Arial"/>
      <family val="2"/>
    </font>
    <font>
      <sz val="12"/>
      <color rgb="FF333333"/>
      <name val="Arial"/>
      <family val="2"/>
    </font>
    <font>
      <b/>
      <sz val="12"/>
      <color rgb="FF000000"/>
      <name val="Arial"/>
      <family val="2"/>
    </font>
    <font>
      <b/>
      <u/>
      <sz val="14"/>
      <name val="Arial"/>
      <family val="2"/>
    </font>
    <font>
      <sz val="10"/>
      <name val="Arial"/>
      <family val="2"/>
    </font>
    <font>
      <b/>
      <i/>
      <u/>
      <sz val="14"/>
      <name val="Arial"/>
      <family val="2"/>
    </font>
    <font>
      <b/>
      <u/>
      <sz val="12"/>
      <name val="Arial"/>
      <family val="2"/>
    </font>
    <font>
      <vertAlign val="superscript"/>
      <sz val="12"/>
      <name val="Arial"/>
      <family val="2"/>
    </font>
    <font>
      <sz val="11"/>
      <color rgb="FF000000"/>
      <name val="Arial"/>
      <family val="2"/>
    </font>
    <font>
      <b/>
      <sz val="11"/>
      <color rgb="FF000000"/>
      <name val="Arial"/>
      <family val="2"/>
    </font>
    <font>
      <sz val="11"/>
      <color theme="1"/>
      <name val="Arial"/>
      <family val="2"/>
    </font>
    <font>
      <b/>
      <u/>
      <sz val="11"/>
      <color rgb="FF000000"/>
      <name val="Arial"/>
      <family val="2"/>
    </font>
    <font>
      <sz val="12"/>
      <color theme="1"/>
      <name val="Arial"/>
      <family val="2"/>
    </font>
    <font>
      <b/>
      <sz val="14"/>
      <color rgb="FF000000"/>
      <name val="Arial"/>
      <family val="2"/>
    </font>
    <font>
      <b/>
      <i/>
      <u/>
      <sz val="14"/>
      <color rgb="FF000000"/>
      <name val="Arial"/>
      <family val="2"/>
    </font>
    <font>
      <b/>
      <sz val="11"/>
      <color theme="1"/>
      <name val="Calibri"/>
      <family val="2"/>
      <scheme val="minor"/>
    </font>
    <font>
      <b/>
      <sz val="12"/>
      <color theme="1"/>
      <name val="Calibri"/>
      <family val="2"/>
      <scheme val="minor"/>
    </font>
    <font>
      <sz val="12"/>
      <color rgb="FF000000"/>
      <name val="Times New Roman"/>
      <family val="1"/>
    </font>
    <font>
      <b/>
      <sz val="12"/>
      <color rgb="FF000000"/>
      <name val="Times New Roman"/>
      <family val="1"/>
    </font>
  </fonts>
  <fills count="15">
    <fill>
      <patternFill patternType="none"/>
    </fill>
    <fill>
      <patternFill patternType="gray125"/>
    </fill>
    <fill>
      <patternFill patternType="solid">
        <fgColor theme="9" tint="0.59999389629810485"/>
        <bgColor indexed="64"/>
      </patternFill>
    </fill>
    <fill>
      <patternFill patternType="solid">
        <fgColor theme="8" tint="0.59999389629810485"/>
        <bgColor indexed="64"/>
      </patternFill>
    </fill>
    <fill>
      <patternFill patternType="solid">
        <fgColor rgb="FFFFFF00"/>
        <bgColor indexed="64"/>
      </patternFill>
    </fill>
    <fill>
      <patternFill patternType="solid">
        <fgColor rgb="FFFF0000"/>
        <bgColor indexed="64"/>
      </patternFill>
    </fill>
    <fill>
      <patternFill patternType="solid">
        <fgColor theme="0"/>
        <bgColor indexed="64"/>
      </patternFill>
    </fill>
    <fill>
      <patternFill patternType="solid">
        <fgColor theme="0" tint="-4.9989318521683403E-2"/>
        <bgColor indexed="64"/>
      </patternFill>
    </fill>
    <fill>
      <patternFill patternType="solid">
        <fgColor theme="5" tint="0.79998168889431442"/>
        <bgColor indexed="64"/>
      </patternFill>
    </fill>
    <fill>
      <patternFill patternType="solid">
        <fgColor theme="4" tint="0.59999389629810485"/>
        <bgColor indexed="64"/>
      </patternFill>
    </fill>
    <fill>
      <patternFill patternType="solid">
        <fgColor theme="7" tint="0.79998168889431442"/>
        <bgColor indexed="64"/>
      </patternFill>
    </fill>
    <fill>
      <patternFill patternType="solid">
        <fgColor theme="3" tint="0.59999389629810485"/>
        <bgColor indexed="64"/>
      </patternFill>
    </fill>
    <fill>
      <patternFill patternType="solid">
        <fgColor theme="4" tint="0.39997558519241921"/>
        <bgColor indexed="64"/>
      </patternFill>
    </fill>
    <fill>
      <patternFill patternType="solid">
        <fgColor rgb="FF00B050"/>
        <bgColor indexed="64"/>
      </patternFill>
    </fill>
    <fill>
      <patternFill patternType="solid">
        <fgColor theme="4" tint="0.79998168889431442"/>
        <bgColor indexed="64"/>
      </patternFill>
    </fill>
  </fills>
  <borders count="7">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s>
  <cellStyleXfs count="9">
    <xf numFmtId="0" fontId="0" fillId="0" borderId="0"/>
    <xf numFmtId="43" fontId="2" fillId="0" borderId="0" applyFont="0" applyFill="0" applyBorder="0" applyAlignment="0" applyProtection="0"/>
    <xf numFmtId="0" fontId="14" fillId="0" borderId="0"/>
    <xf numFmtId="0" fontId="14" fillId="0" borderId="0"/>
    <xf numFmtId="0" fontId="14" fillId="0" borderId="0"/>
    <xf numFmtId="0" fontId="2" fillId="0" borderId="0"/>
    <xf numFmtId="0" fontId="1" fillId="0" borderId="0"/>
    <xf numFmtId="0" fontId="1" fillId="0" borderId="0"/>
    <xf numFmtId="43" fontId="1" fillId="0" borderId="0" applyFont="0" applyFill="0" applyBorder="0" applyAlignment="0" applyProtection="0"/>
  </cellStyleXfs>
  <cellXfs count="176">
    <xf numFmtId="0" fontId="0" fillId="0" borderId="0" xfId="0" applyAlignment="1">
      <alignment horizontal="left" vertical="top"/>
    </xf>
    <xf numFmtId="0" fontId="4" fillId="0" borderId="1" xfId="0" applyFont="1" applyBorder="1" applyAlignment="1">
      <alignment horizontal="center" vertical="center" wrapText="1"/>
    </xf>
    <xf numFmtId="43" fontId="4" fillId="0" borderId="1" xfId="1" applyFont="1" applyBorder="1" applyAlignment="1">
      <alignment horizontal="center" vertical="center" wrapText="1"/>
    </xf>
    <xf numFmtId="0" fontId="4" fillId="0" borderId="1" xfId="0" applyFont="1" applyBorder="1" applyAlignment="1">
      <alignment horizontal="right" vertical="center" wrapText="1"/>
    </xf>
    <xf numFmtId="2" fontId="4" fillId="0" borderId="1" xfId="0" applyNumberFormat="1" applyFont="1" applyBorder="1" applyAlignment="1">
      <alignment horizontal="center" vertical="center" wrapText="1"/>
    </xf>
    <xf numFmtId="0" fontId="5" fillId="0" borderId="1" xfId="0" applyFont="1" applyBorder="1" applyAlignment="1">
      <alignment horizontal="left" vertical="center" wrapText="1"/>
    </xf>
    <xf numFmtId="1" fontId="6" fillId="0" borderId="1" xfId="0" applyNumberFormat="1" applyFont="1" applyBorder="1" applyAlignment="1">
      <alignment horizontal="center" vertical="center" shrinkToFit="1"/>
    </xf>
    <xf numFmtId="0" fontId="7" fillId="0" borderId="1" xfId="0" applyFont="1" applyBorder="1" applyAlignment="1">
      <alignment horizontal="left" vertical="top" wrapText="1"/>
    </xf>
    <xf numFmtId="0" fontId="7" fillId="0" borderId="1" xfId="0" applyFont="1" applyBorder="1" applyAlignment="1">
      <alignment horizontal="center" vertical="center" wrapText="1"/>
    </xf>
    <xf numFmtId="43" fontId="6" fillId="0" borderId="1" xfId="0" applyNumberFormat="1" applyFont="1" applyBorder="1" applyAlignment="1">
      <alignment horizontal="right" vertical="center"/>
    </xf>
    <xf numFmtId="0" fontId="6" fillId="0" borderId="1" xfId="0" applyFont="1" applyBorder="1" applyAlignment="1">
      <alignment horizontal="center" vertical="center"/>
    </xf>
    <xf numFmtId="0" fontId="6" fillId="0" borderId="1" xfId="0" applyFont="1" applyBorder="1" applyAlignment="1">
      <alignment horizontal="left" vertical="top"/>
    </xf>
    <xf numFmtId="0" fontId="8" fillId="0" borderId="1" xfId="0" applyFont="1" applyBorder="1" applyAlignment="1">
      <alignment horizontal="left" vertical="top"/>
    </xf>
    <xf numFmtId="165" fontId="6" fillId="0" borderId="1" xfId="0" applyNumberFormat="1" applyFont="1" applyBorder="1" applyAlignment="1">
      <alignment horizontal="center" vertical="center" shrinkToFit="1"/>
    </xf>
    <xf numFmtId="2" fontId="6" fillId="0" borderId="1" xfId="0" applyNumberFormat="1" applyFont="1" applyBorder="1" applyAlignment="1">
      <alignment horizontal="center" vertical="center"/>
    </xf>
    <xf numFmtId="0" fontId="6" fillId="0" borderId="1" xfId="0" applyFont="1" applyBorder="1" applyAlignment="1">
      <alignment horizontal="left" vertical="top" wrapText="1"/>
    </xf>
    <xf numFmtId="0" fontId="6" fillId="0" borderId="1" xfId="0" applyFont="1" applyBorder="1" applyAlignment="1">
      <alignment horizontal="center" vertical="center" wrapText="1"/>
    </xf>
    <xf numFmtId="43" fontId="6" fillId="0" borderId="1" xfId="1" applyFont="1" applyBorder="1" applyAlignment="1">
      <alignment horizontal="right" vertical="center"/>
    </xf>
    <xf numFmtId="0" fontId="6" fillId="0" borderId="1" xfId="0" applyFont="1" applyBorder="1" applyAlignment="1">
      <alignment horizontal="right" vertical="center"/>
    </xf>
    <xf numFmtId="43" fontId="6" fillId="0" borderId="1" xfId="1" applyFont="1" applyFill="1" applyBorder="1" applyAlignment="1">
      <alignment vertical="center" wrapText="1"/>
    </xf>
    <xf numFmtId="0" fontId="6" fillId="0" borderId="1" xfId="0" applyFont="1" applyBorder="1" applyAlignment="1">
      <alignment horizontal="left" wrapText="1"/>
    </xf>
    <xf numFmtId="0" fontId="12" fillId="0" borderId="1" xfId="0" applyFont="1" applyBorder="1" applyAlignment="1">
      <alignment horizontal="right" vertical="center"/>
    </xf>
    <xf numFmtId="0" fontId="12" fillId="2" borderId="1" xfId="0" applyFont="1" applyFill="1" applyBorder="1" applyAlignment="1">
      <alignment horizontal="right" vertical="center"/>
    </xf>
    <xf numFmtId="43" fontId="12" fillId="2" borderId="1" xfId="0" applyNumberFormat="1" applyFont="1" applyFill="1" applyBorder="1" applyAlignment="1">
      <alignment horizontal="right" vertical="center"/>
    </xf>
    <xf numFmtId="0" fontId="12" fillId="0" borderId="1" xfId="0" applyFont="1" applyBorder="1" applyAlignment="1">
      <alignment horizontal="right" vertical="top"/>
    </xf>
    <xf numFmtId="43" fontId="12" fillId="0" borderId="1" xfId="0" applyNumberFormat="1" applyFont="1" applyBorder="1" applyAlignment="1">
      <alignment horizontal="right" vertical="center"/>
    </xf>
    <xf numFmtId="0" fontId="12" fillId="0" borderId="1" xfId="0" applyFont="1" applyBorder="1" applyAlignment="1">
      <alignment horizontal="left" vertical="top"/>
    </xf>
    <xf numFmtId="43" fontId="12" fillId="0" borderId="1" xfId="1" applyFont="1" applyBorder="1" applyAlignment="1">
      <alignment horizontal="right" vertical="center"/>
    </xf>
    <xf numFmtId="0" fontId="12" fillId="0" borderId="1" xfId="0" applyFont="1" applyBorder="1" applyAlignment="1">
      <alignment horizontal="center" vertical="center"/>
    </xf>
    <xf numFmtId="43" fontId="12" fillId="3" borderId="1" xfId="0" applyNumberFormat="1" applyFont="1" applyFill="1" applyBorder="1" applyAlignment="1">
      <alignment horizontal="right" vertical="center"/>
    </xf>
    <xf numFmtId="0" fontId="12" fillId="3" borderId="1" xfId="0" applyFont="1" applyFill="1" applyBorder="1" applyAlignment="1">
      <alignment horizontal="center" vertical="center"/>
    </xf>
    <xf numFmtId="0" fontId="12" fillId="3" borderId="1" xfId="0" applyFont="1" applyFill="1" applyBorder="1" applyAlignment="1">
      <alignment horizontal="right" vertical="center"/>
    </xf>
    <xf numFmtId="2" fontId="6" fillId="4" borderId="1" xfId="0" applyNumberFormat="1" applyFont="1" applyFill="1" applyBorder="1" applyAlignment="1">
      <alignment horizontal="center" vertical="center"/>
    </xf>
    <xf numFmtId="2" fontId="6" fillId="5" borderId="1" xfId="0" applyNumberFormat="1" applyFont="1" applyFill="1" applyBorder="1" applyAlignment="1">
      <alignment horizontal="center" vertical="center"/>
    </xf>
    <xf numFmtId="1" fontId="6" fillId="4" borderId="1" xfId="0" applyNumberFormat="1" applyFont="1" applyFill="1" applyBorder="1" applyAlignment="1">
      <alignment horizontal="center" vertical="center" shrinkToFit="1"/>
    </xf>
    <xf numFmtId="2" fontId="6" fillId="0" borderId="1" xfId="0" applyNumberFormat="1" applyFont="1" applyBorder="1" applyAlignment="1">
      <alignment horizontal="right" vertical="center"/>
    </xf>
    <xf numFmtId="0" fontId="15" fillId="0" borderId="1" xfId="0" applyFont="1" applyBorder="1" applyAlignment="1">
      <alignment horizontal="left" vertical="center" wrapText="1"/>
    </xf>
    <xf numFmtId="1" fontId="6" fillId="0" borderId="1" xfId="0" applyNumberFormat="1" applyFont="1" applyBorder="1" applyAlignment="1">
      <alignment horizontal="center" vertical="center" wrapText="1" shrinkToFit="1"/>
    </xf>
    <xf numFmtId="4" fontId="6" fillId="0" borderId="1" xfId="1" applyNumberFormat="1" applyFont="1" applyFill="1" applyBorder="1" applyAlignment="1">
      <alignment horizontal="right" vertical="center" wrapText="1"/>
    </xf>
    <xf numFmtId="4" fontId="6" fillId="0" borderId="1" xfId="0" applyNumberFormat="1" applyFont="1" applyBorder="1" applyAlignment="1">
      <alignment horizontal="right" vertical="center" wrapText="1" shrinkToFit="1"/>
    </xf>
    <xf numFmtId="2" fontId="6" fillId="0" borderId="1" xfId="0" applyNumberFormat="1" applyFont="1" applyBorder="1" applyAlignment="1">
      <alignment horizontal="center" vertical="center" wrapText="1"/>
    </xf>
    <xf numFmtId="166" fontId="6" fillId="0" borderId="1" xfId="1" applyNumberFormat="1" applyFont="1" applyBorder="1" applyAlignment="1">
      <alignment horizontal="center" vertical="center" wrapText="1" shrinkToFit="1"/>
    </xf>
    <xf numFmtId="166" fontId="6" fillId="0" borderId="1" xfId="1" applyNumberFormat="1" applyFont="1" applyBorder="1" applyAlignment="1">
      <alignment horizontal="center" vertical="center" wrapText="1"/>
    </xf>
    <xf numFmtId="1" fontId="6" fillId="0" borderId="1" xfId="0" applyNumberFormat="1" applyFont="1" applyBorder="1" applyAlignment="1">
      <alignment horizontal="left" vertical="center" wrapText="1"/>
    </xf>
    <xf numFmtId="0" fontId="7" fillId="7" borderId="1" xfId="0" applyFont="1" applyFill="1" applyBorder="1" applyAlignment="1">
      <alignment vertical="top" wrapText="1"/>
    </xf>
    <xf numFmtId="2" fontId="6" fillId="7" borderId="1" xfId="0" applyNumberFormat="1" applyFont="1" applyFill="1" applyBorder="1" applyAlignment="1">
      <alignment horizontal="center" vertical="center" wrapText="1"/>
    </xf>
    <xf numFmtId="166" fontId="6" fillId="7" borderId="1" xfId="1" applyNumberFormat="1" applyFont="1" applyFill="1" applyBorder="1" applyAlignment="1">
      <alignment horizontal="right" vertical="center" wrapText="1" shrinkToFit="1"/>
    </xf>
    <xf numFmtId="166" fontId="6" fillId="7" borderId="1" xfId="1" applyNumberFormat="1" applyFont="1" applyFill="1" applyBorder="1" applyAlignment="1">
      <alignment horizontal="right" vertical="center" wrapText="1"/>
    </xf>
    <xf numFmtId="1" fontId="6" fillId="7" borderId="1" xfId="0" applyNumberFormat="1" applyFont="1" applyFill="1" applyBorder="1" applyAlignment="1">
      <alignment horizontal="left" vertical="center" wrapText="1"/>
    </xf>
    <xf numFmtId="0" fontId="6" fillId="7" borderId="1" xfId="0" applyFont="1" applyFill="1" applyBorder="1" applyAlignment="1">
      <alignment horizontal="center" vertical="center" wrapText="1"/>
    </xf>
    <xf numFmtId="0" fontId="6" fillId="7" borderId="1" xfId="0" applyFont="1" applyFill="1" applyBorder="1" applyAlignment="1">
      <alignment horizontal="right" vertical="center" wrapText="1"/>
    </xf>
    <xf numFmtId="1" fontId="6" fillId="7" borderId="1" xfId="0" applyNumberFormat="1" applyFont="1" applyFill="1" applyBorder="1" applyAlignment="1">
      <alignment horizontal="center" vertical="center" wrapText="1"/>
    </xf>
    <xf numFmtId="4" fontId="6" fillId="0" borderId="1" xfId="0" applyNumberFormat="1" applyFont="1" applyBorder="1" applyAlignment="1">
      <alignment horizontal="right" vertical="center" wrapText="1"/>
    </xf>
    <xf numFmtId="2" fontId="6" fillId="0" borderId="1" xfId="0" applyNumberFormat="1" applyFont="1" applyBorder="1" applyAlignment="1">
      <alignment horizontal="center" vertical="center" wrapText="1" shrinkToFit="1"/>
    </xf>
    <xf numFmtId="0" fontId="7" fillId="7" borderId="1" xfId="0" applyFont="1" applyFill="1" applyBorder="1" applyAlignment="1">
      <alignment horizontal="left" vertical="top" wrapText="1"/>
    </xf>
    <xf numFmtId="1" fontId="6" fillId="0" borderId="1" xfId="0" applyNumberFormat="1" applyFont="1" applyBorder="1" applyAlignment="1">
      <alignment horizontal="center" vertical="center"/>
    </xf>
    <xf numFmtId="166" fontId="6" fillId="0" borderId="1" xfId="1" applyNumberFormat="1" applyFont="1" applyBorder="1" applyAlignment="1">
      <alignment horizontal="center" vertical="center"/>
    </xf>
    <xf numFmtId="166" fontId="6" fillId="0" borderId="1" xfId="1" applyNumberFormat="1" applyFont="1" applyBorder="1" applyAlignment="1">
      <alignment horizontal="right" vertical="center"/>
    </xf>
    <xf numFmtId="166" fontId="6" fillId="0" borderId="1" xfId="1" applyNumberFormat="1" applyFont="1" applyBorder="1" applyAlignment="1">
      <alignment horizontal="right" vertical="center" wrapText="1" shrinkToFit="1"/>
    </xf>
    <xf numFmtId="2" fontId="6" fillId="0" borderId="1" xfId="0" applyNumberFormat="1" applyFont="1" applyBorder="1" applyAlignment="1">
      <alignment horizontal="left" vertical="top"/>
    </xf>
    <xf numFmtId="166" fontId="6" fillId="7" borderId="1" xfId="1" applyNumberFormat="1" applyFont="1" applyFill="1" applyBorder="1" applyAlignment="1">
      <alignment horizontal="center" vertical="center" wrapText="1"/>
    </xf>
    <xf numFmtId="2" fontId="10" fillId="4" borderId="1" xfId="0" applyNumberFormat="1" applyFont="1" applyFill="1" applyBorder="1" applyAlignment="1">
      <alignment horizontal="center" vertical="center" wrapText="1"/>
    </xf>
    <xf numFmtId="166" fontId="12" fillId="2" borderId="1" xfId="1" applyNumberFormat="1" applyFont="1" applyFill="1" applyBorder="1" applyAlignment="1">
      <alignment horizontal="center" vertical="center" wrapText="1" shrinkToFit="1"/>
    </xf>
    <xf numFmtId="1" fontId="6" fillId="9" borderId="1" xfId="0" applyNumberFormat="1" applyFont="1" applyFill="1" applyBorder="1" applyAlignment="1">
      <alignment horizontal="center" vertical="center" shrinkToFit="1"/>
    </xf>
    <xf numFmtId="0" fontId="7" fillId="9" borderId="1" xfId="0" applyFont="1" applyFill="1" applyBorder="1" applyAlignment="1">
      <alignment horizontal="left" vertical="top" wrapText="1"/>
    </xf>
    <xf numFmtId="0" fontId="7" fillId="9" borderId="1" xfId="0" applyFont="1" applyFill="1" applyBorder="1" applyAlignment="1">
      <alignment horizontal="center" vertical="center" wrapText="1"/>
    </xf>
    <xf numFmtId="43" fontId="6" fillId="9" borderId="1" xfId="1" applyFont="1" applyFill="1" applyBorder="1" applyAlignment="1">
      <alignment vertical="center" wrapText="1"/>
    </xf>
    <xf numFmtId="43" fontId="6" fillId="9" borderId="1" xfId="0" applyNumberFormat="1" applyFont="1" applyFill="1" applyBorder="1" applyAlignment="1">
      <alignment horizontal="right" vertical="center"/>
    </xf>
    <xf numFmtId="2" fontId="6" fillId="9" borderId="1" xfId="0" applyNumberFormat="1" applyFont="1" applyFill="1" applyBorder="1" applyAlignment="1">
      <alignment horizontal="center" vertical="center"/>
    </xf>
    <xf numFmtId="0" fontId="6" fillId="9" borderId="1" xfId="0" applyFont="1" applyFill="1" applyBorder="1" applyAlignment="1">
      <alignment horizontal="center" vertical="center"/>
    </xf>
    <xf numFmtId="0" fontId="6" fillId="9" borderId="1" xfId="0" applyFont="1" applyFill="1" applyBorder="1" applyAlignment="1">
      <alignment horizontal="left" vertical="top"/>
    </xf>
    <xf numFmtId="0" fontId="6" fillId="0" borderId="1" xfId="0" applyFont="1" applyBorder="1" applyAlignment="1">
      <alignment horizontal="left" vertical="center" wrapText="1"/>
    </xf>
    <xf numFmtId="166" fontId="12" fillId="0" borderId="1" xfId="0" applyNumberFormat="1" applyFont="1" applyBorder="1" applyAlignment="1">
      <alignment horizontal="center" vertical="center"/>
    </xf>
    <xf numFmtId="164" fontId="12" fillId="0" borderId="1" xfId="0" applyNumberFormat="1" applyFont="1" applyBorder="1" applyAlignment="1">
      <alignment horizontal="right" vertical="center"/>
    </xf>
    <xf numFmtId="2" fontId="12" fillId="0" borderId="1" xfId="0" applyNumberFormat="1" applyFont="1" applyBorder="1" applyAlignment="1">
      <alignment horizontal="right" vertical="center"/>
    </xf>
    <xf numFmtId="1" fontId="6" fillId="8" borderId="1" xfId="0" applyNumberFormat="1" applyFont="1" applyFill="1" applyBorder="1" applyAlignment="1">
      <alignment horizontal="center" vertical="center"/>
    </xf>
    <xf numFmtId="166" fontId="12" fillId="8" borderId="1" xfId="1" applyNumberFormat="1" applyFont="1" applyFill="1" applyBorder="1" applyAlignment="1">
      <alignment horizontal="right" vertical="center"/>
    </xf>
    <xf numFmtId="167" fontId="12" fillId="0" borderId="1" xfId="0" applyNumberFormat="1" applyFont="1" applyBorder="1" applyAlignment="1">
      <alignment horizontal="right" vertical="center"/>
    </xf>
    <xf numFmtId="0" fontId="4" fillId="10" borderId="1" xfId="0" applyFont="1" applyFill="1" applyBorder="1" applyAlignment="1">
      <alignment horizontal="right" vertical="center" wrapText="1"/>
    </xf>
    <xf numFmtId="0" fontId="7" fillId="7" borderId="1" xfId="2" applyFont="1" applyFill="1" applyBorder="1" applyAlignment="1">
      <alignment horizontal="left" vertical="top" wrapText="1"/>
    </xf>
    <xf numFmtId="0" fontId="6" fillId="0" borderId="1" xfId="0" applyFont="1" applyBorder="1" applyAlignment="1">
      <alignment horizontal="left" vertical="center"/>
    </xf>
    <xf numFmtId="164" fontId="6" fillId="0" borderId="1" xfId="0" applyNumberFormat="1" applyFont="1" applyBorder="1" applyAlignment="1">
      <alignment horizontal="left" vertical="top"/>
    </xf>
    <xf numFmtId="0" fontId="7" fillId="0" borderId="1" xfId="0" applyFont="1" applyBorder="1" applyAlignment="1">
      <alignment horizontal="left" vertical="center" wrapText="1"/>
    </xf>
    <xf numFmtId="0" fontId="18" fillId="0" borderId="0" xfId="5" applyFont="1" applyAlignment="1">
      <alignment horizontal="left" vertical="top" wrapText="1"/>
    </xf>
    <xf numFmtId="0" fontId="18" fillId="0" borderId="0" xfId="5" applyFont="1" applyAlignment="1">
      <alignment horizontal="center" vertical="center" wrapText="1"/>
    </xf>
    <xf numFmtId="43" fontId="18" fillId="0" borderId="0" xfId="5" applyNumberFormat="1" applyFont="1" applyAlignment="1">
      <alignment horizontal="left" vertical="top" wrapText="1"/>
    </xf>
    <xf numFmtId="0" fontId="18" fillId="0" borderId="1" xfId="5" applyFont="1" applyBorder="1" applyAlignment="1">
      <alignment horizontal="left" vertical="top" wrapText="1"/>
    </xf>
    <xf numFmtId="166" fontId="19" fillId="0" borderId="1" xfId="5" applyNumberFormat="1" applyFont="1" applyBorder="1" applyAlignment="1">
      <alignment horizontal="left" vertical="top" wrapText="1"/>
    </xf>
    <xf numFmtId="0" fontId="18" fillId="0" borderId="1" xfId="5" applyFont="1" applyBorder="1" applyAlignment="1">
      <alignment horizontal="center" vertical="center" wrapText="1"/>
    </xf>
    <xf numFmtId="166" fontId="18" fillId="0" borderId="1" xfId="5" applyNumberFormat="1" applyFont="1" applyBorder="1" applyAlignment="1">
      <alignment horizontal="left" vertical="top" wrapText="1"/>
    </xf>
    <xf numFmtId="0" fontId="20" fillId="0" borderId="1" xfId="6" applyFont="1" applyBorder="1" applyAlignment="1">
      <alignment horizontal="right" vertical="center" wrapText="1"/>
    </xf>
    <xf numFmtId="0" fontId="18" fillId="0" borderId="0" xfId="5" applyFont="1" applyAlignment="1">
      <alignment horizontal="left" vertical="center" wrapText="1"/>
    </xf>
    <xf numFmtId="0" fontId="18" fillId="0" borderId="1" xfId="5" applyFont="1" applyBorder="1" applyAlignment="1">
      <alignment horizontal="left" vertical="center" wrapText="1"/>
    </xf>
    <xf numFmtId="166" fontId="18" fillId="0" borderId="1" xfId="5" applyNumberFormat="1" applyFont="1" applyBorder="1" applyAlignment="1">
      <alignment horizontal="left" vertical="center" wrapText="1"/>
    </xf>
    <xf numFmtId="0" fontId="20" fillId="0" borderId="1" xfId="6" applyFont="1" applyBorder="1" applyAlignment="1">
      <alignment horizontal="left" vertical="center" wrapText="1"/>
    </xf>
    <xf numFmtId="9" fontId="20" fillId="0" borderId="1" xfId="6" applyNumberFormat="1" applyFont="1" applyBorder="1" applyAlignment="1">
      <alignment horizontal="center" vertical="center" wrapText="1"/>
    </xf>
    <xf numFmtId="0" fontId="20" fillId="0" borderId="1" xfId="6" applyFont="1" applyBorder="1" applyAlignment="1">
      <alignment horizontal="center" vertical="center" wrapText="1"/>
    </xf>
    <xf numFmtId="10" fontId="20" fillId="0" borderId="1" xfId="6" applyNumberFormat="1" applyFont="1" applyBorder="1" applyAlignment="1">
      <alignment horizontal="center" vertical="center" wrapText="1"/>
    </xf>
    <xf numFmtId="166" fontId="19" fillId="0" borderId="1" xfId="5" applyNumberFormat="1" applyFont="1" applyBorder="1" applyAlignment="1">
      <alignment horizontal="left" vertical="center" wrapText="1"/>
    </xf>
    <xf numFmtId="0" fontId="19" fillId="0" borderId="1" xfId="5" applyFont="1" applyBorder="1" applyAlignment="1">
      <alignment horizontal="right" vertical="center" wrapText="1"/>
    </xf>
    <xf numFmtId="0" fontId="18" fillId="0" borderId="1" xfId="5" applyFont="1" applyBorder="1" applyAlignment="1">
      <alignment horizontal="right" vertical="center" wrapText="1"/>
    </xf>
    <xf numFmtId="0" fontId="19" fillId="0" borderId="1" xfId="5" applyFont="1" applyBorder="1" applyAlignment="1">
      <alignment horizontal="center" vertical="center" wrapText="1"/>
    </xf>
    <xf numFmtId="0" fontId="19" fillId="0" borderId="1" xfId="5" applyFont="1" applyBorder="1" applyAlignment="1">
      <alignment horizontal="center" vertical="center"/>
    </xf>
    <xf numFmtId="166" fontId="12" fillId="2" borderId="1" xfId="0" applyNumberFormat="1" applyFont="1" applyFill="1" applyBorder="1" applyAlignment="1">
      <alignment horizontal="right" vertical="center"/>
    </xf>
    <xf numFmtId="164" fontId="12" fillId="0" borderId="1" xfId="0" applyNumberFormat="1" applyFont="1" applyBorder="1" applyAlignment="1">
      <alignment horizontal="left" vertical="top"/>
    </xf>
    <xf numFmtId="0" fontId="10" fillId="0" borderId="1" xfId="0" applyFont="1" applyBorder="1" applyAlignment="1">
      <alignment horizontal="right" vertical="center"/>
    </xf>
    <xf numFmtId="1" fontId="6" fillId="5" borderId="1" xfId="0" applyNumberFormat="1" applyFont="1" applyFill="1" applyBorder="1" applyAlignment="1">
      <alignment horizontal="center" vertical="center" shrinkToFit="1"/>
    </xf>
    <xf numFmtId="0" fontId="7" fillId="5" borderId="1" xfId="0" applyFont="1" applyFill="1" applyBorder="1" applyAlignment="1">
      <alignment horizontal="left" vertical="top" wrapText="1"/>
    </xf>
    <xf numFmtId="0" fontId="7" fillId="5" borderId="1" xfId="0" applyFont="1" applyFill="1" applyBorder="1" applyAlignment="1">
      <alignment horizontal="center" vertical="center" wrapText="1"/>
    </xf>
    <xf numFmtId="43" fontId="6" fillId="5" borderId="1" xfId="1" applyFont="1" applyFill="1" applyBorder="1" applyAlignment="1">
      <alignment vertical="center" wrapText="1"/>
    </xf>
    <xf numFmtId="43" fontId="6" fillId="5" borderId="1" xfId="0" applyNumberFormat="1" applyFont="1" applyFill="1" applyBorder="1" applyAlignment="1">
      <alignment horizontal="right" vertical="center"/>
    </xf>
    <xf numFmtId="0" fontId="6" fillId="5" borderId="1" xfId="0" applyFont="1" applyFill="1" applyBorder="1" applyAlignment="1">
      <alignment horizontal="center" vertical="center"/>
    </xf>
    <xf numFmtId="0" fontId="6" fillId="5" borderId="1" xfId="0" applyFont="1" applyFill="1" applyBorder="1" applyAlignment="1">
      <alignment horizontal="left" vertical="top"/>
    </xf>
    <xf numFmtId="0" fontId="6" fillId="0" borderId="1" xfId="0" applyFont="1" applyBorder="1" applyAlignment="1">
      <alignment vertical="top" wrapText="1"/>
    </xf>
    <xf numFmtId="0" fontId="4" fillId="0" borderId="1" xfId="2" applyFont="1" applyBorder="1" applyAlignment="1">
      <alignment vertical="center" wrapText="1"/>
    </xf>
    <xf numFmtId="0" fontId="7" fillId="0" borderId="1" xfId="2" applyFont="1" applyBorder="1" applyAlignment="1">
      <alignment vertical="justify" wrapText="1"/>
    </xf>
    <xf numFmtId="0" fontId="6" fillId="0" borderId="1" xfId="0" applyFont="1" applyBorder="1" applyAlignment="1">
      <alignment vertical="center" wrapText="1"/>
    </xf>
    <xf numFmtId="0" fontId="6" fillId="0" borderId="2" xfId="0" applyFont="1" applyBorder="1" applyAlignment="1">
      <alignment vertical="top" wrapText="1"/>
    </xf>
    <xf numFmtId="0" fontId="22" fillId="0" borderId="2" xfId="0" applyFont="1" applyBorder="1" applyAlignment="1">
      <alignment vertical="top" wrapText="1"/>
    </xf>
    <xf numFmtId="0" fontId="7" fillId="0" borderId="2" xfId="0" applyFont="1" applyBorder="1" applyAlignment="1">
      <alignment vertical="top" wrapText="1"/>
    </xf>
    <xf numFmtId="0" fontId="7" fillId="6" borderId="2" xfId="3" applyFont="1" applyFill="1" applyBorder="1" applyAlignment="1">
      <alignment vertical="top" wrapText="1"/>
    </xf>
    <xf numFmtId="0" fontId="6" fillId="6" borderId="2" xfId="4" applyFont="1" applyFill="1" applyBorder="1" applyAlignment="1">
      <alignment vertical="top" wrapText="1"/>
    </xf>
    <xf numFmtId="43" fontId="12" fillId="2" borderId="1" xfId="1" applyFont="1" applyFill="1" applyBorder="1" applyAlignment="1">
      <alignment horizontal="center" vertical="center" wrapText="1" shrinkToFit="1"/>
    </xf>
    <xf numFmtId="43" fontId="6" fillId="0" borderId="1" xfId="0" applyNumberFormat="1" applyFont="1" applyBorder="1" applyAlignment="1">
      <alignment horizontal="left" vertical="top"/>
    </xf>
    <xf numFmtId="167" fontId="6" fillId="0" borderId="1" xfId="0" applyNumberFormat="1" applyFont="1" applyBorder="1" applyAlignment="1">
      <alignment horizontal="right" vertical="center"/>
    </xf>
    <xf numFmtId="43" fontId="6" fillId="0" borderId="1" xfId="1" applyFont="1" applyBorder="1" applyAlignment="1">
      <alignment horizontal="left" vertical="center"/>
    </xf>
    <xf numFmtId="43" fontId="23" fillId="0" borderId="1" xfId="0" applyNumberFormat="1" applyFont="1" applyBorder="1" applyAlignment="1">
      <alignment horizontal="left" vertical="center"/>
    </xf>
    <xf numFmtId="2" fontId="4" fillId="0" borderId="1" xfId="2" applyNumberFormat="1" applyFont="1" applyBorder="1" applyAlignment="1">
      <alignment vertical="center" wrapText="1"/>
    </xf>
    <xf numFmtId="2" fontId="7" fillId="0" borderId="1" xfId="2" applyNumberFormat="1" applyFont="1" applyBorder="1" applyAlignment="1">
      <alignment vertical="center" wrapText="1"/>
    </xf>
    <xf numFmtId="0" fontId="7" fillId="0" borderId="1" xfId="2" applyFont="1" applyBorder="1" applyAlignment="1">
      <alignment vertical="center" wrapText="1"/>
    </xf>
    <xf numFmtId="2" fontId="6" fillId="0" borderId="1" xfId="0" applyNumberFormat="1" applyFont="1" applyBorder="1" applyAlignment="1">
      <alignment vertical="center" wrapText="1"/>
    </xf>
    <xf numFmtId="0" fontId="6" fillId="0" borderId="1" xfId="0" applyFont="1" applyBorder="1" applyAlignment="1">
      <alignment wrapText="1"/>
    </xf>
    <xf numFmtId="0" fontId="22" fillId="0" borderId="1" xfId="0" applyFont="1" applyBorder="1" applyAlignment="1">
      <alignment horizontal="center" vertical="center" wrapText="1"/>
    </xf>
    <xf numFmtId="0" fontId="22" fillId="0" borderId="1" xfId="0" applyFont="1" applyBorder="1" applyAlignment="1">
      <alignment vertical="top" wrapText="1"/>
    </xf>
    <xf numFmtId="0" fontId="7" fillId="0" borderId="1" xfId="0" applyFont="1" applyBorder="1" applyAlignment="1">
      <alignment vertical="top" wrapText="1"/>
    </xf>
    <xf numFmtId="0" fontId="7" fillId="6" borderId="1" xfId="3" applyFont="1" applyFill="1" applyBorder="1" applyAlignment="1">
      <alignment vertical="top" wrapText="1"/>
    </xf>
    <xf numFmtId="0" fontId="7" fillId="6" borderId="1" xfId="3" applyFont="1" applyFill="1" applyBorder="1" applyAlignment="1">
      <alignment horizontal="center" vertical="center" wrapText="1"/>
    </xf>
    <xf numFmtId="0" fontId="6" fillId="6" borderId="1" xfId="4" applyFont="1" applyFill="1" applyBorder="1" applyAlignment="1">
      <alignment vertical="top" wrapText="1"/>
    </xf>
    <xf numFmtId="0" fontId="6" fillId="6" borderId="1" xfId="4" applyFont="1" applyFill="1" applyBorder="1" applyAlignment="1">
      <alignment horizontal="center" vertical="center" wrapText="1"/>
    </xf>
    <xf numFmtId="0" fontId="24" fillId="0" borderId="1" xfId="0" applyFont="1" applyBorder="1" applyAlignment="1">
      <alignment horizontal="left" vertical="center"/>
    </xf>
    <xf numFmtId="0" fontId="1" fillId="9" borderId="0" xfId="7" applyFill="1"/>
    <xf numFmtId="0" fontId="1" fillId="11" borderId="0" xfId="7" applyFill="1"/>
    <xf numFmtId="0" fontId="1" fillId="12" borderId="0" xfId="7" applyFill="1"/>
    <xf numFmtId="0" fontId="1" fillId="0" borderId="0" xfId="7"/>
    <xf numFmtId="20" fontId="1" fillId="0" borderId="0" xfId="7" applyNumberFormat="1"/>
    <xf numFmtId="0" fontId="1" fillId="0" borderId="0" xfId="7" applyAlignment="1">
      <alignment horizontal="right"/>
    </xf>
    <xf numFmtId="0" fontId="1" fillId="13" borderId="0" xfId="7" applyFill="1"/>
    <xf numFmtId="0" fontId="1" fillId="14" borderId="0" xfId="7" applyFill="1"/>
    <xf numFmtId="0" fontId="0" fillId="0" borderId="1" xfId="0" applyBorder="1" applyAlignment="1">
      <alignment horizontal="left" vertical="top"/>
    </xf>
    <xf numFmtId="2" fontId="27" fillId="0" borderId="1" xfId="0" applyNumberFormat="1" applyFont="1" applyBorder="1" applyAlignment="1">
      <alignment horizontal="center" vertical="center" wrapText="1"/>
    </xf>
    <xf numFmtId="43" fontId="28" fillId="0" borderId="1" xfId="0" applyNumberFormat="1" applyFont="1" applyBorder="1" applyAlignment="1">
      <alignment horizontal="left" vertical="top"/>
    </xf>
    <xf numFmtId="2" fontId="1" fillId="0" borderId="1" xfId="7" applyNumberFormat="1" applyBorder="1" applyAlignment="1">
      <alignment horizontal="center" vertical="center"/>
    </xf>
    <xf numFmtId="0" fontId="1" fillId="0" borderId="1" xfId="7" applyBorder="1" applyAlignment="1">
      <alignment horizontal="center" vertical="center"/>
    </xf>
    <xf numFmtId="0" fontId="1" fillId="0" borderId="1" xfId="7" applyBorder="1" applyAlignment="1">
      <alignment horizontal="right" vertical="center"/>
    </xf>
    <xf numFmtId="43" fontId="0" fillId="0" borderId="1" xfId="8" applyFont="1" applyFill="1" applyBorder="1" applyAlignment="1">
      <alignment horizontal="right" vertical="center"/>
    </xf>
    <xf numFmtId="0" fontId="4" fillId="0" borderId="1" xfId="0" applyFont="1" applyBorder="1" applyAlignment="1">
      <alignment horizontal="right" vertical="top" wrapText="1"/>
    </xf>
    <xf numFmtId="0" fontId="3" fillId="0" borderId="1" xfId="0" applyFont="1" applyBorder="1" applyAlignment="1">
      <alignment horizontal="center" vertical="top" wrapText="1"/>
    </xf>
    <xf numFmtId="0" fontId="6" fillId="0" borderId="1" xfId="0" applyFont="1" applyBorder="1" applyAlignment="1">
      <alignment horizontal="center" vertical="center" wrapText="1"/>
    </xf>
    <xf numFmtId="0" fontId="4" fillId="0" borderId="1" xfId="0" applyFont="1" applyBorder="1" applyAlignment="1">
      <alignment horizontal="center" vertical="center" wrapText="1"/>
    </xf>
    <xf numFmtId="0" fontId="13" fillId="0" borderId="1" xfId="0" applyFont="1" applyBorder="1" applyAlignment="1">
      <alignment horizontal="center" vertical="top" wrapText="1"/>
    </xf>
    <xf numFmtId="0" fontId="21" fillId="0" borderId="1" xfId="5" applyFont="1" applyBorder="1" applyAlignment="1">
      <alignment horizontal="center" wrapText="1"/>
    </xf>
    <xf numFmtId="0" fontId="12" fillId="0" borderId="2" xfId="5" applyFont="1" applyBorder="1" applyAlignment="1">
      <alignment horizontal="center" wrapText="1"/>
    </xf>
    <xf numFmtId="0" fontId="12" fillId="0" borderId="4" xfId="5" applyFont="1" applyBorder="1" applyAlignment="1">
      <alignment horizontal="center" wrapText="1"/>
    </xf>
    <xf numFmtId="0" fontId="12" fillId="0" borderId="3" xfId="5" applyFont="1" applyBorder="1" applyAlignment="1">
      <alignment horizontal="center" wrapText="1"/>
    </xf>
    <xf numFmtId="0" fontId="26" fillId="0" borderId="1" xfId="7" applyFont="1" applyBorder="1" applyAlignment="1">
      <alignment horizontal="center" vertical="center" wrapText="1"/>
    </xf>
    <xf numFmtId="0" fontId="26" fillId="0" borderId="1" xfId="7" applyFont="1" applyBorder="1" applyAlignment="1">
      <alignment horizontal="center" vertical="center"/>
    </xf>
    <xf numFmtId="0" fontId="25" fillId="0" borderId="1" xfId="7" applyFont="1" applyBorder="1" applyAlignment="1">
      <alignment horizontal="center" vertical="center" wrapText="1"/>
    </xf>
    <xf numFmtId="0" fontId="25" fillId="0" borderId="1" xfId="7" applyFont="1" applyBorder="1" applyAlignment="1">
      <alignment horizontal="center" vertical="center"/>
    </xf>
    <xf numFmtId="0" fontId="6" fillId="0" borderId="5" xfId="0" applyFont="1" applyBorder="1" applyAlignment="1">
      <alignment horizontal="center" vertical="top" wrapText="1"/>
    </xf>
    <xf numFmtId="0" fontId="6" fillId="0" borderId="6" xfId="0" applyFont="1" applyBorder="1" applyAlignment="1">
      <alignment horizontal="center" vertical="top" wrapText="1"/>
    </xf>
    <xf numFmtId="0" fontId="6" fillId="0" borderId="5" xfId="0" applyFont="1" applyBorder="1" applyAlignment="1">
      <alignment horizontal="left" vertical="top" wrapText="1"/>
    </xf>
    <xf numFmtId="0" fontId="6" fillId="0" borderId="6" xfId="0" applyFont="1" applyBorder="1" applyAlignment="1">
      <alignment horizontal="left" vertical="top" wrapText="1"/>
    </xf>
    <xf numFmtId="0" fontId="6" fillId="0" borderId="5" xfId="0" applyFont="1" applyBorder="1" applyAlignment="1">
      <alignment horizontal="left" vertical="top" wrapText="1"/>
    </xf>
    <xf numFmtId="0" fontId="6" fillId="0" borderId="6" xfId="0" applyFont="1" applyBorder="1" applyAlignment="1">
      <alignment horizontal="left" vertical="top" wrapText="1"/>
    </xf>
    <xf numFmtId="0" fontId="7" fillId="4" borderId="2" xfId="0" applyFont="1" applyFill="1" applyBorder="1" applyAlignment="1">
      <alignment horizontal="left" vertical="top" wrapText="1"/>
    </xf>
    <xf numFmtId="0" fontId="7" fillId="4" borderId="2" xfId="0" applyFont="1" applyFill="1" applyBorder="1" applyAlignment="1">
      <alignment vertical="top" wrapText="1"/>
    </xf>
  </cellXfs>
  <cellStyles count="9">
    <cellStyle name="20% - Accent6 23 4" xfId="2" xr:uid="{00000000-0005-0000-0000-000000000000}"/>
    <cellStyle name="Comma" xfId="1" builtinId="3"/>
    <cellStyle name="Comma 4 2" xfId="8" xr:uid="{00000000-0005-0000-0000-000002000000}"/>
    <cellStyle name="Excel Built-in Normal 1" xfId="4" xr:uid="{00000000-0005-0000-0000-000003000000}"/>
    <cellStyle name="Normal" xfId="0" builtinId="0"/>
    <cellStyle name="Normal 2" xfId="5" xr:uid="{00000000-0005-0000-0000-000005000000}"/>
    <cellStyle name="Normal 2 2" xfId="3" xr:uid="{00000000-0005-0000-0000-000006000000}"/>
    <cellStyle name="Normal 2 3" xfId="6" xr:uid="{00000000-0005-0000-0000-000007000000}"/>
    <cellStyle name="Normal 3 2" xfId="7" xr:uid="{00000000-0005-0000-0000-000008000000}"/>
  </cellStyles>
  <dxfs count="161">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0000"/>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rgb="FFFF0000"/>
        </patternFill>
      </fill>
    </dxf>
    <dxf>
      <fill>
        <patternFill>
          <bgColor theme="8" tint="0.59996337778862885"/>
        </patternFill>
      </fill>
    </dxf>
    <dxf>
      <fill>
        <patternFill>
          <bgColor theme="5" tint="0.79998168889431442"/>
        </patternFill>
      </fill>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eetMetadata" Target="metadata.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 Id="rId9" Type="http://schemas.microsoft.com/office/2006/relationships/vbaProject" Target="vbaProject.bin"/></Relationships>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pageSetUpPr fitToPage="1"/>
  </sheetPr>
  <dimension ref="A1:R511"/>
  <sheetViews>
    <sheetView tabSelected="1" view="pageBreakPreview" zoomScale="85" zoomScaleNormal="87" zoomScaleSheetLayoutView="85" workbookViewId="0">
      <pane ySplit="3" topLeftCell="A504" activePane="bottomLeft" state="frozen"/>
      <selection pane="bottomLeft" activeCell="A495" sqref="A495:XFD499"/>
    </sheetView>
  </sheetViews>
  <sheetFormatPr defaultColWidth="8.77734375" defaultRowHeight="15" outlineLevelRow="1" x14ac:dyDescent="0.25"/>
  <cols>
    <col min="1" max="1" width="1.77734375" style="11" customWidth="1"/>
    <col min="2" max="2" width="5.77734375" style="11" customWidth="1"/>
    <col min="3" max="3" width="64.33203125" style="11" customWidth="1"/>
    <col min="4" max="4" width="6.5546875" style="11" bestFit="1" customWidth="1"/>
    <col min="5" max="5" width="6.6640625" style="11" bestFit="1" customWidth="1"/>
    <col min="6" max="6" width="16.6640625" style="17" bestFit="1" customWidth="1"/>
    <col min="7" max="7" width="18.44140625" style="18" customWidth="1"/>
    <col min="8" max="8" width="10" style="10" bestFit="1" customWidth="1"/>
    <col min="9" max="9" width="6.6640625" style="10" bestFit="1" customWidth="1"/>
    <col min="10" max="10" width="16.6640625" style="18" bestFit="1" customWidth="1"/>
    <col min="11" max="11" width="18.88671875" style="18" bestFit="1" customWidth="1"/>
    <col min="12" max="12" width="17.21875" style="18" customWidth="1"/>
    <col min="13" max="13" width="16.6640625" style="18" bestFit="1" customWidth="1"/>
    <col min="14" max="14" width="20.44140625" style="11" customWidth="1"/>
    <col min="15" max="15" width="8.77734375" style="11"/>
    <col min="16" max="16" width="9.109375" style="11" bestFit="1" customWidth="1"/>
    <col min="17" max="17" width="23.5546875" style="11" customWidth="1"/>
    <col min="18" max="18" width="23" style="11" customWidth="1"/>
    <col min="19" max="19" width="26.88671875" style="11" customWidth="1"/>
    <col min="20" max="24" width="16.77734375" style="11" customWidth="1"/>
    <col min="25" max="16384" width="8.77734375" style="11"/>
  </cols>
  <sheetData>
    <row r="1" spans="2:18" ht="21" x14ac:dyDescent="0.25">
      <c r="B1" s="156" t="s">
        <v>1</v>
      </c>
      <c r="C1" s="156"/>
      <c r="D1" s="156"/>
      <c r="E1" s="156"/>
      <c r="F1" s="156"/>
      <c r="G1" s="156"/>
      <c r="H1" s="156"/>
      <c r="I1" s="156"/>
      <c r="J1" s="156"/>
      <c r="K1" s="156"/>
      <c r="L1" s="156"/>
      <c r="M1" s="156"/>
      <c r="N1" s="156"/>
    </row>
    <row r="2" spans="2:18" ht="18.600000000000001" customHeight="1" x14ac:dyDescent="0.25">
      <c r="B2" s="157" t="s">
        <v>224</v>
      </c>
      <c r="C2" s="158" t="s">
        <v>2</v>
      </c>
      <c r="D2" s="159" t="s">
        <v>3</v>
      </c>
      <c r="E2" s="159"/>
      <c r="F2" s="159"/>
      <c r="G2" s="159"/>
      <c r="H2" s="159" t="s">
        <v>4</v>
      </c>
      <c r="I2" s="159"/>
      <c r="J2" s="159"/>
      <c r="K2" s="159"/>
      <c r="L2" s="158" t="s">
        <v>5</v>
      </c>
      <c r="M2" s="158" t="s">
        <v>6</v>
      </c>
      <c r="N2" s="158" t="s">
        <v>7</v>
      </c>
    </row>
    <row r="3" spans="2:18" ht="21" customHeight="1" x14ac:dyDescent="0.25">
      <c r="B3" s="157"/>
      <c r="C3" s="158"/>
      <c r="D3" s="1" t="s">
        <v>0</v>
      </c>
      <c r="E3" s="1" t="s">
        <v>8</v>
      </c>
      <c r="F3" s="2" t="s">
        <v>225</v>
      </c>
      <c r="G3" s="3" t="s">
        <v>226</v>
      </c>
      <c r="H3" s="4" t="s">
        <v>0</v>
      </c>
      <c r="I3" s="1" t="s">
        <v>8</v>
      </c>
      <c r="J3" s="2" t="s">
        <v>225</v>
      </c>
      <c r="K3" s="3" t="s">
        <v>226</v>
      </c>
      <c r="L3" s="158"/>
      <c r="M3" s="158"/>
      <c r="N3" s="158"/>
    </row>
    <row r="4" spans="2:18" ht="19.95" customHeight="1" x14ac:dyDescent="0.25">
      <c r="B4" s="16"/>
      <c r="C4" s="1" t="s">
        <v>54</v>
      </c>
      <c r="D4" s="16"/>
      <c r="E4" s="16"/>
      <c r="J4" s="9"/>
      <c r="K4" s="9"/>
    </row>
    <row r="5" spans="2:18" ht="19.95" customHeight="1" x14ac:dyDescent="0.25">
      <c r="B5" s="16"/>
      <c r="C5" s="5" t="s">
        <v>53</v>
      </c>
      <c r="D5" s="16"/>
      <c r="E5" s="16"/>
      <c r="J5" s="9"/>
      <c r="K5" s="9"/>
      <c r="Q5" s="11" t="s">
        <v>347</v>
      </c>
      <c r="R5" s="11" t="s">
        <v>348</v>
      </c>
    </row>
    <row r="6" spans="2:18" ht="45" outlineLevel="1" x14ac:dyDescent="0.25">
      <c r="B6" s="6">
        <v>199</v>
      </c>
      <c r="C6" s="82" t="s">
        <v>55</v>
      </c>
      <c r="D6" s="6">
        <v>2</v>
      </c>
      <c r="E6" s="8" t="s">
        <v>11</v>
      </c>
      <c r="F6" s="19">
        <v>240000</v>
      </c>
      <c r="G6" s="9">
        <f>ROUND(D6*F6,0)</f>
        <v>480000</v>
      </c>
      <c r="H6" s="14">
        <v>2</v>
      </c>
      <c r="I6" s="10" t="s">
        <v>11</v>
      </c>
      <c r="J6" s="9">
        <f t="shared" ref="J6" si="0">F6</f>
        <v>240000</v>
      </c>
      <c r="K6" s="9">
        <f>ROUND(H6*J6,0)</f>
        <v>480000</v>
      </c>
      <c r="L6" s="9">
        <f>ROUND(IF(K6&gt;G6,K6-G6,0),0)</f>
        <v>0</v>
      </c>
      <c r="M6" s="9">
        <f>ROUND(IF(K6&lt;G6,G6-K6,0),0)</f>
        <v>0</v>
      </c>
      <c r="N6" s="71" t="s">
        <v>386</v>
      </c>
      <c r="O6" s="11" t="s">
        <v>339</v>
      </c>
      <c r="P6" s="11" t="str" cm="1">
        <f t="array" ref="P6:P21">_xlfn.UNIQUE(O6:O504)</f>
        <v>EQP</v>
      </c>
      <c r="Q6" s="125">
        <f>SUMIF($O$6:$O$504,P6,$G$6:$G$504)</f>
        <v>26020475</v>
      </c>
      <c r="R6" s="125">
        <f>SUMIF($O$6:$O$504,P6,$K$6:$K$504)</f>
        <v>25910475</v>
      </c>
    </row>
    <row r="7" spans="2:18" outlineLevel="1" x14ac:dyDescent="0.25">
      <c r="B7" s="20"/>
      <c r="C7" s="71"/>
      <c r="D7" s="20"/>
      <c r="E7" s="20"/>
      <c r="G7" s="9"/>
      <c r="H7" s="14"/>
      <c r="K7" s="9"/>
      <c r="L7" s="9"/>
      <c r="M7" s="9"/>
      <c r="O7" s="11" t="s">
        <v>339</v>
      </c>
      <c r="P7" s="11">
        <v>0</v>
      </c>
      <c r="Q7" s="125">
        <f>SUMIF($O$6:$O$504,P7,$G$6:$G$504)</f>
        <v>0</v>
      </c>
      <c r="R7" s="125">
        <f>SUMIF($O$6:$O$504,P7,$K$6:$K$504)</f>
        <v>0</v>
      </c>
    </row>
    <row r="8" spans="2:18" ht="45" outlineLevel="1" x14ac:dyDescent="0.25">
      <c r="B8" s="6">
        <v>200</v>
      </c>
      <c r="C8" s="82" t="s">
        <v>56</v>
      </c>
      <c r="D8" s="6">
        <v>2</v>
      </c>
      <c r="E8" s="8" t="s">
        <v>11</v>
      </c>
      <c r="F8" s="19">
        <v>49500</v>
      </c>
      <c r="G8" s="9">
        <f t="shared" ref="G8:G70" si="1">ROUND(D8*F8,0)</f>
        <v>99000</v>
      </c>
      <c r="H8" s="14">
        <v>2</v>
      </c>
      <c r="I8" s="10" t="s">
        <v>11</v>
      </c>
      <c r="J8" s="9">
        <f>F8</f>
        <v>49500</v>
      </c>
      <c r="K8" s="9">
        <f t="shared" ref="K8:K70" si="2">ROUND(H8*J8,0)</f>
        <v>99000</v>
      </c>
      <c r="L8" s="9">
        <f>ROUND(IF(K8&gt;G8,K8-G8,0),0)</f>
        <v>0</v>
      </c>
      <c r="M8" s="9">
        <f>ROUND(IF(K8&lt;G8,G8-K8,0),0)</f>
        <v>0</v>
      </c>
      <c r="N8" s="71" t="s">
        <v>386</v>
      </c>
      <c r="O8" s="11" t="s">
        <v>339</v>
      </c>
      <c r="P8" s="11" t="str">
        <v>C</v>
      </c>
      <c r="Q8" s="125">
        <f>SUMIF($O$6:$O$504,P8,$G$6:$G$504)</f>
        <v>5915529</v>
      </c>
      <c r="R8" s="125">
        <f>SUMIF($O$6:$O$504,P8,$K$6:$K$504)</f>
        <v>6901373</v>
      </c>
    </row>
    <row r="9" spans="2:18" outlineLevel="1" x14ac:dyDescent="0.25">
      <c r="G9" s="9"/>
      <c r="H9" s="14"/>
      <c r="K9" s="9"/>
      <c r="L9" s="9"/>
      <c r="M9" s="9"/>
      <c r="O9" s="11" t="s">
        <v>339</v>
      </c>
      <c r="P9" s="11" t="str">
        <v>P</v>
      </c>
      <c r="Q9" s="125">
        <f>SUMIF($O$6:$O$504,P9,$G$6:$G$504)</f>
        <v>215122</v>
      </c>
      <c r="R9" s="125">
        <f>SUMIF($O$6:$O$504,P9,$K$6:$K$504)</f>
        <v>136951</v>
      </c>
    </row>
    <row r="10" spans="2:18" ht="45" outlineLevel="1" x14ac:dyDescent="0.25">
      <c r="B10" s="6">
        <v>201</v>
      </c>
      <c r="C10" s="82" t="s">
        <v>57</v>
      </c>
      <c r="D10" s="6">
        <v>2</v>
      </c>
      <c r="E10" s="8" t="s">
        <v>11</v>
      </c>
      <c r="F10" s="19">
        <v>1365000</v>
      </c>
      <c r="G10" s="9">
        <f t="shared" si="1"/>
        <v>2730000</v>
      </c>
      <c r="H10" s="14">
        <v>2</v>
      </c>
      <c r="I10" s="10" t="s">
        <v>11</v>
      </c>
      <c r="J10" s="9">
        <f>F10</f>
        <v>1365000</v>
      </c>
      <c r="K10" s="9">
        <f t="shared" si="2"/>
        <v>2730000</v>
      </c>
      <c r="L10" s="9">
        <f>ROUND(IF(K10&gt;G10,K10-G10,0),0)</f>
        <v>0</v>
      </c>
      <c r="M10" s="9">
        <f>ROUND(IF(K10&lt;G10,G10-K10,0),0)</f>
        <v>0</v>
      </c>
      <c r="N10" s="71" t="s">
        <v>386</v>
      </c>
      <c r="O10" s="11" t="s">
        <v>339</v>
      </c>
      <c r="P10" s="11" t="str">
        <v>E</v>
      </c>
      <c r="Q10" s="125">
        <f>SUMIF($O$6:$O$504,P10,$G$6:$G$504)</f>
        <v>3719411</v>
      </c>
      <c r="R10" s="125">
        <f>SUMIF($O$6:$O$504,P10,$K$6:$K$504)</f>
        <v>5641335</v>
      </c>
    </row>
    <row r="11" spans="2:18" outlineLevel="1" x14ac:dyDescent="0.25">
      <c r="G11" s="9"/>
      <c r="H11" s="14"/>
      <c r="K11" s="9"/>
      <c r="L11" s="9"/>
      <c r="M11" s="9"/>
      <c r="O11" s="11" t="s">
        <v>339</v>
      </c>
      <c r="P11" s="11" t="str">
        <v>ELV</v>
      </c>
      <c r="Q11" s="125">
        <f>SUMIF($O$6:$O$504,P11,$G$6:$G$504)</f>
        <v>689000</v>
      </c>
      <c r="R11" s="125">
        <f>SUMIF($O$6:$O$504,P11,$K$6:$K$504)</f>
        <v>689000</v>
      </c>
    </row>
    <row r="12" spans="2:18" ht="60" outlineLevel="1" x14ac:dyDescent="0.25">
      <c r="B12" s="6">
        <v>202</v>
      </c>
      <c r="C12" s="7" t="s">
        <v>58</v>
      </c>
      <c r="D12" s="6">
        <v>1</v>
      </c>
      <c r="E12" s="8" t="s">
        <v>11</v>
      </c>
      <c r="F12" s="19">
        <v>563750</v>
      </c>
      <c r="G12" s="9">
        <f t="shared" si="1"/>
        <v>563750</v>
      </c>
      <c r="H12" s="14">
        <v>1</v>
      </c>
      <c r="I12" s="10" t="s">
        <v>11</v>
      </c>
      <c r="J12" s="9">
        <f>F12</f>
        <v>563750</v>
      </c>
      <c r="K12" s="9">
        <f t="shared" si="2"/>
        <v>563750</v>
      </c>
      <c r="L12" s="9">
        <f>ROUND(IF(K12&gt;G12,K12-G12,0),0)</f>
        <v>0</v>
      </c>
      <c r="M12" s="9">
        <f>ROUND(IF(K12&lt;G12,G12-K12,0),0)</f>
        <v>0</v>
      </c>
      <c r="N12" s="71" t="s">
        <v>386</v>
      </c>
      <c r="O12" s="11" t="s">
        <v>339</v>
      </c>
      <c r="P12" s="11" t="str">
        <v>FF</v>
      </c>
      <c r="Q12" s="125">
        <f>SUMIF($O$6:$O$504,P12,$G$6:$G$504)</f>
        <v>873880</v>
      </c>
      <c r="R12" s="125">
        <f>SUMIF($O$6:$O$504,P12,$K$6:$K$504)</f>
        <v>873880</v>
      </c>
    </row>
    <row r="13" spans="2:18" ht="15.6" outlineLevel="1" x14ac:dyDescent="0.25">
      <c r="C13" s="21"/>
      <c r="G13" s="9"/>
      <c r="H13" s="14"/>
      <c r="J13" s="9"/>
      <c r="K13" s="9"/>
      <c r="L13" s="9"/>
      <c r="M13" s="9"/>
      <c r="O13" s="11" t="s">
        <v>339</v>
      </c>
      <c r="P13" s="11" t="str">
        <v>AC</v>
      </c>
      <c r="Q13" s="125">
        <f>SUMIF($O$6:$O$504,P13,$G$6:$G$504)</f>
        <v>3946060</v>
      </c>
      <c r="R13" s="125">
        <f>SUMIF($O$6:$O$504,P13,$K$6:$K$504)</f>
        <v>2729746</v>
      </c>
    </row>
    <row r="14" spans="2:18" ht="45" outlineLevel="1" x14ac:dyDescent="0.25">
      <c r="B14" s="6">
        <v>203</v>
      </c>
      <c r="C14" s="82" t="s">
        <v>59</v>
      </c>
      <c r="D14" s="6">
        <v>1</v>
      </c>
      <c r="E14" s="8" t="s">
        <v>11</v>
      </c>
      <c r="F14" s="19">
        <v>312500</v>
      </c>
      <c r="G14" s="9">
        <f t="shared" si="1"/>
        <v>312500</v>
      </c>
      <c r="H14" s="14">
        <v>1</v>
      </c>
      <c r="I14" s="10" t="s">
        <v>11</v>
      </c>
      <c r="J14" s="9">
        <f>F14</f>
        <v>312500</v>
      </c>
      <c r="K14" s="9">
        <f t="shared" si="2"/>
        <v>312500</v>
      </c>
      <c r="L14" s="9">
        <f>ROUND(IF(K14&gt;G14,K14-G14,0),0)</f>
        <v>0</v>
      </c>
      <c r="M14" s="9">
        <f>ROUND(IF(K14&lt;G14,G14-K14,0),0)</f>
        <v>0</v>
      </c>
      <c r="N14" s="71" t="s">
        <v>386</v>
      </c>
      <c r="O14" s="11" t="s">
        <v>339</v>
      </c>
      <c r="P14" s="11" t="str">
        <v>G</v>
      </c>
      <c r="Q14" s="125">
        <f>SUMIF($O$6:$O$504,P14,$G$6:$G$504)</f>
        <v>1025822</v>
      </c>
      <c r="R14" s="125">
        <f>SUMIF($O$6:$O$504,P14,$K$6:$K$504)</f>
        <v>1141255</v>
      </c>
    </row>
    <row r="15" spans="2:18" outlineLevel="1" x14ac:dyDescent="0.25">
      <c r="C15" s="80"/>
      <c r="G15" s="9"/>
      <c r="H15" s="14"/>
      <c r="K15" s="9"/>
      <c r="L15" s="9"/>
      <c r="M15" s="9"/>
      <c r="O15" s="11" t="s">
        <v>339</v>
      </c>
      <c r="P15" s="11" t="str">
        <v>EQPS</v>
      </c>
      <c r="Q15" s="125">
        <f>SUMIF($O$6:$O$504,P15,$G$6:$G$504)</f>
        <v>0</v>
      </c>
      <c r="R15" s="125">
        <f>SUMIF($O$6:$O$504,P15,$K$6:$K$504)</f>
        <v>303100</v>
      </c>
    </row>
    <row r="16" spans="2:18" ht="45" outlineLevel="1" x14ac:dyDescent="0.25">
      <c r="B16" s="6">
        <v>204</v>
      </c>
      <c r="C16" s="82" t="s">
        <v>60</v>
      </c>
      <c r="D16" s="6">
        <v>1</v>
      </c>
      <c r="E16" s="8" t="s">
        <v>11</v>
      </c>
      <c r="F16" s="19">
        <v>187500</v>
      </c>
      <c r="G16" s="9">
        <f t="shared" si="1"/>
        <v>187500</v>
      </c>
      <c r="H16" s="14">
        <v>1</v>
      </c>
      <c r="I16" s="10" t="s">
        <v>11</v>
      </c>
      <c r="J16" s="9">
        <f>F16</f>
        <v>187500</v>
      </c>
      <c r="K16" s="9">
        <f t="shared" si="2"/>
        <v>187500</v>
      </c>
      <c r="L16" s="9">
        <f>ROUND(IF(K16&gt;G16,K16-G16,0),0)</f>
        <v>0</v>
      </c>
      <c r="M16" s="9">
        <f>ROUND(IF(K16&lt;G16,G16-K16,0),0)</f>
        <v>0</v>
      </c>
      <c r="N16" s="71" t="s">
        <v>386</v>
      </c>
      <c r="O16" s="11" t="s">
        <v>339</v>
      </c>
      <c r="P16" s="11" t="str">
        <v>CS</v>
      </c>
      <c r="Q16" s="125">
        <f>SUMIF($O$6:$O$504,P16,$G$6:$G$504)</f>
        <v>0</v>
      </c>
      <c r="R16" s="125">
        <f>SUMIF($O$6:$O$504,P16,$K$6:$K$504)</f>
        <v>754834</v>
      </c>
    </row>
    <row r="17" spans="2:18" outlineLevel="1" x14ac:dyDescent="0.25">
      <c r="G17" s="9"/>
      <c r="H17" s="14"/>
      <c r="K17" s="9"/>
      <c r="L17" s="9"/>
      <c r="M17" s="9"/>
      <c r="O17" s="11" t="s">
        <v>339</v>
      </c>
      <c r="P17" s="11" t="str">
        <v>PS</v>
      </c>
      <c r="Q17" s="125">
        <f>SUMIF($O$6:$O$504,P17,$G$6:$G$504)</f>
        <v>0</v>
      </c>
      <c r="R17" s="125">
        <f>SUMIF($O$6:$O$504,P17,$K$6:$K$504)</f>
        <v>21025</v>
      </c>
    </row>
    <row r="18" spans="2:18" ht="45" outlineLevel="1" x14ac:dyDescent="0.25">
      <c r="B18" s="6">
        <v>205</v>
      </c>
      <c r="C18" s="82" t="s">
        <v>61</v>
      </c>
      <c r="D18" s="6">
        <v>1</v>
      </c>
      <c r="E18" s="8" t="s">
        <v>11</v>
      </c>
      <c r="F18" s="19">
        <v>687500</v>
      </c>
      <c r="G18" s="9">
        <f t="shared" si="1"/>
        <v>687500</v>
      </c>
      <c r="H18" s="14">
        <v>1</v>
      </c>
      <c r="I18" s="10" t="s">
        <v>11</v>
      </c>
      <c r="J18" s="9">
        <f>F18</f>
        <v>687500</v>
      </c>
      <c r="K18" s="9">
        <f t="shared" si="2"/>
        <v>687500</v>
      </c>
      <c r="L18" s="9">
        <f>ROUND(IF(K18&gt;G18,K18-G18,0),0)</f>
        <v>0</v>
      </c>
      <c r="M18" s="9">
        <f>ROUND(IF(K18&lt;G18,G18-K18,0),0)</f>
        <v>0</v>
      </c>
      <c r="N18" s="71" t="s">
        <v>386</v>
      </c>
      <c r="O18" s="11" t="s">
        <v>339</v>
      </c>
      <c r="P18" s="11" t="str">
        <v>ES</v>
      </c>
      <c r="Q18" s="125">
        <f>SUMIF($O$6:$O$504,P18,$G$6:$G$504)</f>
        <v>0</v>
      </c>
      <c r="R18" s="125">
        <f>SUMIF($O$6:$O$504,P18,$K$6:$K$504)</f>
        <v>450720</v>
      </c>
    </row>
    <row r="19" spans="2:18" outlineLevel="1" x14ac:dyDescent="0.25">
      <c r="C19" s="80"/>
      <c r="G19" s="9"/>
      <c r="H19" s="14"/>
      <c r="K19" s="9"/>
      <c r="L19" s="9"/>
      <c r="M19" s="9"/>
      <c r="O19" s="11" t="s">
        <v>339</v>
      </c>
      <c r="P19" s="11" t="str">
        <v>FFS</v>
      </c>
      <c r="Q19" s="125">
        <f>SUMIF($O$6:$O$504,P19,$G$6:$G$504)</f>
        <v>0</v>
      </c>
      <c r="R19" s="125">
        <f>SUMIF($O$6:$O$504,P19,$K$6:$K$504)</f>
        <v>291366</v>
      </c>
    </row>
    <row r="20" spans="2:18" ht="45" outlineLevel="1" x14ac:dyDescent="0.25">
      <c r="B20" s="6">
        <v>206</v>
      </c>
      <c r="C20" s="82" t="s">
        <v>62</v>
      </c>
      <c r="D20" s="6">
        <v>1</v>
      </c>
      <c r="E20" s="8" t="s">
        <v>11</v>
      </c>
      <c r="F20" s="19">
        <v>96250</v>
      </c>
      <c r="G20" s="9">
        <f t="shared" si="1"/>
        <v>96250</v>
      </c>
      <c r="H20" s="14">
        <v>1</v>
      </c>
      <c r="I20" s="10" t="s">
        <v>11</v>
      </c>
      <c r="J20" s="9">
        <f>F20</f>
        <v>96250</v>
      </c>
      <c r="K20" s="9">
        <f t="shared" si="2"/>
        <v>96250</v>
      </c>
      <c r="L20" s="9">
        <f>ROUND(IF(K20&gt;G20,K20-G20,0),0)</f>
        <v>0</v>
      </c>
      <c r="M20" s="9">
        <f>ROUND(IF(K20&lt;G20,G20-K20,0),0)</f>
        <v>0</v>
      </c>
      <c r="N20" s="71" t="s">
        <v>386</v>
      </c>
      <c r="O20" s="11" t="s">
        <v>339</v>
      </c>
      <c r="P20" s="11" t="str">
        <v>ACS</v>
      </c>
      <c r="Q20" s="125">
        <f>SUMIF($O$6:$O$504,P20,$G$6:$G$504)</f>
        <v>0</v>
      </c>
      <c r="R20" s="125">
        <f>SUMIF($O$6:$O$504,P20,$K$6:$K$504)</f>
        <v>1681050</v>
      </c>
    </row>
    <row r="21" spans="2:18" outlineLevel="1" x14ac:dyDescent="0.25">
      <c r="C21" s="80"/>
      <c r="G21" s="9"/>
      <c r="H21" s="14"/>
      <c r="K21" s="9"/>
      <c r="L21" s="9"/>
      <c r="M21" s="9"/>
      <c r="O21" s="11" t="s">
        <v>339</v>
      </c>
      <c r="P21" s="11" t="str">
        <v>GS</v>
      </c>
      <c r="Q21" s="125">
        <f>SUMIF($O$6:$O$504,P21,$G$6:$G$504)</f>
        <v>0</v>
      </c>
      <c r="R21" s="125">
        <f>SUMIF($O$6:$O$504,P21,$K$6:$K$504)</f>
        <v>814670</v>
      </c>
    </row>
    <row r="22" spans="2:18" ht="45" outlineLevel="1" x14ac:dyDescent="0.25">
      <c r="B22" s="6">
        <v>207</v>
      </c>
      <c r="C22" s="82" t="s">
        <v>63</v>
      </c>
      <c r="D22" s="6">
        <v>2</v>
      </c>
      <c r="E22" s="8" t="s">
        <v>11</v>
      </c>
      <c r="F22" s="19">
        <v>825000</v>
      </c>
      <c r="G22" s="9">
        <f t="shared" si="1"/>
        <v>1650000</v>
      </c>
      <c r="H22" s="14">
        <v>2</v>
      </c>
      <c r="I22" s="10" t="s">
        <v>11</v>
      </c>
      <c r="J22" s="9">
        <f>F22</f>
        <v>825000</v>
      </c>
      <c r="K22" s="9">
        <f t="shared" si="2"/>
        <v>1650000</v>
      </c>
      <c r="L22" s="9">
        <f>ROUND(IF(K22&gt;G22,K22-G22,0),0)</f>
        <v>0</v>
      </c>
      <c r="M22" s="9">
        <f>ROUND(IF(K22&lt;G22,G22-K22,0),0)</f>
        <v>0</v>
      </c>
      <c r="N22" s="71" t="s">
        <v>386</v>
      </c>
      <c r="O22" s="11" t="s">
        <v>339</v>
      </c>
      <c r="Q22" s="126">
        <f>SUM(Q6:Q21)</f>
        <v>42405299</v>
      </c>
      <c r="R22" s="126">
        <f>SUM(R6:R21)</f>
        <v>48340780</v>
      </c>
    </row>
    <row r="23" spans="2:18" outlineLevel="1" x14ac:dyDescent="0.25">
      <c r="C23" s="80"/>
      <c r="G23" s="9"/>
      <c r="H23" s="14"/>
      <c r="K23" s="9"/>
      <c r="L23" s="9"/>
      <c r="M23" s="9"/>
      <c r="O23" s="11" t="s">
        <v>339</v>
      </c>
    </row>
    <row r="24" spans="2:18" ht="45" outlineLevel="1" x14ac:dyDescent="0.25">
      <c r="B24" s="6">
        <v>208</v>
      </c>
      <c r="C24" s="82" t="s">
        <v>64</v>
      </c>
      <c r="D24" s="6">
        <v>1</v>
      </c>
      <c r="E24" s="8" t="s">
        <v>11</v>
      </c>
      <c r="F24" s="19">
        <v>825000</v>
      </c>
      <c r="G24" s="9">
        <f t="shared" si="1"/>
        <v>825000</v>
      </c>
      <c r="H24" s="14">
        <v>1</v>
      </c>
      <c r="I24" s="10" t="s">
        <v>11</v>
      </c>
      <c r="J24" s="9">
        <f>F24</f>
        <v>825000</v>
      </c>
      <c r="K24" s="9">
        <f t="shared" si="2"/>
        <v>825000</v>
      </c>
      <c r="L24" s="9">
        <f>ROUND(IF(K24&gt;G24,K24-G24,0),0)</f>
        <v>0</v>
      </c>
      <c r="M24" s="9">
        <f>ROUND(IF(K24&lt;G24,G24-K24,0),0)</f>
        <v>0</v>
      </c>
      <c r="N24" s="71" t="s">
        <v>386</v>
      </c>
      <c r="O24" s="11" t="s">
        <v>339</v>
      </c>
    </row>
    <row r="25" spans="2:18" outlineLevel="1" x14ac:dyDescent="0.25">
      <c r="C25" s="80"/>
      <c r="G25" s="9"/>
      <c r="H25" s="14"/>
      <c r="K25" s="9"/>
      <c r="L25" s="9"/>
      <c r="M25" s="9"/>
      <c r="O25" s="11" t="s">
        <v>339</v>
      </c>
    </row>
    <row r="26" spans="2:18" ht="45" outlineLevel="1" x14ac:dyDescent="0.25">
      <c r="B26" s="6">
        <v>209</v>
      </c>
      <c r="C26" s="82" t="s">
        <v>65</v>
      </c>
      <c r="D26" s="6">
        <v>1</v>
      </c>
      <c r="E26" s="8" t="s">
        <v>11</v>
      </c>
      <c r="F26" s="19">
        <v>309000</v>
      </c>
      <c r="G26" s="9">
        <f t="shared" si="1"/>
        <v>309000</v>
      </c>
      <c r="H26" s="14">
        <v>1</v>
      </c>
      <c r="I26" s="10" t="s">
        <v>11</v>
      </c>
      <c r="J26" s="9">
        <f>F26</f>
        <v>309000</v>
      </c>
      <c r="K26" s="9">
        <f t="shared" si="2"/>
        <v>309000</v>
      </c>
      <c r="L26" s="9">
        <f>ROUND(IF(K26&gt;G26,K26-G26,0),0)</f>
        <v>0</v>
      </c>
      <c r="M26" s="9">
        <f>ROUND(IF(K26&lt;G26,G26-K26,0),0)</f>
        <v>0</v>
      </c>
      <c r="N26" s="71" t="s">
        <v>386</v>
      </c>
      <c r="O26" s="11" t="s">
        <v>339</v>
      </c>
    </row>
    <row r="27" spans="2:18" outlineLevel="1" x14ac:dyDescent="0.25">
      <c r="C27" s="80"/>
      <c r="G27" s="9"/>
      <c r="H27" s="14"/>
      <c r="K27" s="9"/>
      <c r="L27" s="9">
        <f t="shared" ref="L27:L90" si="3">ROUND(IF(K27&gt;G27,K27-G27,0),0)</f>
        <v>0</v>
      </c>
      <c r="M27" s="9">
        <f t="shared" ref="M27:M90" si="4">ROUND(IF(K27&lt;G27,G27-K27,0),0)</f>
        <v>0</v>
      </c>
      <c r="O27" s="11" t="s">
        <v>339</v>
      </c>
    </row>
    <row r="28" spans="2:18" ht="45" outlineLevel="1" x14ac:dyDescent="0.25">
      <c r="B28" s="6">
        <v>210</v>
      </c>
      <c r="C28" s="82" t="s">
        <v>66</v>
      </c>
      <c r="D28" s="6">
        <v>1</v>
      </c>
      <c r="E28" s="8" t="s">
        <v>11</v>
      </c>
      <c r="F28" s="19">
        <v>2625000</v>
      </c>
      <c r="G28" s="9">
        <f t="shared" si="1"/>
        <v>2625000</v>
      </c>
      <c r="H28" s="14">
        <v>1</v>
      </c>
      <c r="I28" s="10" t="s">
        <v>11</v>
      </c>
      <c r="J28" s="9">
        <f>F28</f>
        <v>2625000</v>
      </c>
      <c r="K28" s="9">
        <f t="shared" si="2"/>
        <v>2625000</v>
      </c>
      <c r="L28" s="9">
        <f t="shared" si="3"/>
        <v>0</v>
      </c>
      <c r="M28" s="9">
        <f t="shared" si="4"/>
        <v>0</v>
      </c>
      <c r="N28" s="71" t="s">
        <v>386</v>
      </c>
      <c r="O28" s="11" t="s">
        <v>339</v>
      </c>
    </row>
    <row r="29" spans="2:18" outlineLevel="1" x14ac:dyDescent="0.25">
      <c r="C29" s="80"/>
      <c r="G29" s="9"/>
      <c r="H29" s="14"/>
      <c r="K29" s="9"/>
      <c r="L29" s="9">
        <f t="shared" si="3"/>
        <v>0</v>
      </c>
      <c r="M29" s="9">
        <f t="shared" si="4"/>
        <v>0</v>
      </c>
      <c r="O29" s="11" t="s">
        <v>339</v>
      </c>
    </row>
    <row r="30" spans="2:18" ht="45" outlineLevel="1" x14ac:dyDescent="0.25">
      <c r="B30" s="6">
        <v>211</v>
      </c>
      <c r="C30" s="82" t="s">
        <v>67</v>
      </c>
      <c r="D30" s="6">
        <v>1</v>
      </c>
      <c r="E30" s="8" t="s">
        <v>11</v>
      </c>
      <c r="F30" s="19">
        <v>2560000</v>
      </c>
      <c r="G30" s="9">
        <f t="shared" si="1"/>
        <v>2560000</v>
      </c>
      <c r="H30" s="14">
        <v>1</v>
      </c>
      <c r="I30" s="10" t="s">
        <v>11</v>
      </c>
      <c r="J30" s="9">
        <f>F30</f>
        <v>2560000</v>
      </c>
      <c r="K30" s="9">
        <f t="shared" si="2"/>
        <v>2560000</v>
      </c>
      <c r="L30" s="9">
        <f t="shared" si="3"/>
        <v>0</v>
      </c>
      <c r="M30" s="9">
        <f t="shared" si="4"/>
        <v>0</v>
      </c>
      <c r="N30" s="71" t="s">
        <v>386</v>
      </c>
      <c r="O30" s="11" t="s">
        <v>339</v>
      </c>
    </row>
    <row r="31" spans="2:18" outlineLevel="1" x14ac:dyDescent="0.25">
      <c r="C31" s="80"/>
      <c r="G31" s="9"/>
      <c r="H31" s="14"/>
      <c r="K31" s="9"/>
      <c r="L31" s="9">
        <f t="shared" si="3"/>
        <v>0</v>
      </c>
      <c r="M31" s="9">
        <f t="shared" si="4"/>
        <v>0</v>
      </c>
      <c r="O31" s="11" t="s">
        <v>339</v>
      </c>
    </row>
    <row r="32" spans="2:18" ht="45" outlineLevel="1" x14ac:dyDescent="0.25">
      <c r="B32" s="6">
        <v>212</v>
      </c>
      <c r="C32" s="82" t="s">
        <v>68</v>
      </c>
      <c r="D32" s="6">
        <v>1</v>
      </c>
      <c r="E32" s="8" t="s">
        <v>11</v>
      </c>
      <c r="F32" s="19">
        <v>61875</v>
      </c>
      <c r="G32" s="9">
        <f t="shared" si="1"/>
        <v>61875</v>
      </c>
      <c r="H32" s="14">
        <v>1</v>
      </c>
      <c r="I32" s="10" t="s">
        <v>11</v>
      </c>
      <c r="J32" s="9">
        <f>F32</f>
        <v>61875</v>
      </c>
      <c r="K32" s="9">
        <f t="shared" si="2"/>
        <v>61875</v>
      </c>
      <c r="L32" s="9">
        <f t="shared" si="3"/>
        <v>0</v>
      </c>
      <c r="M32" s="9">
        <f t="shared" si="4"/>
        <v>0</v>
      </c>
      <c r="N32" s="71" t="s">
        <v>386</v>
      </c>
      <c r="O32" s="11" t="s">
        <v>339</v>
      </c>
    </row>
    <row r="33" spans="2:15" outlineLevel="1" x14ac:dyDescent="0.25">
      <c r="C33" s="80"/>
      <c r="G33" s="9"/>
      <c r="H33" s="14"/>
      <c r="K33" s="9"/>
      <c r="L33" s="9">
        <f t="shared" si="3"/>
        <v>0</v>
      </c>
      <c r="M33" s="9">
        <f t="shared" si="4"/>
        <v>0</v>
      </c>
      <c r="O33" s="11" t="s">
        <v>339</v>
      </c>
    </row>
    <row r="34" spans="2:15" ht="45" outlineLevel="1" x14ac:dyDescent="0.25">
      <c r="B34" s="6">
        <v>213</v>
      </c>
      <c r="C34" s="82" t="s">
        <v>69</v>
      </c>
      <c r="D34" s="6">
        <v>2</v>
      </c>
      <c r="E34" s="8" t="s">
        <v>11</v>
      </c>
      <c r="F34" s="19">
        <v>50000</v>
      </c>
      <c r="G34" s="9">
        <f t="shared" si="1"/>
        <v>100000</v>
      </c>
      <c r="H34" s="14">
        <v>2</v>
      </c>
      <c r="I34" s="10" t="s">
        <v>11</v>
      </c>
      <c r="J34" s="9">
        <f>F34</f>
        <v>50000</v>
      </c>
      <c r="K34" s="9">
        <f t="shared" si="2"/>
        <v>100000</v>
      </c>
      <c r="L34" s="9">
        <f t="shared" si="3"/>
        <v>0</v>
      </c>
      <c r="M34" s="9">
        <f t="shared" si="4"/>
        <v>0</v>
      </c>
      <c r="N34" s="71" t="s">
        <v>386</v>
      </c>
      <c r="O34" s="11" t="s">
        <v>339</v>
      </c>
    </row>
    <row r="35" spans="2:15" outlineLevel="1" x14ac:dyDescent="0.25">
      <c r="C35" s="80"/>
      <c r="G35" s="9"/>
      <c r="H35" s="14"/>
      <c r="K35" s="9"/>
      <c r="L35" s="9">
        <f t="shared" si="3"/>
        <v>0</v>
      </c>
      <c r="M35" s="9">
        <f t="shared" si="4"/>
        <v>0</v>
      </c>
      <c r="O35" s="11" t="s">
        <v>339</v>
      </c>
    </row>
    <row r="36" spans="2:15" ht="45" outlineLevel="1" x14ac:dyDescent="0.25">
      <c r="B36" s="6">
        <v>214</v>
      </c>
      <c r="C36" s="82" t="s">
        <v>70</v>
      </c>
      <c r="D36" s="6">
        <v>1</v>
      </c>
      <c r="E36" s="8" t="s">
        <v>11</v>
      </c>
      <c r="F36" s="19">
        <v>378000</v>
      </c>
      <c r="G36" s="9">
        <f t="shared" si="1"/>
        <v>378000</v>
      </c>
      <c r="H36" s="14">
        <v>1</v>
      </c>
      <c r="I36" s="10" t="s">
        <v>11</v>
      </c>
      <c r="J36" s="9">
        <f>F36</f>
        <v>378000</v>
      </c>
      <c r="K36" s="9">
        <f t="shared" si="2"/>
        <v>378000</v>
      </c>
      <c r="L36" s="9">
        <f t="shared" si="3"/>
        <v>0</v>
      </c>
      <c r="M36" s="9">
        <f t="shared" si="4"/>
        <v>0</v>
      </c>
      <c r="N36" s="71" t="s">
        <v>386</v>
      </c>
      <c r="O36" s="11" t="s">
        <v>339</v>
      </c>
    </row>
    <row r="37" spans="2:15" outlineLevel="1" x14ac:dyDescent="0.25">
      <c r="C37" s="80"/>
      <c r="G37" s="9"/>
      <c r="H37" s="14"/>
      <c r="K37" s="9"/>
      <c r="L37" s="9">
        <f t="shared" si="3"/>
        <v>0</v>
      </c>
      <c r="M37" s="9">
        <f t="shared" si="4"/>
        <v>0</v>
      </c>
      <c r="O37" s="11" t="s">
        <v>339</v>
      </c>
    </row>
    <row r="38" spans="2:15" ht="45" outlineLevel="1" x14ac:dyDescent="0.25">
      <c r="B38" s="6">
        <v>215</v>
      </c>
      <c r="C38" s="82" t="s">
        <v>71</v>
      </c>
      <c r="D38" s="6">
        <v>1</v>
      </c>
      <c r="E38" s="8" t="s">
        <v>11</v>
      </c>
      <c r="F38" s="19">
        <v>93750</v>
      </c>
      <c r="G38" s="9">
        <f t="shared" si="1"/>
        <v>93750</v>
      </c>
      <c r="H38" s="14">
        <v>1</v>
      </c>
      <c r="I38" s="10" t="s">
        <v>11</v>
      </c>
      <c r="J38" s="9">
        <f>F38</f>
        <v>93750</v>
      </c>
      <c r="K38" s="9">
        <f t="shared" si="2"/>
        <v>93750</v>
      </c>
      <c r="L38" s="9">
        <f t="shared" si="3"/>
        <v>0</v>
      </c>
      <c r="M38" s="9">
        <f t="shared" si="4"/>
        <v>0</v>
      </c>
      <c r="N38" s="71" t="s">
        <v>386</v>
      </c>
      <c r="O38" s="11" t="s">
        <v>339</v>
      </c>
    </row>
    <row r="39" spans="2:15" outlineLevel="1" x14ac:dyDescent="0.25">
      <c r="C39" s="80"/>
      <c r="G39" s="9"/>
      <c r="H39" s="14"/>
      <c r="K39" s="9"/>
      <c r="L39" s="9">
        <f t="shared" si="3"/>
        <v>0</v>
      </c>
      <c r="M39" s="9">
        <f t="shared" si="4"/>
        <v>0</v>
      </c>
      <c r="O39" s="11" t="s">
        <v>339</v>
      </c>
    </row>
    <row r="40" spans="2:15" ht="45" outlineLevel="1" x14ac:dyDescent="0.25">
      <c r="B40" s="6">
        <v>216</v>
      </c>
      <c r="C40" s="82" t="s">
        <v>72</v>
      </c>
      <c r="D40" s="6">
        <v>1</v>
      </c>
      <c r="E40" s="8" t="s">
        <v>11</v>
      </c>
      <c r="F40" s="19">
        <v>731250</v>
      </c>
      <c r="G40" s="9">
        <f t="shared" si="1"/>
        <v>731250</v>
      </c>
      <c r="H40" s="14">
        <v>1</v>
      </c>
      <c r="I40" s="10" t="s">
        <v>11</v>
      </c>
      <c r="J40" s="9">
        <f>F40</f>
        <v>731250</v>
      </c>
      <c r="K40" s="9">
        <f t="shared" si="2"/>
        <v>731250</v>
      </c>
      <c r="L40" s="9">
        <f t="shared" si="3"/>
        <v>0</v>
      </c>
      <c r="M40" s="9">
        <f t="shared" si="4"/>
        <v>0</v>
      </c>
      <c r="N40" s="71" t="s">
        <v>386</v>
      </c>
      <c r="O40" s="11" t="s">
        <v>339</v>
      </c>
    </row>
    <row r="41" spans="2:15" outlineLevel="1" x14ac:dyDescent="0.25">
      <c r="C41" s="80"/>
      <c r="G41" s="9"/>
      <c r="H41" s="14"/>
      <c r="K41" s="9"/>
      <c r="L41" s="9">
        <f t="shared" si="3"/>
        <v>0</v>
      </c>
      <c r="M41" s="9">
        <f t="shared" si="4"/>
        <v>0</v>
      </c>
      <c r="O41" s="11" t="s">
        <v>339</v>
      </c>
    </row>
    <row r="42" spans="2:15" ht="45" outlineLevel="1" x14ac:dyDescent="0.25">
      <c r="B42" s="6">
        <v>217</v>
      </c>
      <c r="C42" s="82" t="s">
        <v>73</v>
      </c>
      <c r="D42" s="6">
        <v>1</v>
      </c>
      <c r="E42" s="8" t="s">
        <v>11</v>
      </c>
      <c r="F42" s="19">
        <v>75625</v>
      </c>
      <c r="G42" s="9">
        <f t="shared" si="1"/>
        <v>75625</v>
      </c>
      <c r="H42" s="14">
        <v>1</v>
      </c>
      <c r="I42" s="10" t="s">
        <v>11</v>
      </c>
      <c r="J42" s="9">
        <f>F42</f>
        <v>75625</v>
      </c>
      <c r="K42" s="9">
        <f t="shared" si="2"/>
        <v>75625</v>
      </c>
      <c r="L42" s="9">
        <f t="shared" si="3"/>
        <v>0</v>
      </c>
      <c r="M42" s="9">
        <f t="shared" si="4"/>
        <v>0</v>
      </c>
      <c r="N42" s="71" t="s">
        <v>386</v>
      </c>
      <c r="O42" s="11" t="s">
        <v>339</v>
      </c>
    </row>
    <row r="43" spans="2:15" outlineLevel="1" x14ac:dyDescent="0.25">
      <c r="C43" s="80"/>
      <c r="G43" s="9"/>
      <c r="H43" s="14"/>
      <c r="K43" s="9"/>
      <c r="L43" s="9">
        <f t="shared" si="3"/>
        <v>0</v>
      </c>
      <c r="M43" s="9">
        <f t="shared" si="4"/>
        <v>0</v>
      </c>
      <c r="O43" s="11" t="s">
        <v>339</v>
      </c>
    </row>
    <row r="44" spans="2:15" ht="45" outlineLevel="1" x14ac:dyDescent="0.25">
      <c r="B44" s="6">
        <v>218</v>
      </c>
      <c r="C44" s="82" t="s">
        <v>74</v>
      </c>
      <c r="D44" s="6">
        <v>1</v>
      </c>
      <c r="E44" s="8" t="s">
        <v>11</v>
      </c>
      <c r="F44" s="19">
        <v>41250</v>
      </c>
      <c r="G44" s="9">
        <f t="shared" si="1"/>
        <v>41250</v>
      </c>
      <c r="H44" s="14">
        <v>1</v>
      </c>
      <c r="I44" s="10" t="s">
        <v>11</v>
      </c>
      <c r="J44" s="9">
        <f>F44</f>
        <v>41250</v>
      </c>
      <c r="K44" s="9">
        <f t="shared" si="2"/>
        <v>41250</v>
      </c>
      <c r="L44" s="9">
        <f t="shared" si="3"/>
        <v>0</v>
      </c>
      <c r="M44" s="9">
        <f t="shared" si="4"/>
        <v>0</v>
      </c>
      <c r="N44" s="71" t="s">
        <v>386</v>
      </c>
      <c r="O44" s="11" t="s">
        <v>339</v>
      </c>
    </row>
    <row r="45" spans="2:15" outlineLevel="1" x14ac:dyDescent="0.25">
      <c r="C45" s="80"/>
      <c r="G45" s="9"/>
      <c r="H45" s="14"/>
      <c r="K45" s="9"/>
      <c r="L45" s="9">
        <f t="shared" si="3"/>
        <v>0</v>
      </c>
      <c r="M45" s="9">
        <f t="shared" si="4"/>
        <v>0</v>
      </c>
      <c r="O45" s="11" t="s">
        <v>339</v>
      </c>
    </row>
    <row r="46" spans="2:15" ht="45" outlineLevel="1" x14ac:dyDescent="0.25">
      <c r="B46" s="6">
        <v>219</v>
      </c>
      <c r="C46" s="82" t="s">
        <v>75</v>
      </c>
      <c r="D46" s="6">
        <v>1</v>
      </c>
      <c r="E46" s="8" t="s">
        <v>11</v>
      </c>
      <c r="F46" s="19">
        <v>250000</v>
      </c>
      <c r="G46" s="9">
        <f t="shared" si="1"/>
        <v>250000</v>
      </c>
      <c r="H46" s="14">
        <v>1</v>
      </c>
      <c r="I46" s="10" t="s">
        <v>11</v>
      </c>
      <c r="J46" s="9">
        <f>F46</f>
        <v>250000</v>
      </c>
      <c r="K46" s="9">
        <f t="shared" si="2"/>
        <v>250000</v>
      </c>
      <c r="L46" s="9">
        <f t="shared" si="3"/>
        <v>0</v>
      </c>
      <c r="M46" s="9">
        <f t="shared" si="4"/>
        <v>0</v>
      </c>
      <c r="N46" s="71" t="s">
        <v>386</v>
      </c>
      <c r="O46" s="11" t="s">
        <v>339</v>
      </c>
    </row>
    <row r="47" spans="2:15" outlineLevel="1" x14ac:dyDescent="0.25">
      <c r="C47" s="80"/>
      <c r="G47" s="9"/>
      <c r="H47" s="14"/>
      <c r="K47" s="9"/>
      <c r="L47" s="9">
        <f t="shared" si="3"/>
        <v>0</v>
      </c>
      <c r="M47" s="9">
        <f t="shared" si="4"/>
        <v>0</v>
      </c>
      <c r="O47" s="11" t="s">
        <v>339</v>
      </c>
    </row>
    <row r="48" spans="2:15" ht="45" outlineLevel="1" x14ac:dyDescent="0.25">
      <c r="B48" s="6">
        <v>220</v>
      </c>
      <c r="C48" s="82" t="s">
        <v>76</v>
      </c>
      <c r="D48" s="6">
        <v>1</v>
      </c>
      <c r="E48" s="8" t="s">
        <v>11</v>
      </c>
      <c r="F48" s="19">
        <v>34500</v>
      </c>
      <c r="G48" s="9">
        <f t="shared" si="1"/>
        <v>34500</v>
      </c>
      <c r="H48" s="14">
        <v>1</v>
      </c>
      <c r="I48" s="10" t="s">
        <v>11</v>
      </c>
      <c r="J48" s="9">
        <f>F48</f>
        <v>34500</v>
      </c>
      <c r="K48" s="9">
        <f t="shared" si="2"/>
        <v>34500</v>
      </c>
      <c r="L48" s="9">
        <f t="shared" si="3"/>
        <v>0</v>
      </c>
      <c r="M48" s="9">
        <f t="shared" si="4"/>
        <v>0</v>
      </c>
      <c r="N48" s="71" t="s">
        <v>386</v>
      </c>
      <c r="O48" s="11" t="s">
        <v>339</v>
      </c>
    </row>
    <row r="49" spans="2:15" outlineLevel="1" x14ac:dyDescent="0.25">
      <c r="C49" s="80"/>
      <c r="G49" s="9"/>
      <c r="H49" s="14"/>
      <c r="K49" s="9"/>
      <c r="L49" s="9">
        <f t="shared" si="3"/>
        <v>0</v>
      </c>
      <c r="M49" s="9">
        <f t="shared" si="4"/>
        <v>0</v>
      </c>
      <c r="O49" s="11" t="s">
        <v>339</v>
      </c>
    </row>
    <row r="50" spans="2:15" ht="45" outlineLevel="1" x14ac:dyDescent="0.25">
      <c r="B50" s="6">
        <v>221</v>
      </c>
      <c r="C50" s="82" t="s">
        <v>77</v>
      </c>
      <c r="D50" s="6">
        <v>1</v>
      </c>
      <c r="E50" s="8" t="s">
        <v>11</v>
      </c>
      <c r="F50" s="19">
        <v>563750</v>
      </c>
      <c r="G50" s="9">
        <f t="shared" si="1"/>
        <v>563750</v>
      </c>
      <c r="H50" s="14">
        <v>1</v>
      </c>
      <c r="I50" s="10" t="s">
        <v>11</v>
      </c>
      <c r="J50" s="9">
        <f>F50</f>
        <v>563750</v>
      </c>
      <c r="K50" s="9">
        <f t="shared" si="2"/>
        <v>563750</v>
      </c>
      <c r="L50" s="9">
        <f t="shared" si="3"/>
        <v>0</v>
      </c>
      <c r="M50" s="9">
        <f t="shared" si="4"/>
        <v>0</v>
      </c>
      <c r="N50" s="71" t="s">
        <v>386</v>
      </c>
      <c r="O50" s="11" t="s">
        <v>339</v>
      </c>
    </row>
    <row r="51" spans="2:15" outlineLevel="1" x14ac:dyDescent="0.25">
      <c r="C51" s="80"/>
      <c r="G51" s="9"/>
      <c r="H51" s="14"/>
      <c r="K51" s="9"/>
      <c r="L51" s="9">
        <f t="shared" si="3"/>
        <v>0</v>
      </c>
      <c r="M51" s="9">
        <f t="shared" si="4"/>
        <v>0</v>
      </c>
      <c r="O51" s="11" t="s">
        <v>339</v>
      </c>
    </row>
    <row r="52" spans="2:15" ht="45" outlineLevel="1" x14ac:dyDescent="0.25">
      <c r="B52" s="6">
        <v>222</v>
      </c>
      <c r="C52" s="82" t="s">
        <v>78</v>
      </c>
      <c r="D52" s="6">
        <v>1</v>
      </c>
      <c r="E52" s="8" t="s">
        <v>11</v>
      </c>
      <c r="F52" s="19">
        <v>103125</v>
      </c>
      <c r="G52" s="9">
        <f t="shared" si="1"/>
        <v>103125</v>
      </c>
      <c r="H52" s="14">
        <v>1</v>
      </c>
      <c r="I52" s="10" t="s">
        <v>11</v>
      </c>
      <c r="J52" s="9">
        <f>F52</f>
        <v>103125</v>
      </c>
      <c r="K52" s="9">
        <f t="shared" si="2"/>
        <v>103125</v>
      </c>
      <c r="L52" s="9">
        <f t="shared" si="3"/>
        <v>0</v>
      </c>
      <c r="M52" s="9">
        <f t="shared" si="4"/>
        <v>0</v>
      </c>
      <c r="N52" s="71" t="s">
        <v>386</v>
      </c>
      <c r="O52" s="11" t="s">
        <v>339</v>
      </c>
    </row>
    <row r="53" spans="2:15" outlineLevel="1" x14ac:dyDescent="0.25">
      <c r="C53" s="80"/>
      <c r="G53" s="9"/>
      <c r="H53" s="14"/>
      <c r="K53" s="9"/>
      <c r="L53" s="9">
        <f t="shared" si="3"/>
        <v>0</v>
      </c>
      <c r="M53" s="9">
        <f t="shared" si="4"/>
        <v>0</v>
      </c>
      <c r="O53" s="11" t="s">
        <v>339</v>
      </c>
    </row>
    <row r="54" spans="2:15" ht="45" outlineLevel="1" x14ac:dyDescent="0.25">
      <c r="B54" s="6">
        <v>223</v>
      </c>
      <c r="C54" s="82" t="s">
        <v>79</v>
      </c>
      <c r="D54" s="6">
        <v>1</v>
      </c>
      <c r="E54" s="8" t="s">
        <v>11</v>
      </c>
      <c r="F54" s="19">
        <v>225000</v>
      </c>
      <c r="G54" s="9">
        <f t="shared" si="1"/>
        <v>225000</v>
      </c>
      <c r="H54" s="14">
        <v>1</v>
      </c>
      <c r="I54" s="10" t="s">
        <v>11</v>
      </c>
      <c r="J54" s="9">
        <f>F54</f>
        <v>225000</v>
      </c>
      <c r="K54" s="9">
        <f t="shared" si="2"/>
        <v>225000</v>
      </c>
      <c r="L54" s="9">
        <f t="shared" si="3"/>
        <v>0</v>
      </c>
      <c r="M54" s="9">
        <f t="shared" si="4"/>
        <v>0</v>
      </c>
      <c r="N54" s="71" t="s">
        <v>386</v>
      </c>
      <c r="O54" s="11" t="s">
        <v>339</v>
      </c>
    </row>
    <row r="55" spans="2:15" outlineLevel="1" x14ac:dyDescent="0.25">
      <c r="C55" s="80"/>
      <c r="G55" s="9"/>
      <c r="H55" s="14"/>
      <c r="K55" s="9"/>
      <c r="L55" s="9">
        <f t="shared" si="3"/>
        <v>0</v>
      </c>
      <c r="M55" s="9">
        <f t="shared" si="4"/>
        <v>0</v>
      </c>
      <c r="O55" s="11" t="s">
        <v>339</v>
      </c>
    </row>
    <row r="56" spans="2:15" ht="45" outlineLevel="1" x14ac:dyDescent="0.25">
      <c r="B56" s="6">
        <v>224</v>
      </c>
      <c r="C56" s="82" t="s">
        <v>80</v>
      </c>
      <c r="D56" s="6">
        <v>2</v>
      </c>
      <c r="E56" s="8" t="s">
        <v>11</v>
      </c>
      <c r="F56" s="19">
        <v>61875</v>
      </c>
      <c r="G56" s="9">
        <f t="shared" si="1"/>
        <v>123750</v>
      </c>
      <c r="H56" s="14">
        <v>2</v>
      </c>
      <c r="I56" s="10" t="s">
        <v>11</v>
      </c>
      <c r="J56" s="9">
        <f>F56</f>
        <v>61875</v>
      </c>
      <c r="K56" s="9">
        <f t="shared" si="2"/>
        <v>123750</v>
      </c>
      <c r="L56" s="9">
        <f t="shared" si="3"/>
        <v>0</v>
      </c>
      <c r="M56" s="9">
        <f t="shared" si="4"/>
        <v>0</v>
      </c>
      <c r="N56" s="71" t="s">
        <v>386</v>
      </c>
      <c r="O56" s="11" t="s">
        <v>339</v>
      </c>
    </row>
    <row r="57" spans="2:15" outlineLevel="1" x14ac:dyDescent="0.25">
      <c r="C57" s="80"/>
      <c r="G57" s="9"/>
      <c r="H57" s="14"/>
      <c r="K57" s="9"/>
      <c r="L57" s="9">
        <f t="shared" si="3"/>
        <v>0</v>
      </c>
      <c r="M57" s="9">
        <f t="shared" si="4"/>
        <v>0</v>
      </c>
      <c r="O57" s="11" t="s">
        <v>339</v>
      </c>
    </row>
    <row r="58" spans="2:15" ht="45" outlineLevel="1" x14ac:dyDescent="0.25">
      <c r="B58" s="6">
        <v>225</v>
      </c>
      <c r="C58" s="82" t="s">
        <v>81</v>
      </c>
      <c r="D58" s="6">
        <v>1</v>
      </c>
      <c r="E58" s="8" t="s">
        <v>11</v>
      </c>
      <c r="F58" s="19">
        <v>312500</v>
      </c>
      <c r="G58" s="9">
        <f t="shared" si="1"/>
        <v>312500</v>
      </c>
      <c r="H58" s="14">
        <v>1</v>
      </c>
      <c r="I58" s="10" t="s">
        <v>11</v>
      </c>
      <c r="J58" s="9">
        <f>F58</f>
        <v>312500</v>
      </c>
      <c r="K58" s="9">
        <f t="shared" si="2"/>
        <v>312500</v>
      </c>
      <c r="L58" s="9">
        <f t="shared" si="3"/>
        <v>0</v>
      </c>
      <c r="M58" s="9">
        <f t="shared" si="4"/>
        <v>0</v>
      </c>
      <c r="N58" s="71" t="s">
        <v>386</v>
      </c>
      <c r="O58" s="11" t="s">
        <v>339</v>
      </c>
    </row>
    <row r="59" spans="2:15" outlineLevel="1" x14ac:dyDescent="0.25">
      <c r="C59" s="80"/>
      <c r="G59" s="9"/>
      <c r="H59" s="14"/>
      <c r="K59" s="9"/>
      <c r="L59" s="9">
        <f t="shared" si="3"/>
        <v>0</v>
      </c>
      <c r="M59" s="9">
        <f t="shared" si="4"/>
        <v>0</v>
      </c>
      <c r="O59" s="11" t="s">
        <v>339</v>
      </c>
    </row>
    <row r="60" spans="2:15" ht="45" outlineLevel="1" x14ac:dyDescent="0.25">
      <c r="B60" s="6">
        <v>226</v>
      </c>
      <c r="C60" s="82" t="s">
        <v>82</v>
      </c>
      <c r="D60" s="6">
        <v>2</v>
      </c>
      <c r="E60" s="8" t="s">
        <v>11</v>
      </c>
      <c r="F60" s="19">
        <v>280000</v>
      </c>
      <c r="G60" s="9">
        <f t="shared" si="1"/>
        <v>560000</v>
      </c>
      <c r="H60" s="14">
        <v>2</v>
      </c>
      <c r="I60" s="10" t="s">
        <v>11</v>
      </c>
      <c r="J60" s="9">
        <f>F60</f>
        <v>280000</v>
      </c>
      <c r="K60" s="9">
        <f t="shared" si="2"/>
        <v>560000</v>
      </c>
      <c r="L60" s="9">
        <f t="shared" si="3"/>
        <v>0</v>
      </c>
      <c r="M60" s="9">
        <f t="shared" si="4"/>
        <v>0</v>
      </c>
      <c r="N60" s="71" t="s">
        <v>386</v>
      </c>
      <c r="O60" s="11" t="s">
        <v>339</v>
      </c>
    </row>
    <row r="61" spans="2:15" outlineLevel="1" x14ac:dyDescent="0.25">
      <c r="C61" s="80"/>
      <c r="G61" s="9"/>
      <c r="H61" s="14"/>
      <c r="K61" s="9"/>
      <c r="L61" s="9">
        <f t="shared" si="3"/>
        <v>0</v>
      </c>
      <c r="M61" s="9">
        <f t="shared" si="4"/>
        <v>0</v>
      </c>
      <c r="O61" s="11" t="s">
        <v>339</v>
      </c>
    </row>
    <row r="62" spans="2:15" ht="45" outlineLevel="1" x14ac:dyDescent="0.25">
      <c r="B62" s="6">
        <v>227</v>
      </c>
      <c r="C62" s="82" t="s">
        <v>83</v>
      </c>
      <c r="D62" s="6">
        <v>1</v>
      </c>
      <c r="E62" s="8" t="s">
        <v>11</v>
      </c>
      <c r="F62" s="19">
        <v>49500</v>
      </c>
      <c r="G62" s="9">
        <f t="shared" si="1"/>
        <v>49500</v>
      </c>
      <c r="H62" s="14">
        <v>1</v>
      </c>
      <c r="I62" s="10" t="s">
        <v>11</v>
      </c>
      <c r="J62" s="9">
        <f>F62</f>
        <v>49500</v>
      </c>
      <c r="K62" s="9">
        <f t="shared" si="2"/>
        <v>49500</v>
      </c>
      <c r="L62" s="9">
        <f t="shared" si="3"/>
        <v>0</v>
      </c>
      <c r="M62" s="9">
        <f t="shared" si="4"/>
        <v>0</v>
      </c>
      <c r="N62" s="71" t="s">
        <v>386</v>
      </c>
      <c r="O62" s="11" t="s">
        <v>339</v>
      </c>
    </row>
    <row r="63" spans="2:15" outlineLevel="1" x14ac:dyDescent="0.25">
      <c r="C63" s="80"/>
      <c r="G63" s="9"/>
      <c r="H63" s="14"/>
      <c r="K63" s="9"/>
      <c r="L63" s="9">
        <f t="shared" si="3"/>
        <v>0</v>
      </c>
      <c r="M63" s="9">
        <f t="shared" si="4"/>
        <v>0</v>
      </c>
      <c r="O63" s="11" t="s">
        <v>339</v>
      </c>
    </row>
    <row r="64" spans="2:15" ht="45" outlineLevel="1" x14ac:dyDescent="0.25">
      <c r="B64" s="6">
        <v>228</v>
      </c>
      <c r="C64" s="82" t="s">
        <v>84</v>
      </c>
      <c r="D64" s="6">
        <v>1</v>
      </c>
      <c r="E64" s="8" t="s">
        <v>11</v>
      </c>
      <c r="F64" s="19">
        <v>937500</v>
      </c>
      <c r="G64" s="9">
        <f t="shared" si="1"/>
        <v>937500</v>
      </c>
      <c r="H64" s="14">
        <v>1</v>
      </c>
      <c r="I64" s="10" t="s">
        <v>11</v>
      </c>
      <c r="J64" s="9">
        <f>F64</f>
        <v>937500</v>
      </c>
      <c r="K64" s="9">
        <f t="shared" si="2"/>
        <v>937500</v>
      </c>
      <c r="L64" s="9">
        <f t="shared" si="3"/>
        <v>0</v>
      </c>
      <c r="M64" s="9">
        <f t="shared" si="4"/>
        <v>0</v>
      </c>
      <c r="N64" s="71" t="s">
        <v>386</v>
      </c>
      <c r="O64" s="11" t="s">
        <v>339</v>
      </c>
    </row>
    <row r="65" spans="2:15" outlineLevel="1" x14ac:dyDescent="0.25">
      <c r="C65" s="80"/>
      <c r="G65" s="9"/>
      <c r="H65" s="14"/>
      <c r="K65" s="9"/>
      <c r="L65" s="9">
        <f t="shared" si="3"/>
        <v>0</v>
      </c>
      <c r="M65" s="9">
        <f t="shared" si="4"/>
        <v>0</v>
      </c>
      <c r="O65" s="11" t="s">
        <v>339</v>
      </c>
    </row>
    <row r="66" spans="2:15" ht="45" outlineLevel="1" x14ac:dyDescent="0.25">
      <c r="B66" s="6">
        <v>229</v>
      </c>
      <c r="C66" s="82" t="s">
        <v>85</v>
      </c>
      <c r="D66" s="6">
        <v>1</v>
      </c>
      <c r="E66" s="8" t="s">
        <v>11</v>
      </c>
      <c r="F66" s="19">
        <v>562500</v>
      </c>
      <c r="G66" s="9">
        <f t="shared" si="1"/>
        <v>562500</v>
      </c>
      <c r="H66" s="14">
        <v>1</v>
      </c>
      <c r="I66" s="10" t="s">
        <v>11</v>
      </c>
      <c r="J66" s="9">
        <f>F66</f>
        <v>562500</v>
      </c>
      <c r="K66" s="9">
        <f t="shared" si="2"/>
        <v>562500</v>
      </c>
      <c r="L66" s="9">
        <f t="shared" si="3"/>
        <v>0</v>
      </c>
      <c r="M66" s="9">
        <f t="shared" si="4"/>
        <v>0</v>
      </c>
      <c r="N66" s="71" t="s">
        <v>386</v>
      </c>
      <c r="O66" s="11" t="s">
        <v>339</v>
      </c>
    </row>
    <row r="67" spans="2:15" outlineLevel="1" x14ac:dyDescent="0.25">
      <c r="C67" s="80"/>
      <c r="G67" s="9"/>
      <c r="H67" s="14"/>
      <c r="K67" s="9"/>
      <c r="L67" s="9">
        <f t="shared" si="3"/>
        <v>0</v>
      </c>
      <c r="M67" s="9">
        <f t="shared" si="4"/>
        <v>0</v>
      </c>
      <c r="O67" s="11" t="s">
        <v>339</v>
      </c>
    </row>
    <row r="68" spans="2:15" ht="45" outlineLevel="1" x14ac:dyDescent="0.25">
      <c r="B68" s="6">
        <v>230</v>
      </c>
      <c r="C68" s="82" t="s">
        <v>86</v>
      </c>
      <c r="D68" s="6">
        <v>1</v>
      </c>
      <c r="E68" s="8" t="s">
        <v>11</v>
      </c>
      <c r="F68" s="19">
        <v>2125000</v>
      </c>
      <c r="G68" s="9">
        <f t="shared" si="1"/>
        <v>2125000</v>
      </c>
      <c r="H68" s="14">
        <v>1</v>
      </c>
      <c r="I68" s="10" t="s">
        <v>11</v>
      </c>
      <c r="J68" s="9">
        <f>F68</f>
        <v>2125000</v>
      </c>
      <c r="K68" s="9">
        <f t="shared" si="2"/>
        <v>2125000</v>
      </c>
      <c r="L68" s="9">
        <f t="shared" si="3"/>
        <v>0</v>
      </c>
      <c r="M68" s="9">
        <f t="shared" si="4"/>
        <v>0</v>
      </c>
      <c r="N68" s="71" t="s">
        <v>386</v>
      </c>
      <c r="O68" s="11" t="s">
        <v>339</v>
      </c>
    </row>
    <row r="69" spans="2:15" outlineLevel="1" x14ac:dyDescent="0.25">
      <c r="C69" s="80"/>
      <c r="G69" s="9"/>
      <c r="H69" s="14"/>
      <c r="K69" s="9"/>
      <c r="L69" s="9">
        <f t="shared" si="3"/>
        <v>0</v>
      </c>
      <c r="M69" s="9">
        <f t="shared" si="4"/>
        <v>0</v>
      </c>
      <c r="O69" s="11" t="s">
        <v>339</v>
      </c>
    </row>
    <row r="70" spans="2:15" ht="45" outlineLevel="1" x14ac:dyDescent="0.25">
      <c r="B70" s="6">
        <v>231</v>
      </c>
      <c r="C70" s="82" t="s">
        <v>87</v>
      </c>
      <c r="D70" s="6">
        <v>1</v>
      </c>
      <c r="E70" s="8" t="s">
        <v>11</v>
      </c>
      <c r="F70" s="19">
        <v>4200000</v>
      </c>
      <c r="G70" s="9">
        <f t="shared" si="1"/>
        <v>4200000</v>
      </c>
      <c r="H70" s="14">
        <v>1</v>
      </c>
      <c r="I70" s="10" t="s">
        <v>11</v>
      </c>
      <c r="J70" s="9">
        <f>F70</f>
        <v>4200000</v>
      </c>
      <c r="K70" s="9">
        <f t="shared" si="2"/>
        <v>4200000</v>
      </c>
      <c r="L70" s="9">
        <f t="shared" si="3"/>
        <v>0</v>
      </c>
      <c r="M70" s="9">
        <f t="shared" si="4"/>
        <v>0</v>
      </c>
      <c r="N70" s="71" t="s">
        <v>386</v>
      </c>
      <c r="O70" s="11" t="s">
        <v>339</v>
      </c>
    </row>
    <row r="71" spans="2:15" outlineLevel="1" x14ac:dyDescent="0.25">
      <c r="C71" s="80"/>
      <c r="G71" s="9"/>
      <c r="H71" s="14"/>
      <c r="K71" s="9"/>
      <c r="L71" s="9">
        <f t="shared" si="3"/>
        <v>0</v>
      </c>
      <c r="M71" s="9">
        <f t="shared" si="4"/>
        <v>0</v>
      </c>
      <c r="O71" s="11" t="s">
        <v>339</v>
      </c>
    </row>
    <row r="72" spans="2:15" ht="45" outlineLevel="1" x14ac:dyDescent="0.25">
      <c r="B72" s="6">
        <v>232</v>
      </c>
      <c r="C72" s="82" t="s">
        <v>88</v>
      </c>
      <c r="D72" s="6">
        <v>1</v>
      </c>
      <c r="E72" s="8" t="s">
        <v>11</v>
      </c>
      <c r="F72" s="19">
        <v>43750</v>
      </c>
      <c r="G72" s="9">
        <f t="shared" ref="G72:G98" si="5">ROUND(D72*F72,0)</f>
        <v>43750</v>
      </c>
      <c r="H72" s="14">
        <v>1</v>
      </c>
      <c r="I72" s="10" t="s">
        <v>11</v>
      </c>
      <c r="J72" s="9">
        <f>F72</f>
        <v>43750</v>
      </c>
      <c r="K72" s="9">
        <f t="shared" ref="K72:K98" si="6">ROUND(H72*J72,0)</f>
        <v>43750</v>
      </c>
      <c r="L72" s="9">
        <f t="shared" si="3"/>
        <v>0</v>
      </c>
      <c r="M72" s="9">
        <f t="shared" si="4"/>
        <v>0</v>
      </c>
      <c r="N72" s="71" t="s">
        <v>386</v>
      </c>
      <c r="O72" s="11" t="s">
        <v>339</v>
      </c>
    </row>
    <row r="73" spans="2:15" outlineLevel="1" x14ac:dyDescent="0.25">
      <c r="C73" s="80"/>
      <c r="G73" s="9"/>
      <c r="H73" s="14"/>
      <c r="K73" s="9"/>
      <c r="L73" s="9">
        <f t="shared" si="3"/>
        <v>0</v>
      </c>
      <c r="M73" s="9">
        <f t="shared" si="4"/>
        <v>0</v>
      </c>
      <c r="O73" s="11" t="s">
        <v>339</v>
      </c>
    </row>
    <row r="74" spans="2:15" ht="45" outlineLevel="1" x14ac:dyDescent="0.25">
      <c r="B74" s="6">
        <v>233</v>
      </c>
      <c r="C74" s="82" t="s">
        <v>89</v>
      </c>
      <c r="D74" s="6">
        <v>1</v>
      </c>
      <c r="E74" s="8" t="s">
        <v>11</v>
      </c>
      <c r="F74" s="19">
        <v>81250</v>
      </c>
      <c r="G74" s="9">
        <f t="shared" si="5"/>
        <v>81250</v>
      </c>
      <c r="H74" s="14">
        <v>1</v>
      </c>
      <c r="I74" s="10" t="s">
        <v>11</v>
      </c>
      <c r="J74" s="9">
        <f>F74</f>
        <v>81250</v>
      </c>
      <c r="K74" s="9">
        <f t="shared" si="6"/>
        <v>81250</v>
      </c>
      <c r="L74" s="9">
        <f t="shared" si="3"/>
        <v>0</v>
      </c>
      <c r="M74" s="9">
        <f t="shared" si="4"/>
        <v>0</v>
      </c>
      <c r="N74" s="71" t="s">
        <v>386</v>
      </c>
      <c r="O74" s="11" t="s">
        <v>339</v>
      </c>
    </row>
    <row r="75" spans="2:15" outlineLevel="1" x14ac:dyDescent="0.25">
      <c r="C75" s="80"/>
      <c r="G75" s="9"/>
      <c r="H75" s="14"/>
      <c r="K75" s="9"/>
      <c r="L75" s="9">
        <f t="shared" si="3"/>
        <v>0</v>
      </c>
      <c r="M75" s="9">
        <f t="shared" si="4"/>
        <v>0</v>
      </c>
      <c r="O75" s="11" t="s">
        <v>339</v>
      </c>
    </row>
    <row r="76" spans="2:15" outlineLevel="1" x14ac:dyDescent="0.25">
      <c r="B76" s="34">
        <v>234</v>
      </c>
      <c r="C76" s="82" t="s">
        <v>90</v>
      </c>
      <c r="D76" s="6">
        <v>1</v>
      </c>
      <c r="E76" s="8" t="s">
        <v>11</v>
      </c>
      <c r="F76" s="19">
        <v>0</v>
      </c>
      <c r="G76" s="9"/>
      <c r="H76" s="14">
        <v>0</v>
      </c>
      <c r="I76" s="10" t="s">
        <v>11</v>
      </c>
      <c r="J76" s="9">
        <f>F76</f>
        <v>0</v>
      </c>
      <c r="K76" s="9"/>
      <c r="L76" s="9">
        <f t="shared" si="3"/>
        <v>0</v>
      </c>
      <c r="M76" s="9">
        <f t="shared" si="4"/>
        <v>0</v>
      </c>
      <c r="N76" s="11" t="s">
        <v>387</v>
      </c>
      <c r="O76" s="11" t="s">
        <v>339</v>
      </c>
    </row>
    <row r="77" spans="2:15" outlineLevel="1" x14ac:dyDescent="0.25">
      <c r="C77" s="80"/>
      <c r="G77" s="9"/>
      <c r="H77" s="14"/>
      <c r="K77" s="9"/>
      <c r="L77" s="9">
        <f t="shared" si="3"/>
        <v>0</v>
      </c>
      <c r="M77" s="9">
        <f t="shared" si="4"/>
        <v>0</v>
      </c>
      <c r="O77" s="11" t="s">
        <v>339</v>
      </c>
    </row>
    <row r="78" spans="2:15" ht="45" outlineLevel="1" x14ac:dyDescent="0.25">
      <c r="B78" s="6">
        <v>235</v>
      </c>
      <c r="C78" s="82" t="s">
        <v>91</v>
      </c>
      <c r="D78" s="6">
        <v>2</v>
      </c>
      <c r="E78" s="8" t="s">
        <v>11</v>
      </c>
      <c r="F78" s="19">
        <v>115000</v>
      </c>
      <c r="G78" s="9">
        <f t="shared" si="5"/>
        <v>230000</v>
      </c>
      <c r="H78" s="14">
        <v>2</v>
      </c>
      <c r="I78" s="10" t="s">
        <v>11</v>
      </c>
      <c r="J78" s="9">
        <f>F78</f>
        <v>115000</v>
      </c>
      <c r="K78" s="9">
        <f t="shared" si="6"/>
        <v>230000</v>
      </c>
      <c r="L78" s="9">
        <f t="shared" si="3"/>
        <v>0</v>
      </c>
      <c r="M78" s="9">
        <f t="shared" si="4"/>
        <v>0</v>
      </c>
      <c r="N78" s="71" t="s">
        <v>386</v>
      </c>
      <c r="O78" s="11" t="s">
        <v>339</v>
      </c>
    </row>
    <row r="79" spans="2:15" outlineLevel="1" x14ac:dyDescent="0.25">
      <c r="C79" s="80"/>
      <c r="G79" s="9"/>
      <c r="H79" s="14"/>
      <c r="K79" s="9"/>
      <c r="L79" s="9">
        <f t="shared" si="3"/>
        <v>0</v>
      </c>
      <c r="M79" s="9">
        <f t="shared" si="4"/>
        <v>0</v>
      </c>
      <c r="O79" s="11" t="s">
        <v>339</v>
      </c>
    </row>
    <row r="80" spans="2:15" ht="135" outlineLevel="1" x14ac:dyDescent="0.25">
      <c r="B80" s="34">
        <v>236</v>
      </c>
      <c r="C80" s="82" t="s">
        <v>92</v>
      </c>
      <c r="D80" s="6">
        <v>1</v>
      </c>
      <c r="E80" s="8" t="s">
        <v>11</v>
      </c>
      <c r="F80" s="19">
        <v>110000</v>
      </c>
      <c r="G80" s="9">
        <f t="shared" si="5"/>
        <v>110000</v>
      </c>
      <c r="H80" s="33">
        <v>0</v>
      </c>
      <c r="I80" s="10" t="s">
        <v>11</v>
      </c>
      <c r="J80" s="9">
        <f>F80</f>
        <v>110000</v>
      </c>
      <c r="K80" s="9"/>
      <c r="L80" s="9">
        <f t="shared" si="3"/>
        <v>0</v>
      </c>
      <c r="M80" s="9">
        <f t="shared" si="4"/>
        <v>110000</v>
      </c>
      <c r="N80" s="71" t="s">
        <v>388</v>
      </c>
      <c r="O80" s="11" t="s">
        <v>339</v>
      </c>
    </row>
    <row r="81" spans="2:15" outlineLevel="1" x14ac:dyDescent="0.25">
      <c r="C81" s="80"/>
      <c r="G81" s="9"/>
      <c r="H81" s="14"/>
      <c r="K81" s="9"/>
      <c r="L81" s="9">
        <f t="shared" si="3"/>
        <v>0</v>
      </c>
      <c r="M81" s="9">
        <f t="shared" si="4"/>
        <v>0</v>
      </c>
      <c r="O81" s="11" t="s">
        <v>339</v>
      </c>
    </row>
    <row r="82" spans="2:15" ht="45" outlineLevel="1" x14ac:dyDescent="0.25">
      <c r="B82" s="34">
        <v>237</v>
      </c>
      <c r="C82" s="82" t="s">
        <v>93</v>
      </c>
      <c r="D82" s="6">
        <v>2</v>
      </c>
      <c r="E82" s="8" t="s">
        <v>11</v>
      </c>
      <c r="F82" s="19">
        <v>34500</v>
      </c>
      <c r="G82" s="9">
        <f t="shared" si="5"/>
        <v>69000</v>
      </c>
      <c r="H82" s="14">
        <v>2</v>
      </c>
      <c r="I82" s="10" t="s">
        <v>11</v>
      </c>
      <c r="J82" s="9">
        <f>F82</f>
        <v>34500</v>
      </c>
      <c r="K82" s="9">
        <f t="shared" si="6"/>
        <v>69000</v>
      </c>
      <c r="L82" s="9">
        <f t="shared" si="3"/>
        <v>0</v>
      </c>
      <c r="M82" s="9">
        <f t="shared" si="4"/>
        <v>0</v>
      </c>
      <c r="N82" s="71" t="s">
        <v>386</v>
      </c>
      <c r="O82" s="11" t="s">
        <v>339</v>
      </c>
    </row>
    <row r="83" spans="2:15" outlineLevel="1" x14ac:dyDescent="0.25">
      <c r="C83" s="80"/>
      <c r="G83" s="9"/>
      <c r="H83" s="14"/>
      <c r="K83" s="9"/>
      <c r="L83" s="9">
        <f t="shared" si="3"/>
        <v>0</v>
      </c>
      <c r="M83" s="9">
        <f t="shared" si="4"/>
        <v>0</v>
      </c>
      <c r="O83" s="11" t="s">
        <v>339</v>
      </c>
    </row>
    <row r="84" spans="2:15" ht="45" outlineLevel="1" x14ac:dyDescent="0.25">
      <c r="B84" s="6">
        <v>238</v>
      </c>
      <c r="C84" s="82" t="s">
        <v>94</v>
      </c>
      <c r="D84" s="6">
        <v>2</v>
      </c>
      <c r="E84" s="8" t="s">
        <v>11</v>
      </c>
      <c r="F84" s="19">
        <v>34500</v>
      </c>
      <c r="G84" s="9">
        <f t="shared" si="5"/>
        <v>69000</v>
      </c>
      <c r="H84" s="14">
        <v>2</v>
      </c>
      <c r="I84" s="10" t="s">
        <v>11</v>
      </c>
      <c r="J84" s="9">
        <f>F84</f>
        <v>34500</v>
      </c>
      <c r="K84" s="9">
        <f t="shared" si="6"/>
        <v>69000</v>
      </c>
      <c r="L84" s="9">
        <f t="shared" si="3"/>
        <v>0</v>
      </c>
      <c r="M84" s="9">
        <f t="shared" si="4"/>
        <v>0</v>
      </c>
      <c r="N84" s="71" t="s">
        <v>386</v>
      </c>
      <c r="O84" s="11" t="s">
        <v>339</v>
      </c>
    </row>
    <row r="85" spans="2:15" outlineLevel="1" x14ac:dyDescent="0.25">
      <c r="C85" s="80"/>
      <c r="G85" s="9"/>
      <c r="H85" s="14"/>
      <c r="K85" s="9"/>
      <c r="L85" s="9">
        <f t="shared" si="3"/>
        <v>0</v>
      </c>
      <c r="M85" s="9">
        <f t="shared" si="4"/>
        <v>0</v>
      </c>
      <c r="O85" s="11" t="s">
        <v>339</v>
      </c>
    </row>
    <row r="86" spans="2:15" ht="45" outlineLevel="1" x14ac:dyDescent="0.25">
      <c r="B86" s="6">
        <v>239</v>
      </c>
      <c r="C86" s="82" t="s">
        <v>95</v>
      </c>
      <c r="D86" s="6">
        <v>3</v>
      </c>
      <c r="E86" s="8" t="s">
        <v>11</v>
      </c>
      <c r="F86" s="19">
        <v>38500</v>
      </c>
      <c r="G86" s="9">
        <f t="shared" si="5"/>
        <v>115500</v>
      </c>
      <c r="H86" s="14">
        <v>3</v>
      </c>
      <c r="I86" s="10" t="s">
        <v>11</v>
      </c>
      <c r="J86" s="9">
        <f>F86</f>
        <v>38500</v>
      </c>
      <c r="K86" s="9">
        <f t="shared" si="6"/>
        <v>115500</v>
      </c>
      <c r="L86" s="9">
        <f t="shared" si="3"/>
        <v>0</v>
      </c>
      <c r="M86" s="9">
        <f t="shared" si="4"/>
        <v>0</v>
      </c>
      <c r="N86" s="71" t="s">
        <v>386</v>
      </c>
      <c r="O86" s="11" t="s">
        <v>339</v>
      </c>
    </row>
    <row r="87" spans="2:15" outlineLevel="1" x14ac:dyDescent="0.25">
      <c r="C87" s="80"/>
      <c r="G87" s="9"/>
      <c r="H87" s="14"/>
      <c r="K87" s="9"/>
      <c r="L87" s="9">
        <f t="shared" si="3"/>
        <v>0</v>
      </c>
      <c r="M87" s="9">
        <f t="shared" si="4"/>
        <v>0</v>
      </c>
      <c r="O87" s="11" t="s">
        <v>339</v>
      </c>
    </row>
    <row r="88" spans="2:15" ht="45" outlineLevel="1" x14ac:dyDescent="0.25">
      <c r="B88" s="34">
        <v>240</v>
      </c>
      <c r="C88" s="82" t="s">
        <v>96</v>
      </c>
      <c r="D88" s="6">
        <v>3</v>
      </c>
      <c r="E88" s="8" t="s">
        <v>11</v>
      </c>
      <c r="F88" s="19">
        <v>20000</v>
      </c>
      <c r="G88" s="9">
        <f t="shared" si="5"/>
        <v>60000</v>
      </c>
      <c r="H88" s="14">
        <v>3</v>
      </c>
      <c r="I88" s="10" t="s">
        <v>11</v>
      </c>
      <c r="J88" s="9">
        <f>F88</f>
        <v>20000</v>
      </c>
      <c r="K88" s="9">
        <f t="shared" si="6"/>
        <v>60000</v>
      </c>
      <c r="L88" s="9">
        <f t="shared" si="3"/>
        <v>0</v>
      </c>
      <c r="M88" s="9">
        <f t="shared" si="4"/>
        <v>0</v>
      </c>
      <c r="N88" s="71" t="s">
        <v>386</v>
      </c>
      <c r="O88" s="11" t="s">
        <v>339</v>
      </c>
    </row>
    <row r="89" spans="2:15" outlineLevel="1" x14ac:dyDescent="0.25">
      <c r="C89" s="80"/>
      <c r="G89" s="9"/>
      <c r="H89" s="14"/>
      <c r="K89" s="9"/>
      <c r="L89" s="9">
        <f t="shared" si="3"/>
        <v>0</v>
      </c>
      <c r="M89" s="9">
        <f t="shared" si="4"/>
        <v>0</v>
      </c>
      <c r="O89" s="11" t="s">
        <v>339</v>
      </c>
    </row>
    <row r="90" spans="2:15" ht="45" outlineLevel="1" x14ac:dyDescent="0.25">
      <c r="B90" s="34">
        <v>241</v>
      </c>
      <c r="C90" s="82" t="s">
        <v>97</v>
      </c>
      <c r="D90" s="6">
        <v>6</v>
      </c>
      <c r="E90" s="8" t="s">
        <v>11</v>
      </c>
      <c r="F90" s="19">
        <v>13750</v>
      </c>
      <c r="G90" s="9">
        <f t="shared" si="5"/>
        <v>82500</v>
      </c>
      <c r="H90" s="14">
        <v>6</v>
      </c>
      <c r="I90" s="10" t="s">
        <v>11</v>
      </c>
      <c r="J90" s="9">
        <f>F90</f>
        <v>13750</v>
      </c>
      <c r="K90" s="9">
        <f t="shared" si="6"/>
        <v>82500</v>
      </c>
      <c r="L90" s="9">
        <f t="shared" si="3"/>
        <v>0</v>
      </c>
      <c r="M90" s="9">
        <f t="shared" si="4"/>
        <v>0</v>
      </c>
      <c r="N90" s="71" t="s">
        <v>386</v>
      </c>
      <c r="O90" s="11" t="s">
        <v>339</v>
      </c>
    </row>
    <row r="91" spans="2:15" outlineLevel="1" x14ac:dyDescent="0.25">
      <c r="C91" s="80"/>
      <c r="G91" s="9"/>
      <c r="H91" s="14"/>
      <c r="K91" s="9"/>
      <c r="L91" s="9">
        <f t="shared" ref="L91:L101" si="7">ROUND(IF(K91&gt;G91,K91-G91,0),0)</f>
        <v>0</v>
      </c>
      <c r="M91" s="9">
        <f t="shared" ref="M91:M101" si="8">ROUND(IF(K91&lt;G91,G91-K91,0),0)</f>
        <v>0</v>
      </c>
      <c r="O91" s="11" t="s">
        <v>339</v>
      </c>
    </row>
    <row r="92" spans="2:15" ht="45" outlineLevel="1" x14ac:dyDescent="0.25">
      <c r="B92" s="34">
        <v>242</v>
      </c>
      <c r="C92" s="82" t="s">
        <v>98</v>
      </c>
      <c r="D92" s="6">
        <v>3</v>
      </c>
      <c r="E92" s="8" t="s">
        <v>11</v>
      </c>
      <c r="F92" s="19">
        <v>39200</v>
      </c>
      <c r="G92" s="9">
        <f t="shared" si="5"/>
        <v>117600</v>
      </c>
      <c r="H92" s="14">
        <v>3</v>
      </c>
      <c r="I92" s="10" t="s">
        <v>11</v>
      </c>
      <c r="J92" s="9">
        <f>F92</f>
        <v>39200</v>
      </c>
      <c r="K92" s="9">
        <f t="shared" si="6"/>
        <v>117600</v>
      </c>
      <c r="L92" s="9">
        <f t="shared" si="7"/>
        <v>0</v>
      </c>
      <c r="M92" s="9">
        <f t="shared" si="8"/>
        <v>0</v>
      </c>
      <c r="N92" s="71" t="s">
        <v>386</v>
      </c>
      <c r="O92" s="11" t="s">
        <v>339</v>
      </c>
    </row>
    <row r="93" spans="2:15" outlineLevel="1" x14ac:dyDescent="0.25">
      <c r="C93" s="80"/>
      <c r="G93" s="9"/>
      <c r="H93" s="14"/>
      <c r="K93" s="9"/>
      <c r="L93" s="9">
        <f t="shared" si="7"/>
        <v>0</v>
      </c>
      <c r="M93" s="9">
        <f t="shared" si="8"/>
        <v>0</v>
      </c>
      <c r="O93" s="11" t="s">
        <v>339</v>
      </c>
    </row>
    <row r="94" spans="2:15" ht="45" outlineLevel="1" x14ac:dyDescent="0.25">
      <c r="B94" s="34">
        <v>243</v>
      </c>
      <c r="C94" s="82" t="s">
        <v>99</v>
      </c>
      <c r="D94" s="6">
        <v>3</v>
      </c>
      <c r="E94" s="8" t="s">
        <v>11</v>
      </c>
      <c r="F94" s="19">
        <v>62500</v>
      </c>
      <c r="G94" s="9">
        <f t="shared" si="5"/>
        <v>187500</v>
      </c>
      <c r="H94" s="14">
        <v>3</v>
      </c>
      <c r="I94" s="10" t="s">
        <v>11</v>
      </c>
      <c r="J94" s="9">
        <f>F94</f>
        <v>62500</v>
      </c>
      <c r="K94" s="9">
        <f t="shared" si="6"/>
        <v>187500</v>
      </c>
      <c r="L94" s="9">
        <f t="shared" si="7"/>
        <v>0</v>
      </c>
      <c r="M94" s="9">
        <f t="shared" si="8"/>
        <v>0</v>
      </c>
      <c r="N94" s="71" t="s">
        <v>386</v>
      </c>
      <c r="O94" s="11" t="s">
        <v>339</v>
      </c>
    </row>
    <row r="95" spans="2:15" outlineLevel="1" x14ac:dyDescent="0.25">
      <c r="C95" s="80"/>
      <c r="G95" s="9"/>
      <c r="H95" s="14"/>
      <c r="K95" s="9"/>
      <c r="L95" s="9">
        <f t="shared" si="7"/>
        <v>0</v>
      </c>
      <c r="M95" s="9">
        <f t="shared" si="8"/>
        <v>0</v>
      </c>
      <c r="O95" s="11" t="s">
        <v>339</v>
      </c>
    </row>
    <row r="96" spans="2:15" ht="45" outlineLevel="1" x14ac:dyDescent="0.25">
      <c r="B96" s="6">
        <v>244</v>
      </c>
      <c r="C96" s="82" t="s">
        <v>100</v>
      </c>
      <c r="D96" s="6">
        <v>8</v>
      </c>
      <c r="E96" s="8" t="s">
        <v>11</v>
      </c>
      <c r="F96" s="19">
        <v>17500</v>
      </c>
      <c r="G96" s="9">
        <f t="shared" si="5"/>
        <v>140000</v>
      </c>
      <c r="H96" s="14">
        <v>8</v>
      </c>
      <c r="I96" s="10" t="s">
        <v>11</v>
      </c>
      <c r="J96" s="9">
        <f>F96</f>
        <v>17500</v>
      </c>
      <c r="K96" s="9">
        <f t="shared" si="6"/>
        <v>140000</v>
      </c>
      <c r="L96" s="9">
        <f t="shared" si="7"/>
        <v>0</v>
      </c>
      <c r="M96" s="9">
        <f t="shared" si="8"/>
        <v>0</v>
      </c>
      <c r="N96" s="71" t="s">
        <v>386</v>
      </c>
      <c r="O96" s="11" t="s">
        <v>339</v>
      </c>
    </row>
    <row r="97" spans="2:15" outlineLevel="1" x14ac:dyDescent="0.25">
      <c r="C97" s="80"/>
      <c r="G97" s="9"/>
      <c r="H97" s="14"/>
      <c r="K97" s="9"/>
      <c r="L97" s="9">
        <f t="shared" si="7"/>
        <v>0</v>
      </c>
      <c r="M97" s="9">
        <f t="shared" si="8"/>
        <v>0</v>
      </c>
      <c r="O97" s="11" t="s">
        <v>339</v>
      </c>
    </row>
    <row r="98" spans="2:15" ht="45" outlineLevel="1" x14ac:dyDescent="0.25">
      <c r="B98" s="6">
        <v>245</v>
      </c>
      <c r="C98" s="82" t="s">
        <v>101</v>
      </c>
      <c r="D98" s="6">
        <v>3</v>
      </c>
      <c r="E98" s="8" t="s">
        <v>11</v>
      </c>
      <c r="F98" s="19">
        <v>20000</v>
      </c>
      <c r="G98" s="9">
        <f t="shared" si="5"/>
        <v>60000</v>
      </c>
      <c r="H98" s="14">
        <v>3</v>
      </c>
      <c r="I98" s="10" t="s">
        <v>11</v>
      </c>
      <c r="J98" s="9">
        <f>F98</f>
        <v>20000</v>
      </c>
      <c r="K98" s="9">
        <f t="shared" si="6"/>
        <v>60000</v>
      </c>
      <c r="L98" s="9">
        <f t="shared" si="7"/>
        <v>0</v>
      </c>
      <c r="M98" s="9">
        <f t="shared" si="8"/>
        <v>0</v>
      </c>
      <c r="N98" s="71" t="s">
        <v>386</v>
      </c>
      <c r="O98" s="11" t="s">
        <v>339</v>
      </c>
    </row>
    <row r="99" spans="2:15" outlineLevel="1" x14ac:dyDescent="0.25">
      <c r="C99" s="80"/>
      <c r="G99" s="9"/>
      <c r="H99" s="14"/>
      <c r="K99" s="9"/>
      <c r="L99" s="9">
        <f t="shared" si="7"/>
        <v>0</v>
      </c>
      <c r="M99" s="9">
        <f t="shared" si="8"/>
        <v>0</v>
      </c>
      <c r="O99" s="11" t="s">
        <v>339</v>
      </c>
    </row>
    <row r="100" spans="2:15" ht="22.8" customHeight="1" outlineLevel="1" x14ac:dyDescent="0.25">
      <c r="B100" s="34">
        <v>246</v>
      </c>
      <c r="C100" s="82" t="s">
        <v>102</v>
      </c>
      <c r="D100" s="6">
        <v>1</v>
      </c>
      <c r="E100" s="8" t="s">
        <v>12</v>
      </c>
      <c r="F100" s="19"/>
      <c r="G100" s="9"/>
      <c r="H100" s="14">
        <v>0</v>
      </c>
      <c r="I100" s="10" t="s">
        <v>12</v>
      </c>
      <c r="J100" s="9">
        <f>F100</f>
        <v>0</v>
      </c>
      <c r="K100" s="9"/>
      <c r="L100" s="9">
        <f t="shared" si="7"/>
        <v>0</v>
      </c>
      <c r="M100" s="9">
        <f t="shared" si="8"/>
        <v>0</v>
      </c>
      <c r="N100" s="11" t="s">
        <v>387</v>
      </c>
      <c r="O100" s="11" t="s">
        <v>339</v>
      </c>
    </row>
    <row r="101" spans="2:15" outlineLevel="1" x14ac:dyDescent="0.25">
      <c r="C101" s="80"/>
      <c r="G101" s="9"/>
      <c r="H101" s="14"/>
      <c r="K101" s="9"/>
      <c r="L101" s="9">
        <f t="shared" si="7"/>
        <v>0</v>
      </c>
      <c r="M101" s="9">
        <f t="shared" si="8"/>
        <v>0</v>
      </c>
      <c r="O101" s="11" t="s">
        <v>339</v>
      </c>
    </row>
    <row r="102" spans="2:15" ht="19.95" customHeight="1" x14ac:dyDescent="0.25">
      <c r="C102" s="80"/>
      <c r="G102" s="23">
        <f>ROUND(SUM(G6:G101),0)</f>
        <v>26020475</v>
      </c>
      <c r="H102" s="14"/>
      <c r="J102" s="22" t="s">
        <v>44</v>
      </c>
      <c r="K102" s="23">
        <f>ROUND(SUM(K6:K101),0)</f>
        <v>25910475</v>
      </c>
      <c r="L102" s="103">
        <f t="shared" ref="L102:M102" si="9">SUM(L6:L101)</f>
        <v>0</v>
      </c>
      <c r="M102" s="23">
        <f t="shared" si="9"/>
        <v>110000</v>
      </c>
    </row>
    <row r="103" spans="2:15" ht="19.95" customHeight="1" x14ac:dyDescent="0.25">
      <c r="C103" s="12" t="s">
        <v>45</v>
      </c>
      <c r="H103" s="14"/>
      <c r="L103" s="9"/>
      <c r="M103" s="9"/>
    </row>
    <row r="104" spans="2:15" ht="90" outlineLevel="1" x14ac:dyDescent="0.25">
      <c r="B104" s="6">
        <v>247</v>
      </c>
      <c r="C104" s="7" t="s">
        <v>103</v>
      </c>
      <c r="D104" s="6">
        <v>80</v>
      </c>
      <c r="E104" s="8" t="s">
        <v>13</v>
      </c>
      <c r="F104" s="19">
        <v>398</v>
      </c>
      <c r="G104" s="9">
        <f t="shared" ref="G104:G166" si="10">ROUND(D104*F104,0)</f>
        <v>31840</v>
      </c>
      <c r="H104" s="14">
        <f>20.38+0.19</f>
        <v>20.57</v>
      </c>
      <c r="I104" s="10" t="s">
        <v>13</v>
      </c>
      <c r="J104" s="9">
        <f>F104</f>
        <v>398</v>
      </c>
      <c r="K104" s="9">
        <f t="shared" ref="K104:K166" si="11">ROUND(H104*J104,0)</f>
        <v>8187</v>
      </c>
      <c r="L104" s="9">
        <f t="shared" ref="L104" si="12">ROUND(IF(K104&gt;G104,K104-G104,0),0)</f>
        <v>0</v>
      </c>
      <c r="M104" s="9">
        <f t="shared" ref="M104" si="13">ROUND(IF(K104&lt;G104,G104-K104,0),0)</f>
        <v>23653</v>
      </c>
      <c r="N104" s="71" t="s">
        <v>390</v>
      </c>
      <c r="O104" s="11" t="s">
        <v>333</v>
      </c>
    </row>
    <row r="105" spans="2:15" outlineLevel="1" x14ac:dyDescent="0.25">
      <c r="G105" s="9"/>
      <c r="H105" s="14"/>
      <c r="K105" s="9"/>
      <c r="L105" s="9">
        <f t="shared" ref="L105:L166" si="14">ROUND(IF(K105&gt;G105,K105-G105,0),0)</f>
        <v>0</v>
      </c>
      <c r="M105" s="9">
        <f t="shared" ref="M105:M166" si="15">ROUND(IF(K105&lt;G105,G105-K105,0),0)</f>
        <v>0</v>
      </c>
      <c r="O105" s="11" t="s">
        <v>333</v>
      </c>
    </row>
    <row r="106" spans="2:15" ht="79.8" customHeight="1" outlineLevel="1" x14ac:dyDescent="0.25">
      <c r="B106" s="6">
        <v>248</v>
      </c>
      <c r="C106" s="7" t="s">
        <v>104</v>
      </c>
      <c r="D106" s="6">
        <v>400</v>
      </c>
      <c r="E106" s="8" t="s">
        <v>14</v>
      </c>
      <c r="F106" s="19">
        <v>20</v>
      </c>
      <c r="G106" s="9">
        <f t="shared" si="10"/>
        <v>8000</v>
      </c>
      <c r="H106" s="14">
        <v>400</v>
      </c>
      <c r="I106" s="10" t="s">
        <v>14</v>
      </c>
      <c r="J106" s="9">
        <f>F106</f>
        <v>20</v>
      </c>
      <c r="K106" s="9">
        <f t="shared" si="11"/>
        <v>8000</v>
      </c>
      <c r="L106" s="9">
        <f t="shared" si="14"/>
        <v>0</v>
      </c>
      <c r="M106" s="9">
        <f t="shared" si="15"/>
        <v>0</v>
      </c>
      <c r="N106" s="170" t="s">
        <v>389</v>
      </c>
      <c r="O106" s="11" t="s">
        <v>333</v>
      </c>
    </row>
    <row r="107" spans="2:15" ht="15.6" outlineLevel="1" x14ac:dyDescent="0.25">
      <c r="C107" s="24" t="s">
        <v>41</v>
      </c>
      <c r="G107" s="9"/>
      <c r="H107" s="14">
        <f>729.93-400</f>
        <v>329.92999999999995</v>
      </c>
      <c r="I107" s="10" t="s">
        <v>14</v>
      </c>
      <c r="J107" s="9">
        <f>J106</f>
        <v>20</v>
      </c>
      <c r="K107" s="9">
        <f t="shared" si="11"/>
        <v>6599</v>
      </c>
      <c r="L107" s="9">
        <f t="shared" si="14"/>
        <v>6599</v>
      </c>
      <c r="M107" s="9">
        <f t="shared" si="15"/>
        <v>0</v>
      </c>
      <c r="N107" s="171"/>
      <c r="O107" s="11" t="s">
        <v>333</v>
      </c>
    </row>
    <row r="108" spans="2:15" ht="95.55" customHeight="1" outlineLevel="1" x14ac:dyDescent="0.25">
      <c r="B108" s="6">
        <v>249</v>
      </c>
      <c r="C108" s="7" t="s">
        <v>105</v>
      </c>
      <c r="D108" s="6">
        <v>16</v>
      </c>
      <c r="E108" s="8" t="s">
        <v>11</v>
      </c>
      <c r="F108" s="19">
        <v>350</v>
      </c>
      <c r="G108" s="9">
        <f t="shared" si="10"/>
        <v>5600</v>
      </c>
      <c r="H108" s="14">
        <v>16</v>
      </c>
      <c r="I108" s="10" t="s">
        <v>11</v>
      </c>
      <c r="J108" s="9">
        <f>F108</f>
        <v>350</v>
      </c>
      <c r="K108" s="9">
        <f t="shared" si="11"/>
        <v>5600</v>
      </c>
      <c r="L108" s="9">
        <f t="shared" si="14"/>
        <v>0</v>
      </c>
      <c r="M108" s="9">
        <f t="shared" si="15"/>
        <v>0</v>
      </c>
      <c r="N108" s="170" t="s">
        <v>389</v>
      </c>
      <c r="O108" s="11" t="s">
        <v>333</v>
      </c>
    </row>
    <row r="109" spans="2:15" ht="15.6" outlineLevel="1" x14ac:dyDescent="0.25">
      <c r="C109" s="24" t="s">
        <v>41</v>
      </c>
      <c r="G109" s="9"/>
      <c r="H109" s="14">
        <f>32-H108</f>
        <v>16</v>
      </c>
      <c r="I109" s="10" t="s">
        <v>14</v>
      </c>
      <c r="J109" s="9">
        <f>J108</f>
        <v>350</v>
      </c>
      <c r="K109" s="9">
        <f t="shared" si="11"/>
        <v>5600</v>
      </c>
      <c r="L109" s="9">
        <f t="shared" si="14"/>
        <v>5600</v>
      </c>
      <c r="M109" s="9">
        <f t="shared" si="15"/>
        <v>0</v>
      </c>
      <c r="N109" s="171"/>
      <c r="O109" s="11" t="s">
        <v>333</v>
      </c>
    </row>
    <row r="110" spans="2:15" ht="96.45" customHeight="1" outlineLevel="1" x14ac:dyDescent="0.25">
      <c r="B110" s="34">
        <v>250</v>
      </c>
      <c r="C110" s="7" t="s">
        <v>22</v>
      </c>
      <c r="D110" s="6">
        <v>5</v>
      </c>
      <c r="E110" s="8" t="s">
        <v>11</v>
      </c>
      <c r="F110" s="19">
        <v>468</v>
      </c>
      <c r="G110" s="9">
        <f t="shared" si="10"/>
        <v>2340</v>
      </c>
      <c r="H110" s="14">
        <v>0</v>
      </c>
      <c r="I110" s="10" t="s">
        <v>11</v>
      </c>
      <c r="J110" s="9">
        <f>F110</f>
        <v>468</v>
      </c>
      <c r="K110" s="9"/>
      <c r="L110" s="9">
        <f t="shared" si="14"/>
        <v>0</v>
      </c>
      <c r="M110" s="9">
        <f t="shared" si="15"/>
        <v>2340</v>
      </c>
      <c r="N110" s="71" t="s">
        <v>390</v>
      </c>
      <c r="O110" s="11" t="s">
        <v>333</v>
      </c>
    </row>
    <row r="111" spans="2:15" ht="15.6" outlineLevel="1" x14ac:dyDescent="0.25">
      <c r="C111" s="24"/>
      <c r="G111" s="9"/>
      <c r="H111" s="14"/>
      <c r="J111" s="9"/>
      <c r="K111" s="9"/>
      <c r="L111" s="9">
        <f t="shared" si="14"/>
        <v>0</v>
      </c>
      <c r="M111" s="9">
        <f t="shared" si="15"/>
        <v>0</v>
      </c>
      <c r="O111" s="11" t="s">
        <v>333</v>
      </c>
    </row>
    <row r="112" spans="2:15" s="112" customFormat="1" ht="62.55" customHeight="1" outlineLevel="1" x14ac:dyDescent="0.25">
      <c r="B112" s="106">
        <v>251</v>
      </c>
      <c r="C112" s="107" t="s">
        <v>40</v>
      </c>
      <c r="D112" s="106">
        <v>120</v>
      </c>
      <c r="E112" s="108" t="s">
        <v>13</v>
      </c>
      <c r="F112" s="109">
        <v>455</v>
      </c>
      <c r="G112" s="9">
        <f t="shared" si="10"/>
        <v>54600</v>
      </c>
      <c r="H112" s="33">
        <v>0</v>
      </c>
      <c r="I112" s="111" t="s">
        <v>13</v>
      </c>
      <c r="J112" s="110">
        <f>F112</f>
        <v>455</v>
      </c>
      <c r="K112" s="9"/>
      <c r="L112" s="9">
        <f t="shared" si="14"/>
        <v>0</v>
      </c>
      <c r="M112" s="9">
        <f t="shared" si="15"/>
        <v>54600</v>
      </c>
      <c r="N112" s="71" t="s">
        <v>390</v>
      </c>
      <c r="O112" s="11" t="s">
        <v>333</v>
      </c>
    </row>
    <row r="113" spans="2:15" ht="15.6" outlineLevel="1" x14ac:dyDescent="0.25">
      <c r="C113" s="24" t="s">
        <v>41</v>
      </c>
      <c r="G113" s="9"/>
      <c r="H113" s="14"/>
      <c r="K113" s="9"/>
      <c r="L113" s="9">
        <f t="shared" si="14"/>
        <v>0</v>
      </c>
      <c r="M113" s="9">
        <f t="shared" si="15"/>
        <v>0</v>
      </c>
      <c r="O113" s="11" t="s">
        <v>333</v>
      </c>
    </row>
    <row r="114" spans="2:15" ht="172.5" customHeight="1" outlineLevel="1" x14ac:dyDescent="0.25">
      <c r="B114" s="6">
        <v>252</v>
      </c>
      <c r="C114" s="7" t="s">
        <v>106</v>
      </c>
      <c r="D114" s="13">
        <v>10.5</v>
      </c>
      <c r="E114" s="8" t="s">
        <v>13</v>
      </c>
      <c r="F114" s="19">
        <v>14558</v>
      </c>
      <c r="G114" s="9">
        <f t="shared" si="10"/>
        <v>152859</v>
      </c>
      <c r="H114" s="14">
        <v>10.5</v>
      </c>
      <c r="I114" s="10" t="s">
        <v>13</v>
      </c>
      <c r="J114" s="9">
        <f>F114</f>
        <v>14558</v>
      </c>
      <c r="K114" s="9">
        <f t="shared" si="11"/>
        <v>152859</v>
      </c>
      <c r="L114" s="9">
        <f t="shared" si="14"/>
        <v>0</v>
      </c>
      <c r="M114" s="9">
        <f t="shared" si="15"/>
        <v>0</v>
      </c>
      <c r="N114" s="170" t="s">
        <v>389</v>
      </c>
      <c r="O114" s="11" t="s">
        <v>333</v>
      </c>
    </row>
    <row r="115" spans="2:15" ht="15.6" outlineLevel="1" x14ac:dyDescent="0.25">
      <c r="C115" s="24" t="s">
        <v>41</v>
      </c>
      <c r="G115" s="9"/>
      <c r="H115" s="14">
        <f>20.08-10.5</f>
        <v>9.5799999999999983</v>
      </c>
      <c r="I115" s="10" t="s">
        <v>13</v>
      </c>
      <c r="J115" s="9">
        <f>J114</f>
        <v>14558</v>
      </c>
      <c r="K115" s="9">
        <f t="shared" si="11"/>
        <v>139466</v>
      </c>
      <c r="L115" s="9">
        <f t="shared" si="14"/>
        <v>139466</v>
      </c>
      <c r="M115" s="9">
        <f t="shared" si="15"/>
        <v>0</v>
      </c>
      <c r="N115" s="171"/>
      <c r="O115" s="11" t="s">
        <v>333</v>
      </c>
    </row>
    <row r="116" spans="2:15" ht="204.45" customHeight="1" outlineLevel="1" x14ac:dyDescent="0.25">
      <c r="B116" s="6">
        <v>253</v>
      </c>
      <c r="C116" s="7" t="s">
        <v>23</v>
      </c>
      <c r="D116" s="6">
        <v>215</v>
      </c>
      <c r="E116" s="8" t="s">
        <v>14</v>
      </c>
      <c r="F116" s="19">
        <v>1716</v>
      </c>
      <c r="G116" s="9">
        <f t="shared" si="10"/>
        <v>368940</v>
      </c>
      <c r="H116" s="14">
        <v>215</v>
      </c>
      <c r="I116" s="10" t="s">
        <v>14</v>
      </c>
      <c r="J116" s="9">
        <f>F116</f>
        <v>1716</v>
      </c>
      <c r="K116" s="9">
        <f t="shared" si="11"/>
        <v>368940</v>
      </c>
      <c r="L116" s="9">
        <f t="shared" si="14"/>
        <v>0</v>
      </c>
      <c r="M116" s="9">
        <f t="shared" si="15"/>
        <v>0</v>
      </c>
      <c r="N116" s="170" t="s">
        <v>389</v>
      </c>
      <c r="O116" s="11" t="s">
        <v>333</v>
      </c>
    </row>
    <row r="117" spans="2:15" ht="15.6" outlineLevel="1" x14ac:dyDescent="0.25">
      <c r="C117" s="24" t="s">
        <v>41</v>
      </c>
      <c r="G117" s="9"/>
      <c r="H117" s="14">
        <f>227.17-215</f>
        <v>12.169999999999987</v>
      </c>
      <c r="I117" s="10" t="s">
        <v>14</v>
      </c>
      <c r="J117" s="9">
        <f>J116</f>
        <v>1716</v>
      </c>
      <c r="K117" s="9">
        <f t="shared" si="11"/>
        <v>20884</v>
      </c>
      <c r="L117" s="9">
        <f t="shared" si="14"/>
        <v>20884</v>
      </c>
      <c r="M117" s="9">
        <f t="shared" si="15"/>
        <v>0</v>
      </c>
      <c r="N117" s="171"/>
      <c r="O117" s="11" t="s">
        <v>333</v>
      </c>
    </row>
    <row r="118" spans="2:15" ht="210" outlineLevel="1" x14ac:dyDescent="0.25">
      <c r="B118" s="34">
        <v>254</v>
      </c>
      <c r="C118" s="7" t="s">
        <v>107</v>
      </c>
      <c r="D118" s="13">
        <v>0.9</v>
      </c>
      <c r="E118" s="8" t="s">
        <v>15</v>
      </c>
      <c r="F118" s="19">
        <v>116500</v>
      </c>
      <c r="G118" s="9">
        <f t="shared" si="10"/>
        <v>104850</v>
      </c>
      <c r="H118" s="14">
        <v>0</v>
      </c>
      <c r="I118" s="10" t="s">
        <v>15</v>
      </c>
      <c r="J118" s="9">
        <f>F118</f>
        <v>116500</v>
      </c>
      <c r="K118" s="9"/>
      <c r="L118" s="9">
        <f t="shared" si="14"/>
        <v>0</v>
      </c>
      <c r="M118" s="9">
        <f t="shared" si="15"/>
        <v>104850</v>
      </c>
      <c r="N118" s="71" t="s">
        <v>390</v>
      </c>
      <c r="O118" s="11" t="s">
        <v>333</v>
      </c>
    </row>
    <row r="119" spans="2:15" outlineLevel="1" x14ac:dyDescent="0.25">
      <c r="G119" s="9"/>
      <c r="H119" s="14"/>
      <c r="K119" s="9"/>
      <c r="L119" s="9">
        <f t="shared" si="14"/>
        <v>0</v>
      </c>
      <c r="M119" s="9">
        <f t="shared" si="15"/>
        <v>0</v>
      </c>
      <c r="O119" s="11" t="s">
        <v>333</v>
      </c>
    </row>
    <row r="120" spans="2:15" ht="173.55" customHeight="1" outlineLevel="1" x14ac:dyDescent="0.25">
      <c r="B120" s="6">
        <v>255</v>
      </c>
      <c r="C120" s="7" t="s">
        <v>108</v>
      </c>
      <c r="D120" s="6">
        <v>45</v>
      </c>
      <c r="E120" s="8" t="s">
        <v>14</v>
      </c>
      <c r="F120" s="19">
        <v>945</v>
      </c>
      <c r="G120" s="9">
        <f t="shared" si="10"/>
        <v>42525</v>
      </c>
      <c r="H120" s="14">
        <v>39.56</v>
      </c>
      <c r="I120" s="10" t="s">
        <v>14</v>
      </c>
      <c r="J120" s="9">
        <f>F120</f>
        <v>945</v>
      </c>
      <c r="K120" s="9">
        <f t="shared" si="11"/>
        <v>37384</v>
      </c>
      <c r="L120" s="9">
        <f t="shared" si="14"/>
        <v>0</v>
      </c>
      <c r="M120" s="9">
        <f t="shared" si="15"/>
        <v>5141</v>
      </c>
      <c r="N120" s="71" t="s">
        <v>390</v>
      </c>
      <c r="O120" s="11" t="s">
        <v>333</v>
      </c>
    </row>
    <row r="121" spans="2:15" outlineLevel="1" x14ac:dyDescent="0.25">
      <c r="G121" s="9"/>
      <c r="H121" s="14"/>
      <c r="K121" s="9"/>
      <c r="L121" s="9">
        <f t="shared" si="14"/>
        <v>0</v>
      </c>
      <c r="M121" s="9">
        <f t="shared" si="15"/>
        <v>0</v>
      </c>
      <c r="O121" s="11" t="s">
        <v>333</v>
      </c>
    </row>
    <row r="122" spans="2:15" ht="165" outlineLevel="1" x14ac:dyDescent="0.25">
      <c r="B122" s="6">
        <v>256</v>
      </c>
      <c r="C122" s="7" t="s">
        <v>109</v>
      </c>
      <c r="D122" s="6">
        <v>430</v>
      </c>
      <c r="E122" s="8" t="s">
        <v>14</v>
      </c>
      <c r="F122" s="19">
        <v>906</v>
      </c>
      <c r="G122" s="9">
        <f t="shared" si="10"/>
        <v>389580</v>
      </c>
      <c r="H122" s="14">
        <v>430</v>
      </c>
      <c r="I122" s="10" t="s">
        <v>14</v>
      </c>
      <c r="J122" s="9">
        <f>F122</f>
        <v>906</v>
      </c>
      <c r="K122" s="9">
        <f t="shared" si="11"/>
        <v>389580</v>
      </c>
      <c r="L122" s="9">
        <f t="shared" si="14"/>
        <v>0</v>
      </c>
      <c r="M122" s="9">
        <f t="shared" si="15"/>
        <v>0</v>
      </c>
      <c r="N122" s="170" t="s">
        <v>389</v>
      </c>
      <c r="O122" s="11" t="s">
        <v>333</v>
      </c>
    </row>
    <row r="123" spans="2:15" ht="15.6" outlineLevel="1" x14ac:dyDescent="0.25">
      <c r="C123" s="24" t="s">
        <v>41</v>
      </c>
      <c r="G123" s="9"/>
      <c r="H123" s="14">
        <f>905.88-H122</f>
        <v>475.88</v>
      </c>
      <c r="I123" s="10" t="s">
        <v>14</v>
      </c>
      <c r="J123" s="9">
        <f>J122</f>
        <v>906</v>
      </c>
      <c r="K123" s="9">
        <f t="shared" si="11"/>
        <v>431147</v>
      </c>
      <c r="L123" s="9">
        <f t="shared" si="14"/>
        <v>431147</v>
      </c>
      <c r="M123" s="9">
        <f t="shared" si="15"/>
        <v>0</v>
      </c>
      <c r="N123" s="171"/>
      <c r="O123" s="11" t="s">
        <v>333</v>
      </c>
    </row>
    <row r="124" spans="2:15" ht="90" outlineLevel="1" x14ac:dyDescent="0.25">
      <c r="B124" s="34">
        <v>257</v>
      </c>
      <c r="C124" s="7" t="s">
        <v>9</v>
      </c>
      <c r="D124" s="6">
        <v>20</v>
      </c>
      <c r="E124" s="8" t="s">
        <v>14</v>
      </c>
      <c r="F124" s="19">
        <v>4670</v>
      </c>
      <c r="G124" s="9">
        <f t="shared" si="10"/>
        <v>93400</v>
      </c>
      <c r="H124" s="14">
        <v>0</v>
      </c>
      <c r="I124" s="10" t="s">
        <v>14</v>
      </c>
      <c r="J124" s="9">
        <f>F124</f>
        <v>4670</v>
      </c>
      <c r="K124" s="9"/>
      <c r="L124" s="9">
        <f t="shared" si="14"/>
        <v>0</v>
      </c>
      <c r="M124" s="9">
        <f t="shared" si="15"/>
        <v>93400</v>
      </c>
      <c r="N124" s="71" t="s">
        <v>390</v>
      </c>
      <c r="O124" s="11" t="s">
        <v>333</v>
      </c>
    </row>
    <row r="125" spans="2:15" outlineLevel="1" x14ac:dyDescent="0.25">
      <c r="G125" s="9"/>
      <c r="H125" s="14"/>
      <c r="K125" s="9"/>
      <c r="L125" s="9">
        <f t="shared" si="14"/>
        <v>0</v>
      </c>
      <c r="M125" s="9">
        <f t="shared" si="15"/>
        <v>0</v>
      </c>
      <c r="O125" s="11" t="s">
        <v>333</v>
      </c>
    </row>
    <row r="126" spans="2:15" ht="354" customHeight="1" outlineLevel="1" x14ac:dyDescent="0.25">
      <c r="B126" s="34">
        <v>258</v>
      </c>
      <c r="C126" s="7" t="s">
        <v>10</v>
      </c>
      <c r="D126" s="6">
        <v>5</v>
      </c>
      <c r="E126" s="8" t="s">
        <v>14</v>
      </c>
      <c r="F126" s="19">
        <v>13713</v>
      </c>
      <c r="G126" s="9">
        <f t="shared" si="10"/>
        <v>68565</v>
      </c>
      <c r="H126" s="14">
        <v>0</v>
      </c>
      <c r="I126" s="10" t="s">
        <v>14</v>
      </c>
      <c r="J126" s="9">
        <f>F126</f>
        <v>13713</v>
      </c>
      <c r="K126" s="9"/>
      <c r="L126" s="9">
        <f t="shared" si="14"/>
        <v>0</v>
      </c>
      <c r="M126" s="9">
        <f t="shared" si="15"/>
        <v>68565</v>
      </c>
      <c r="N126" s="71" t="s">
        <v>391</v>
      </c>
      <c r="O126" s="11" t="s">
        <v>333</v>
      </c>
    </row>
    <row r="127" spans="2:15" outlineLevel="1" x14ac:dyDescent="0.25">
      <c r="G127" s="9"/>
      <c r="H127" s="14"/>
      <c r="K127" s="9"/>
      <c r="L127" s="9">
        <f t="shared" si="14"/>
        <v>0</v>
      </c>
      <c r="M127" s="9">
        <f t="shared" si="15"/>
        <v>0</v>
      </c>
      <c r="O127" s="11" t="s">
        <v>333</v>
      </c>
    </row>
    <row r="128" spans="2:15" ht="377.55" customHeight="1" outlineLevel="1" x14ac:dyDescent="0.25">
      <c r="B128" s="6">
        <v>259</v>
      </c>
      <c r="C128" s="7" t="s">
        <v>227</v>
      </c>
      <c r="D128" s="6">
        <v>15</v>
      </c>
      <c r="E128" s="8" t="s">
        <v>14</v>
      </c>
      <c r="F128" s="19">
        <v>9517</v>
      </c>
      <c r="G128" s="9">
        <f t="shared" si="10"/>
        <v>142755</v>
      </c>
      <c r="H128" s="14">
        <v>15</v>
      </c>
      <c r="I128" s="10" t="s">
        <v>14</v>
      </c>
      <c r="J128" s="9">
        <f>F128</f>
        <v>9517</v>
      </c>
      <c r="K128" s="9">
        <f t="shared" si="11"/>
        <v>142755</v>
      </c>
      <c r="L128" s="9">
        <f t="shared" si="14"/>
        <v>0</v>
      </c>
      <c r="M128" s="9">
        <f t="shared" si="15"/>
        <v>0</v>
      </c>
      <c r="N128" s="170" t="s">
        <v>389</v>
      </c>
      <c r="O128" s="11" t="s">
        <v>333</v>
      </c>
    </row>
    <row r="129" spans="2:15" ht="15.6" outlineLevel="1" x14ac:dyDescent="0.25">
      <c r="C129" s="24" t="s">
        <v>41</v>
      </c>
      <c r="G129" s="9"/>
      <c r="H129" s="14">
        <f>39.8-H128</f>
        <v>24.799999999999997</v>
      </c>
      <c r="I129" s="10" t="s">
        <v>14</v>
      </c>
      <c r="J129" s="9">
        <f>F128</f>
        <v>9517</v>
      </c>
      <c r="K129" s="9">
        <f t="shared" si="11"/>
        <v>236022</v>
      </c>
      <c r="L129" s="9">
        <f t="shared" si="14"/>
        <v>236022</v>
      </c>
      <c r="M129" s="9">
        <f t="shared" si="15"/>
        <v>0</v>
      </c>
      <c r="N129" s="171"/>
      <c r="O129" s="11" t="s">
        <v>333</v>
      </c>
    </row>
    <row r="130" spans="2:15" ht="298.05" customHeight="1" outlineLevel="1" x14ac:dyDescent="0.25">
      <c r="B130" s="6">
        <v>260</v>
      </c>
      <c r="C130" s="7" t="s">
        <v>228</v>
      </c>
      <c r="D130" s="6">
        <v>5</v>
      </c>
      <c r="E130" s="8" t="s">
        <v>14</v>
      </c>
      <c r="F130" s="19">
        <v>8564</v>
      </c>
      <c r="G130" s="9">
        <f t="shared" si="10"/>
        <v>42820</v>
      </c>
      <c r="H130" s="14">
        <v>1.96</v>
      </c>
      <c r="I130" s="10" t="s">
        <v>14</v>
      </c>
      <c r="J130" s="9">
        <f>F130</f>
        <v>8564</v>
      </c>
      <c r="K130" s="9">
        <f t="shared" si="11"/>
        <v>16785</v>
      </c>
      <c r="L130" s="9">
        <f t="shared" si="14"/>
        <v>0</v>
      </c>
      <c r="M130" s="9">
        <f t="shared" si="15"/>
        <v>26035</v>
      </c>
      <c r="N130" s="71" t="s">
        <v>390</v>
      </c>
      <c r="O130" s="11" t="s">
        <v>333</v>
      </c>
    </row>
    <row r="131" spans="2:15" outlineLevel="1" x14ac:dyDescent="0.25">
      <c r="G131" s="9"/>
      <c r="H131" s="14"/>
      <c r="K131" s="9"/>
      <c r="L131" s="9">
        <f t="shared" si="14"/>
        <v>0</v>
      </c>
      <c r="M131" s="9">
        <f t="shared" si="15"/>
        <v>0</v>
      </c>
      <c r="O131" s="11" t="s">
        <v>333</v>
      </c>
    </row>
    <row r="132" spans="2:15" ht="298.5" customHeight="1" outlineLevel="1" x14ac:dyDescent="0.25">
      <c r="B132" s="34">
        <v>261</v>
      </c>
      <c r="C132" s="7" t="s">
        <v>110</v>
      </c>
      <c r="D132" s="6">
        <v>35</v>
      </c>
      <c r="E132" s="8" t="s">
        <v>14</v>
      </c>
      <c r="F132" s="19">
        <v>5593</v>
      </c>
      <c r="G132" s="9">
        <f t="shared" si="10"/>
        <v>195755</v>
      </c>
      <c r="H132" s="14">
        <v>0</v>
      </c>
      <c r="I132" s="10" t="s">
        <v>14</v>
      </c>
      <c r="J132" s="9">
        <f>F132</f>
        <v>5593</v>
      </c>
      <c r="K132" s="9"/>
      <c r="L132" s="9">
        <f t="shared" si="14"/>
        <v>0</v>
      </c>
      <c r="M132" s="9">
        <f t="shared" si="15"/>
        <v>195755</v>
      </c>
      <c r="N132" s="71" t="s">
        <v>391</v>
      </c>
      <c r="O132" s="11" t="s">
        <v>333</v>
      </c>
    </row>
    <row r="133" spans="2:15" outlineLevel="1" x14ac:dyDescent="0.25">
      <c r="G133" s="9"/>
      <c r="H133" s="14"/>
      <c r="K133" s="9"/>
      <c r="L133" s="9">
        <f t="shared" si="14"/>
        <v>0</v>
      </c>
      <c r="M133" s="9">
        <f t="shared" si="15"/>
        <v>0</v>
      </c>
      <c r="O133" s="11" t="s">
        <v>333</v>
      </c>
    </row>
    <row r="134" spans="2:15" ht="346.05" customHeight="1" outlineLevel="1" x14ac:dyDescent="0.25">
      <c r="B134" s="34">
        <v>262</v>
      </c>
      <c r="C134" s="7" t="s">
        <v>229</v>
      </c>
      <c r="D134" s="6">
        <v>10</v>
      </c>
      <c r="E134" s="8" t="s">
        <v>14</v>
      </c>
      <c r="F134" s="19">
        <v>6502</v>
      </c>
      <c r="G134" s="9">
        <f t="shared" si="10"/>
        <v>65020</v>
      </c>
      <c r="H134" s="14">
        <v>0</v>
      </c>
      <c r="I134" s="10" t="s">
        <v>14</v>
      </c>
      <c r="J134" s="9">
        <f>F134</f>
        <v>6502</v>
      </c>
      <c r="K134" s="9"/>
      <c r="L134" s="9">
        <f t="shared" si="14"/>
        <v>0</v>
      </c>
      <c r="M134" s="9">
        <f t="shared" si="15"/>
        <v>65020</v>
      </c>
      <c r="N134" s="71" t="s">
        <v>391</v>
      </c>
      <c r="O134" s="11" t="s">
        <v>333</v>
      </c>
    </row>
    <row r="135" spans="2:15" outlineLevel="1" x14ac:dyDescent="0.25">
      <c r="G135" s="9"/>
      <c r="H135" s="14"/>
      <c r="K135" s="9"/>
      <c r="L135" s="9">
        <f t="shared" si="14"/>
        <v>0</v>
      </c>
      <c r="M135" s="9">
        <f t="shared" si="15"/>
        <v>0</v>
      </c>
      <c r="O135" s="11" t="s">
        <v>333</v>
      </c>
    </row>
    <row r="136" spans="2:15" ht="285" outlineLevel="1" x14ac:dyDescent="0.25">
      <c r="B136" s="6">
        <v>263</v>
      </c>
      <c r="C136" s="7" t="s">
        <v>111</v>
      </c>
      <c r="D136" s="6">
        <v>360</v>
      </c>
      <c r="E136" s="8" t="s">
        <v>14</v>
      </c>
      <c r="F136" s="19">
        <v>1593</v>
      </c>
      <c r="G136" s="9">
        <f t="shared" si="10"/>
        <v>573480</v>
      </c>
      <c r="H136" s="14">
        <v>294.66000000000003</v>
      </c>
      <c r="I136" s="10" t="s">
        <v>14</v>
      </c>
      <c r="J136" s="9">
        <f>F136</f>
        <v>1593</v>
      </c>
      <c r="K136" s="9">
        <f t="shared" si="11"/>
        <v>469393</v>
      </c>
      <c r="L136" s="9">
        <f t="shared" si="14"/>
        <v>0</v>
      </c>
      <c r="M136" s="9">
        <f t="shared" si="15"/>
        <v>104087</v>
      </c>
      <c r="N136" s="71" t="s">
        <v>390</v>
      </c>
      <c r="O136" s="11" t="s">
        <v>333</v>
      </c>
    </row>
    <row r="137" spans="2:15" ht="15.6" outlineLevel="1" x14ac:dyDescent="0.25">
      <c r="C137" s="24"/>
      <c r="G137" s="9"/>
      <c r="H137" s="14"/>
      <c r="J137" s="9"/>
      <c r="K137" s="9"/>
      <c r="L137" s="9">
        <f t="shared" si="14"/>
        <v>0</v>
      </c>
      <c r="M137" s="9">
        <f t="shared" si="15"/>
        <v>0</v>
      </c>
      <c r="O137" s="11" t="s">
        <v>333</v>
      </c>
    </row>
    <row r="138" spans="2:15" ht="220.95" customHeight="1" outlineLevel="1" x14ac:dyDescent="0.25">
      <c r="B138" s="6">
        <v>264</v>
      </c>
      <c r="C138" s="7" t="s">
        <v>112</v>
      </c>
      <c r="D138" s="6">
        <v>12</v>
      </c>
      <c r="E138" s="8" t="s">
        <v>14</v>
      </c>
      <c r="F138" s="19">
        <v>1395</v>
      </c>
      <c r="G138" s="9">
        <f t="shared" si="10"/>
        <v>16740</v>
      </c>
      <c r="H138" s="14">
        <v>12</v>
      </c>
      <c r="I138" s="10" t="s">
        <v>14</v>
      </c>
      <c r="J138" s="9">
        <f>F138</f>
        <v>1395</v>
      </c>
      <c r="K138" s="9">
        <f t="shared" si="11"/>
        <v>16740</v>
      </c>
      <c r="L138" s="9">
        <f t="shared" si="14"/>
        <v>0</v>
      </c>
      <c r="M138" s="9">
        <f t="shared" si="15"/>
        <v>0</v>
      </c>
      <c r="N138" s="170" t="s">
        <v>389</v>
      </c>
      <c r="O138" s="11" t="s">
        <v>333</v>
      </c>
    </row>
    <row r="139" spans="2:15" ht="15.6" outlineLevel="1" x14ac:dyDescent="0.25">
      <c r="C139" s="24" t="s">
        <v>41</v>
      </c>
      <c r="G139" s="9"/>
      <c r="H139" s="14">
        <v>0.93</v>
      </c>
      <c r="I139" s="10" t="s">
        <v>14</v>
      </c>
      <c r="J139" s="9">
        <f>F138</f>
        <v>1395</v>
      </c>
      <c r="K139" s="9">
        <f t="shared" si="11"/>
        <v>1297</v>
      </c>
      <c r="L139" s="9">
        <f t="shared" si="14"/>
        <v>1297</v>
      </c>
      <c r="M139" s="9">
        <f t="shared" si="15"/>
        <v>0</v>
      </c>
      <c r="N139" s="171"/>
      <c r="O139" s="11" t="s">
        <v>333</v>
      </c>
    </row>
    <row r="140" spans="2:15" ht="283.95" customHeight="1" outlineLevel="1" x14ac:dyDescent="0.25">
      <c r="B140" s="6">
        <v>265</v>
      </c>
      <c r="C140" s="7" t="s">
        <v>230</v>
      </c>
      <c r="D140" s="6">
        <v>300</v>
      </c>
      <c r="E140" s="8" t="s">
        <v>14</v>
      </c>
      <c r="F140" s="19">
        <v>1636</v>
      </c>
      <c r="G140" s="9">
        <f t="shared" si="10"/>
        <v>490800</v>
      </c>
      <c r="H140" s="14">
        <v>300</v>
      </c>
      <c r="I140" s="10" t="s">
        <v>14</v>
      </c>
      <c r="J140" s="9">
        <f>F140</f>
        <v>1636</v>
      </c>
      <c r="K140" s="9">
        <f t="shared" si="11"/>
        <v>490800</v>
      </c>
      <c r="L140" s="9">
        <f t="shared" si="14"/>
        <v>0</v>
      </c>
      <c r="M140" s="9">
        <f t="shared" si="15"/>
        <v>0</v>
      </c>
      <c r="N140" s="170" t="s">
        <v>389</v>
      </c>
      <c r="O140" s="11" t="s">
        <v>333</v>
      </c>
    </row>
    <row r="141" spans="2:15" ht="15.6" outlineLevel="1" x14ac:dyDescent="0.25">
      <c r="C141" s="24" t="s">
        <v>41</v>
      </c>
      <c r="G141" s="9"/>
      <c r="H141" s="14">
        <f>438.85-H140</f>
        <v>138.85000000000002</v>
      </c>
      <c r="I141" s="10" t="s">
        <v>14</v>
      </c>
      <c r="J141" s="9">
        <f>F140</f>
        <v>1636</v>
      </c>
      <c r="K141" s="9">
        <f t="shared" si="11"/>
        <v>227159</v>
      </c>
      <c r="L141" s="9">
        <f t="shared" si="14"/>
        <v>227159</v>
      </c>
      <c r="M141" s="9">
        <f t="shared" si="15"/>
        <v>0</v>
      </c>
      <c r="N141" s="171"/>
      <c r="O141" s="11" t="s">
        <v>333</v>
      </c>
    </row>
    <row r="142" spans="2:15" ht="210" outlineLevel="1" x14ac:dyDescent="0.25">
      <c r="B142" s="6">
        <v>266</v>
      </c>
      <c r="C142" s="7" t="s">
        <v>33</v>
      </c>
      <c r="D142" s="6">
        <v>30</v>
      </c>
      <c r="E142" s="8" t="s">
        <v>14</v>
      </c>
      <c r="F142" s="19">
        <v>1391</v>
      </c>
      <c r="G142" s="9">
        <f t="shared" si="10"/>
        <v>41730</v>
      </c>
      <c r="H142" s="14">
        <v>30</v>
      </c>
      <c r="I142" s="10" t="s">
        <v>14</v>
      </c>
      <c r="J142" s="9">
        <f>F142</f>
        <v>1391</v>
      </c>
      <c r="K142" s="9">
        <f t="shared" si="11"/>
        <v>41730</v>
      </c>
      <c r="L142" s="9">
        <f t="shared" si="14"/>
        <v>0</v>
      </c>
      <c r="M142" s="9">
        <f t="shared" si="15"/>
        <v>0</v>
      </c>
      <c r="N142" s="170" t="s">
        <v>392</v>
      </c>
      <c r="O142" s="11" t="s">
        <v>333</v>
      </c>
    </row>
    <row r="143" spans="2:15" ht="15.6" outlineLevel="1" x14ac:dyDescent="0.25">
      <c r="C143" s="24" t="s">
        <v>41</v>
      </c>
      <c r="G143" s="9"/>
      <c r="H143" s="14">
        <f>255.4-30</f>
        <v>225.4</v>
      </c>
      <c r="I143" s="10" t="s">
        <v>14</v>
      </c>
      <c r="J143" s="9">
        <f>J142</f>
        <v>1391</v>
      </c>
      <c r="K143" s="9">
        <f t="shared" si="11"/>
        <v>313531</v>
      </c>
      <c r="L143" s="9">
        <f t="shared" si="14"/>
        <v>313531</v>
      </c>
      <c r="M143" s="9">
        <f t="shared" si="15"/>
        <v>0</v>
      </c>
      <c r="N143" s="171"/>
      <c r="O143" s="11" t="s">
        <v>333</v>
      </c>
    </row>
    <row r="144" spans="2:15" ht="205.5" customHeight="1" outlineLevel="1" x14ac:dyDescent="0.25">
      <c r="B144" s="6">
        <v>267</v>
      </c>
      <c r="C144" s="7" t="s">
        <v>113</v>
      </c>
      <c r="D144" s="6">
        <v>975</v>
      </c>
      <c r="E144" s="8" t="s">
        <v>14</v>
      </c>
      <c r="F144" s="19">
        <v>315</v>
      </c>
      <c r="G144" s="9">
        <f t="shared" si="10"/>
        <v>307125</v>
      </c>
      <c r="H144" s="14">
        <v>975</v>
      </c>
      <c r="I144" s="10" t="s">
        <v>14</v>
      </c>
      <c r="J144" s="9">
        <f>F144</f>
        <v>315</v>
      </c>
      <c r="K144" s="9">
        <f t="shared" si="11"/>
        <v>307125</v>
      </c>
      <c r="L144" s="9">
        <f t="shared" si="14"/>
        <v>0</v>
      </c>
      <c r="M144" s="9">
        <f t="shared" si="15"/>
        <v>0</v>
      </c>
      <c r="N144" s="170" t="s">
        <v>389</v>
      </c>
      <c r="O144" s="11" t="s">
        <v>333</v>
      </c>
    </row>
    <row r="145" spans="2:15" ht="15.6" outlineLevel="1" x14ac:dyDescent="0.25">
      <c r="C145" s="24" t="s">
        <v>41</v>
      </c>
      <c r="G145" s="9"/>
      <c r="H145" s="14">
        <f>1448.95-H144</f>
        <v>473.95000000000005</v>
      </c>
      <c r="I145" s="10" t="s">
        <v>14</v>
      </c>
      <c r="J145" s="9">
        <f>J144</f>
        <v>315</v>
      </c>
      <c r="K145" s="9">
        <f t="shared" si="11"/>
        <v>149294</v>
      </c>
      <c r="L145" s="9">
        <f t="shared" si="14"/>
        <v>149294</v>
      </c>
      <c r="M145" s="9">
        <f t="shared" si="15"/>
        <v>0</v>
      </c>
      <c r="N145" s="171"/>
      <c r="O145" s="11" t="s">
        <v>333</v>
      </c>
    </row>
    <row r="146" spans="2:15" ht="157.94999999999999" customHeight="1" outlineLevel="1" x14ac:dyDescent="0.25">
      <c r="B146" s="34">
        <v>268</v>
      </c>
      <c r="C146" s="7" t="s">
        <v>32</v>
      </c>
      <c r="D146" s="6">
        <v>80</v>
      </c>
      <c r="E146" s="8" t="s">
        <v>14</v>
      </c>
      <c r="F146" s="19">
        <v>281</v>
      </c>
      <c r="G146" s="9">
        <f t="shared" si="10"/>
        <v>22480</v>
      </c>
      <c r="H146" s="14">
        <v>0</v>
      </c>
      <c r="I146" s="10" t="s">
        <v>14</v>
      </c>
      <c r="J146" s="9">
        <f>F146</f>
        <v>281</v>
      </c>
      <c r="K146" s="9"/>
      <c r="L146" s="9">
        <f t="shared" si="14"/>
        <v>0</v>
      </c>
      <c r="M146" s="9">
        <f t="shared" si="15"/>
        <v>22480</v>
      </c>
      <c r="N146" s="15" t="s">
        <v>393</v>
      </c>
      <c r="O146" s="11" t="s">
        <v>333</v>
      </c>
    </row>
    <row r="147" spans="2:15" outlineLevel="1" x14ac:dyDescent="0.25">
      <c r="G147" s="9"/>
      <c r="H147" s="14"/>
      <c r="K147" s="9"/>
      <c r="L147" s="9">
        <f t="shared" si="14"/>
        <v>0</v>
      </c>
      <c r="M147" s="9">
        <f t="shared" si="15"/>
        <v>0</v>
      </c>
      <c r="O147" s="11" t="s">
        <v>333</v>
      </c>
    </row>
    <row r="148" spans="2:15" ht="128.55000000000001" customHeight="1" outlineLevel="1" x14ac:dyDescent="0.25">
      <c r="B148" s="6">
        <v>269</v>
      </c>
      <c r="C148" s="7" t="s">
        <v>114</v>
      </c>
      <c r="D148" s="6">
        <v>975</v>
      </c>
      <c r="E148" s="8" t="s">
        <v>14</v>
      </c>
      <c r="F148" s="19">
        <v>259</v>
      </c>
      <c r="G148" s="9">
        <f t="shared" si="10"/>
        <v>252525</v>
      </c>
      <c r="H148" s="14">
        <v>975</v>
      </c>
      <c r="I148" s="10" t="s">
        <v>14</v>
      </c>
      <c r="J148" s="9">
        <f>F148</f>
        <v>259</v>
      </c>
      <c r="K148" s="9">
        <f t="shared" si="11"/>
        <v>252525</v>
      </c>
      <c r="L148" s="9">
        <f t="shared" si="14"/>
        <v>0</v>
      </c>
      <c r="M148" s="9">
        <f t="shared" si="15"/>
        <v>0</v>
      </c>
      <c r="N148" s="170" t="s">
        <v>389</v>
      </c>
      <c r="O148" s="11" t="s">
        <v>333</v>
      </c>
    </row>
    <row r="149" spans="2:15" ht="15.6" outlineLevel="1" x14ac:dyDescent="0.25">
      <c r="C149" s="24" t="s">
        <v>41</v>
      </c>
      <c r="G149" s="9"/>
      <c r="H149" s="14">
        <f>1127.93-H148</f>
        <v>152.93000000000006</v>
      </c>
      <c r="I149" s="10" t="s">
        <v>14</v>
      </c>
      <c r="J149" s="9">
        <f>J148</f>
        <v>259</v>
      </c>
      <c r="K149" s="9">
        <f t="shared" si="11"/>
        <v>39609</v>
      </c>
      <c r="L149" s="9">
        <f t="shared" si="14"/>
        <v>39609</v>
      </c>
      <c r="M149" s="9">
        <f t="shared" si="15"/>
        <v>0</v>
      </c>
      <c r="N149" s="171"/>
      <c r="O149" s="11" t="s">
        <v>333</v>
      </c>
    </row>
    <row r="150" spans="2:15" ht="142.5" customHeight="1" outlineLevel="1" x14ac:dyDescent="0.25">
      <c r="B150" s="34">
        <v>270</v>
      </c>
      <c r="C150" s="7" t="s">
        <v>115</v>
      </c>
      <c r="D150" s="6">
        <v>100</v>
      </c>
      <c r="E150" s="8" t="s">
        <v>14</v>
      </c>
      <c r="F150" s="19">
        <v>229</v>
      </c>
      <c r="G150" s="9">
        <f t="shared" si="10"/>
        <v>22900</v>
      </c>
      <c r="H150" s="14">
        <v>0</v>
      </c>
      <c r="I150" s="10" t="s">
        <v>14</v>
      </c>
      <c r="J150" s="9">
        <f>F150</f>
        <v>229</v>
      </c>
      <c r="K150" s="9"/>
      <c r="L150" s="9">
        <f t="shared" si="14"/>
        <v>0</v>
      </c>
      <c r="M150" s="9">
        <f t="shared" si="15"/>
        <v>22900</v>
      </c>
      <c r="N150" s="71" t="s">
        <v>390</v>
      </c>
      <c r="O150" s="11" t="s">
        <v>333</v>
      </c>
    </row>
    <row r="151" spans="2:15" outlineLevel="1" x14ac:dyDescent="0.25">
      <c r="B151" s="6"/>
      <c r="C151" s="7"/>
      <c r="D151" s="6"/>
      <c r="E151" s="8"/>
      <c r="F151" s="19"/>
      <c r="G151" s="9"/>
      <c r="H151" s="14"/>
      <c r="J151" s="9"/>
      <c r="K151" s="9"/>
      <c r="L151" s="9">
        <f t="shared" si="14"/>
        <v>0</v>
      </c>
      <c r="M151" s="9">
        <f t="shared" si="15"/>
        <v>0</v>
      </c>
      <c r="O151" s="11" t="s">
        <v>333</v>
      </c>
    </row>
    <row r="152" spans="2:15" ht="173.55" customHeight="1" outlineLevel="1" x14ac:dyDescent="0.25">
      <c r="B152" s="6">
        <v>285</v>
      </c>
      <c r="C152" s="7" t="s">
        <v>116</v>
      </c>
      <c r="D152" s="6">
        <v>125</v>
      </c>
      <c r="E152" s="8" t="s">
        <v>17</v>
      </c>
      <c r="F152" s="19">
        <v>5620</v>
      </c>
      <c r="G152" s="9">
        <f t="shared" si="10"/>
        <v>702500</v>
      </c>
      <c r="H152" s="14">
        <v>121.04</v>
      </c>
      <c r="I152" s="10" t="s">
        <v>17</v>
      </c>
      <c r="J152" s="9">
        <f>F152</f>
        <v>5620</v>
      </c>
      <c r="K152" s="9">
        <f t="shared" si="11"/>
        <v>680245</v>
      </c>
      <c r="L152" s="9">
        <f t="shared" si="14"/>
        <v>0</v>
      </c>
      <c r="M152" s="9">
        <f t="shared" si="15"/>
        <v>22255</v>
      </c>
      <c r="N152" s="71" t="s">
        <v>390</v>
      </c>
      <c r="O152" s="11" t="s">
        <v>333</v>
      </c>
    </row>
    <row r="153" spans="2:15" outlineLevel="1" x14ac:dyDescent="0.25">
      <c r="G153" s="9"/>
      <c r="H153" s="14"/>
      <c r="K153" s="9"/>
      <c r="L153" s="9">
        <f t="shared" si="14"/>
        <v>0</v>
      </c>
      <c r="M153" s="9">
        <f t="shared" si="15"/>
        <v>0</v>
      </c>
      <c r="O153" s="11" t="s">
        <v>333</v>
      </c>
    </row>
    <row r="154" spans="2:15" ht="165" outlineLevel="1" x14ac:dyDescent="0.25">
      <c r="B154" s="6">
        <v>286</v>
      </c>
      <c r="C154" s="7" t="s">
        <v>31</v>
      </c>
      <c r="D154" s="6">
        <v>60</v>
      </c>
      <c r="E154" s="8" t="s">
        <v>17</v>
      </c>
      <c r="F154" s="19">
        <v>5135</v>
      </c>
      <c r="G154" s="9">
        <f t="shared" si="10"/>
        <v>308100</v>
      </c>
      <c r="H154" s="14">
        <v>60</v>
      </c>
      <c r="I154" s="10" t="s">
        <v>17</v>
      </c>
      <c r="J154" s="9">
        <f>F154</f>
        <v>5135</v>
      </c>
      <c r="K154" s="9">
        <f t="shared" si="11"/>
        <v>308100</v>
      </c>
      <c r="L154" s="9">
        <f t="shared" si="14"/>
        <v>0</v>
      </c>
      <c r="M154" s="9">
        <f t="shared" si="15"/>
        <v>0</v>
      </c>
      <c r="N154" s="170" t="s">
        <v>389</v>
      </c>
      <c r="O154" s="11" t="s">
        <v>333</v>
      </c>
    </row>
    <row r="155" spans="2:15" ht="15.6" outlineLevel="1" x14ac:dyDescent="0.25">
      <c r="C155" s="24" t="s">
        <v>41</v>
      </c>
      <c r="G155" s="9"/>
      <c r="H155" s="14">
        <v>2.7</v>
      </c>
      <c r="I155" s="10" t="s">
        <v>17</v>
      </c>
      <c r="J155" s="9">
        <f>F154</f>
        <v>5135</v>
      </c>
      <c r="K155" s="9">
        <f t="shared" si="11"/>
        <v>13865</v>
      </c>
      <c r="L155" s="9">
        <f t="shared" si="14"/>
        <v>13865</v>
      </c>
      <c r="M155" s="9">
        <f t="shared" si="15"/>
        <v>0</v>
      </c>
      <c r="N155" s="171"/>
      <c r="O155" s="11" t="s">
        <v>333</v>
      </c>
    </row>
    <row r="156" spans="2:15" ht="220.5" customHeight="1" outlineLevel="1" x14ac:dyDescent="0.25">
      <c r="B156" s="6">
        <v>287</v>
      </c>
      <c r="C156" s="7" t="s">
        <v>117</v>
      </c>
      <c r="D156" s="6">
        <v>4</v>
      </c>
      <c r="E156" s="8" t="s">
        <v>11</v>
      </c>
      <c r="F156" s="19">
        <v>46000</v>
      </c>
      <c r="G156" s="9">
        <f t="shared" si="10"/>
        <v>184000</v>
      </c>
      <c r="H156" s="14">
        <v>4</v>
      </c>
      <c r="I156" s="10" t="s">
        <v>11</v>
      </c>
      <c r="J156" s="9">
        <f>F156</f>
        <v>46000</v>
      </c>
      <c r="K156" s="9">
        <f t="shared" si="11"/>
        <v>184000</v>
      </c>
      <c r="L156" s="9">
        <f t="shared" si="14"/>
        <v>0</v>
      </c>
      <c r="M156" s="9">
        <f t="shared" si="15"/>
        <v>0</v>
      </c>
      <c r="N156" s="170" t="s">
        <v>395</v>
      </c>
      <c r="O156" s="11" t="s">
        <v>333</v>
      </c>
    </row>
    <row r="157" spans="2:15" ht="15.6" outlineLevel="1" x14ac:dyDescent="0.25">
      <c r="C157" s="24" t="s">
        <v>41</v>
      </c>
      <c r="G157" s="9"/>
      <c r="H157" s="14">
        <v>1</v>
      </c>
      <c r="I157" s="10" t="s">
        <v>11</v>
      </c>
      <c r="J157" s="9">
        <f>F156</f>
        <v>46000</v>
      </c>
      <c r="K157" s="9">
        <f t="shared" si="11"/>
        <v>46000</v>
      </c>
      <c r="L157" s="9">
        <f t="shared" si="14"/>
        <v>46000</v>
      </c>
      <c r="M157" s="9">
        <f t="shared" si="15"/>
        <v>0</v>
      </c>
      <c r="N157" s="171"/>
      <c r="O157" s="11" t="s">
        <v>333</v>
      </c>
    </row>
    <row r="158" spans="2:15" ht="195" outlineLevel="1" x14ac:dyDescent="0.25">
      <c r="B158" s="34">
        <v>288</v>
      </c>
      <c r="C158" s="7" t="s">
        <v>118</v>
      </c>
      <c r="D158" s="6">
        <v>2</v>
      </c>
      <c r="E158" s="8" t="s">
        <v>11</v>
      </c>
      <c r="F158" s="19">
        <v>28700</v>
      </c>
      <c r="G158" s="9">
        <f t="shared" si="10"/>
        <v>57400</v>
      </c>
      <c r="H158" s="14">
        <v>2</v>
      </c>
      <c r="I158" s="10" t="s">
        <v>11</v>
      </c>
      <c r="J158" s="9">
        <f>F158</f>
        <v>28700</v>
      </c>
      <c r="K158" s="9">
        <f t="shared" si="11"/>
        <v>57400</v>
      </c>
      <c r="L158" s="9">
        <f t="shared" si="14"/>
        <v>0</v>
      </c>
      <c r="M158" s="9">
        <f t="shared" si="15"/>
        <v>0</v>
      </c>
      <c r="N158" s="170" t="s">
        <v>394</v>
      </c>
      <c r="O158" s="11" t="s">
        <v>333</v>
      </c>
    </row>
    <row r="159" spans="2:15" ht="15.6" outlineLevel="1" x14ac:dyDescent="0.25">
      <c r="C159" s="24" t="s">
        <v>41</v>
      </c>
      <c r="G159" s="9"/>
      <c r="H159" s="14">
        <v>3</v>
      </c>
      <c r="I159" s="10" t="s">
        <v>11</v>
      </c>
      <c r="J159" s="9">
        <f>J158</f>
        <v>28700</v>
      </c>
      <c r="K159" s="9">
        <f t="shared" si="11"/>
        <v>86100</v>
      </c>
      <c r="L159" s="9">
        <f t="shared" si="14"/>
        <v>86100</v>
      </c>
      <c r="M159" s="9">
        <f t="shared" si="15"/>
        <v>0</v>
      </c>
      <c r="N159" s="171"/>
      <c r="O159" s="11" t="s">
        <v>333</v>
      </c>
    </row>
    <row r="160" spans="2:15" ht="76.2" customHeight="1" outlineLevel="1" x14ac:dyDescent="0.25">
      <c r="B160" s="6">
        <v>289</v>
      </c>
      <c r="C160" s="7" t="s">
        <v>119</v>
      </c>
      <c r="D160" s="6">
        <v>100</v>
      </c>
      <c r="E160" s="8" t="s">
        <v>16</v>
      </c>
      <c r="F160" s="19">
        <v>585</v>
      </c>
      <c r="G160" s="9">
        <f t="shared" si="10"/>
        <v>58500</v>
      </c>
      <c r="H160" s="14">
        <v>100</v>
      </c>
      <c r="I160" s="10" t="s">
        <v>16</v>
      </c>
      <c r="J160" s="9">
        <f>F160</f>
        <v>585</v>
      </c>
      <c r="K160" s="9">
        <f t="shared" si="11"/>
        <v>58500</v>
      </c>
      <c r="L160" s="9">
        <f t="shared" si="14"/>
        <v>0</v>
      </c>
      <c r="M160" s="9">
        <f t="shared" si="15"/>
        <v>0</v>
      </c>
      <c r="N160" s="170" t="s">
        <v>389</v>
      </c>
      <c r="O160" s="11" t="s">
        <v>333</v>
      </c>
    </row>
    <row r="161" spans="2:15" ht="15.6" outlineLevel="1" x14ac:dyDescent="0.25">
      <c r="C161" s="24" t="s">
        <v>41</v>
      </c>
      <c r="G161" s="9"/>
      <c r="H161" s="14">
        <f>109.88-H160</f>
        <v>9.8799999999999955</v>
      </c>
      <c r="I161" s="10" t="s">
        <v>16</v>
      </c>
      <c r="J161" s="9">
        <f>J160</f>
        <v>585</v>
      </c>
      <c r="K161" s="9">
        <f t="shared" si="11"/>
        <v>5780</v>
      </c>
      <c r="L161" s="9">
        <f t="shared" si="14"/>
        <v>5780</v>
      </c>
      <c r="M161" s="9">
        <f t="shared" si="15"/>
        <v>0</v>
      </c>
      <c r="N161" s="171"/>
      <c r="O161" s="11" t="s">
        <v>333</v>
      </c>
    </row>
    <row r="162" spans="2:15" ht="114" customHeight="1" outlineLevel="1" x14ac:dyDescent="0.25">
      <c r="B162" s="6">
        <v>290</v>
      </c>
      <c r="C162" s="7" t="s">
        <v>120</v>
      </c>
      <c r="D162" s="6">
        <v>140</v>
      </c>
      <c r="E162" s="8" t="s">
        <v>14</v>
      </c>
      <c r="F162" s="19">
        <v>4070</v>
      </c>
      <c r="G162" s="9">
        <f t="shared" si="10"/>
        <v>569800</v>
      </c>
      <c r="H162" s="14">
        <v>140</v>
      </c>
      <c r="I162" s="10" t="s">
        <v>14</v>
      </c>
      <c r="J162" s="9">
        <f>F162</f>
        <v>4070</v>
      </c>
      <c r="K162" s="9">
        <f t="shared" si="11"/>
        <v>569800</v>
      </c>
      <c r="L162" s="9">
        <f t="shared" si="14"/>
        <v>0</v>
      </c>
      <c r="M162" s="9">
        <f t="shared" si="15"/>
        <v>0</v>
      </c>
      <c r="N162" s="170" t="s">
        <v>389</v>
      </c>
      <c r="O162" s="11" t="s">
        <v>333</v>
      </c>
    </row>
    <row r="163" spans="2:15" ht="15.6" outlineLevel="1" x14ac:dyDescent="0.25">
      <c r="C163" s="24" t="s">
        <v>41</v>
      </c>
      <c r="G163" s="9"/>
      <c r="H163" s="14">
        <f>173.31-H162</f>
        <v>33.31</v>
      </c>
      <c r="I163" s="10" t="s">
        <v>14</v>
      </c>
      <c r="J163" s="9">
        <f>F162</f>
        <v>4070</v>
      </c>
      <c r="K163" s="9">
        <f t="shared" si="11"/>
        <v>135572</v>
      </c>
      <c r="L163" s="9">
        <f t="shared" si="14"/>
        <v>135572</v>
      </c>
      <c r="M163" s="9">
        <f t="shared" si="15"/>
        <v>0</v>
      </c>
      <c r="N163" s="171"/>
      <c r="O163" s="11" t="s">
        <v>333</v>
      </c>
    </row>
    <row r="164" spans="2:15" ht="60" outlineLevel="1" x14ac:dyDescent="0.25">
      <c r="B164" s="6">
        <v>291</v>
      </c>
      <c r="C164" s="7" t="s">
        <v>121</v>
      </c>
      <c r="D164" s="6">
        <v>1</v>
      </c>
      <c r="E164" s="8" t="s">
        <v>11</v>
      </c>
      <c r="F164" s="19">
        <v>355000</v>
      </c>
      <c r="G164" s="9">
        <f t="shared" si="10"/>
        <v>355000</v>
      </c>
      <c r="H164" s="14">
        <v>1</v>
      </c>
      <c r="I164" s="10" t="s">
        <v>11</v>
      </c>
      <c r="J164" s="9">
        <f>F164</f>
        <v>355000</v>
      </c>
      <c r="K164" s="9">
        <f t="shared" si="11"/>
        <v>355000</v>
      </c>
      <c r="L164" s="9">
        <f t="shared" si="14"/>
        <v>0</v>
      </c>
      <c r="M164" s="9">
        <f t="shared" si="15"/>
        <v>0</v>
      </c>
      <c r="N164" s="71" t="s">
        <v>390</v>
      </c>
      <c r="O164" s="11" t="s">
        <v>333</v>
      </c>
    </row>
    <row r="165" spans="2:15" outlineLevel="1" x14ac:dyDescent="0.25">
      <c r="G165" s="9"/>
      <c r="H165" s="14"/>
      <c r="K165" s="9"/>
      <c r="L165" s="9">
        <f t="shared" si="14"/>
        <v>0</v>
      </c>
      <c r="M165" s="9">
        <f t="shared" si="15"/>
        <v>0</v>
      </c>
      <c r="O165" s="11" t="s">
        <v>333</v>
      </c>
    </row>
    <row r="166" spans="2:15" ht="75" outlineLevel="1" x14ac:dyDescent="0.25">
      <c r="B166" s="6">
        <v>292</v>
      </c>
      <c r="C166" s="7" t="s">
        <v>122</v>
      </c>
      <c r="D166" s="6">
        <v>3</v>
      </c>
      <c r="E166" s="8" t="s">
        <v>11</v>
      </c>
      <c r="F166" s="19">
        <v>61000</v>
      </c>
      <c r="G166" s="9">
        <f t="shared" si="10"/>
        <v>183000</v>
      </c>
      <c r="H166" s="14">
        <v>2</v>
      </c>
      <c r="I166" s="10" t="s">
        <v>11</v>
      </c>
      <c r="J166" s="9">
        <f>F166</f>
        <v>61000</v>
      </c>
      <c r="K166" s="9">
        <f t="shared" si="11"/>
        <v>122000</v>
      </c>
      <c r="L166" s="9">
        <f t="shared" si="14"/>
        <v>0</v>
      </c>
      <c r="M166" s="9">
        <f t="shared" si="15"/>
        <v>61000</v>
      </c>
      <c r="N166" s="71" t="s">
        <v>390</v>
      </c>
      <c r="O166" s="11" t="s">
        <v>333</v>
      </c>
    </row>
    <row r="167" spans="2:15" outlineLevel="1" x14ac:dyDescent="0.25">
      <c r="B167" s="6"/>
      <c r="C167" s="7"/>
      <c r="D167" s="6"/>
      <c r="E167" s="8"/>
      <c r="F167" s="19"/>
      <c r="G167" s="9"/>
      <c r="H167" s="14"/>
      <c r="J167" s="9"/>
      <c r="K167" s="9"/>
      <c r="L167" s="9"/>
      <c r="M167" s="9"/>
      <c r="O167" s="11" t="s">
        <v>333</v>
      </c>
    </row>
    <row r="168" spans="2:15" ht="19.95" customHeight="1" x14ac:dyDescent="0.25">
      <c r="B168" s="6"/>
      <c r="C168" s="7"/>
      <c r="D168" s="6"/>
      <c r="E168" s="8"/>
      <c r="F168" s="19"/>
      <c r="G168" s="23">
        <f>ROUND(SUM(G104:G167),0)</f>
        <v>5915529</v>
      </c>
      <c r="H168" s="14"/>
      <c r="J168" s="23" t="s">
        <v>44</v>
      </c>
      <c r="K168" s="23">
        <f>ROUND(SUM(K104:K167),0)</f>
        <v>6901373</v>
      </c>
      <c r="L168" s="23">
        <f>SUM(L104:L167)</f>
        <v>1857925</v>
      </c>
      <c r="M168" s="23">
        <f>SUM(M104:M167)</f>
        <v>872081</v>
      </c>
      <c r="N168" s="81"/>
    </row>
    <row r="169" spans="2:15" ht="15.6" x14ac:dyDescent="0.25">
      <c r="C169" s="12" t="s">
        <v>47</v>
      </c>
      <c r="H169" s="14"/>
      <c r="L169" s="9"/>
      <c r="M169" s="9"/>
    </row>
    <row r="170" spans="2:15" ht="126" customHeight="1" outlineLevel="1" x14ac:dyDescent="0.25">
      <c r="B170" s="34">
        <v>271</v>
      </c>
      <c r="C170" s="7" t="s">
        <v>39</v>
      </c>
      <c r="D170" s="6">
        <v>2</v>
      </c>
      <c r="E170" s="8" t="s">
        <v>11</v>
      </c>
      <c r="F170" s="19">
        <v>881</v>
      </c>
      <c r="G170" s="9">
        <f t="shared" ref="G170:G196" si="16">ROUND(D170*F170,0)</f>
        <v>1762</v>
      </c>
      <c r="H170" s="14">
        <v>0</v>
      </c>
      <c r="I170" s="10" t="s">
        <v>11</v>
      </c>
      <c r="J170" s="9">
        <f>F170</f>
        <v>881</v>
      </c>
      <c r="K170" s="9"/>
      <c r="L170" s="9">
        <f t="shared" ref="L170" si="17">ROUND(IF(K170&gt;G170,K170-G170,0),0)</f>
        <v>0</v>
      </c>
      <c r="M170" s="9">
        <f t="shared" ref="M170" si="18">ROUND(IF(K170&lt;G170,G170-K170,0),0)</f>
        <v>1762</v>
      </c>
      <c r="N170" s="71" t="s">
        <v>390</v>
      </c>
      <c r="O170" s="11" t="s">
        <v>334</v>
      </c>
    </row>
    <row r="171" spans="2:15" outlineLevel="1" x14ac:dyDescent="0.25">
      <c r="G171" s="9"/>
      <c r="H171" s="14"/>
      <c r="K171" s="9"/>
      <c r="L171" s="9">
        <f t="shared" ref="L171:L197" si="19">ROUND(IF(K171&gt;G171,K171-G171,0),0)</f>
        <v>0</v>
      </c>
      <c r="M171" s="9">
        <f t="shared" ref="M171:M197" si="20">ROUND(IF(K171&lt;G171,G171-K171,0),0)</f>
        <v>0</v>
      </c>
      <c r="O171" s="11" t="s">
        <v>334</v>
      </c>
    </row>
    <row r="172" spans="2:15" ht="120" outlineLevel="1" x14ac:dyDescent="0.25">
      <c r="B172" s="6">
        <v>272</v>
      </c>
      <c r="C172" s="7" t="s">
        <v>123</v>
      </c>
      <c r="D172" s="6">
        <v>60</v>
      </c>
      <c r="E172" s="8" t="s">
        <v>16</v>
      </c>
      <c r="F172" s="19">
        <v>199</v>
      </c>
      <c r="G172" s="9">
        <f t="shared" si="16"/>
        <v>11940</v>
      </c>
      <c r="H172" s="14">
        <v>60</v>
      </c>
      <c r="I172" s="10" t="s">
        <v>16</v>
      </c>
      <c r="J172" s="9">
        <f>F172</f>
        <v>199</v>
      </c>
      <c r="K172" s="9">
        <f t="shared" ref="K172:K196" si="21">ROUND(H172*J172,0)</f>
        <v>11940</v>
      </c>
      <c r="L172" s="9">
        <f t="shared" si="19"/>
        <v>0</v>
      </c>
      <c r="M172" s="9">
        <f t="shared" si="20"/>
        <v>0</v>
      </c>
      <c r="N172" s="170" t="s">
        <v>389</v>
      </c>
      <c r="O172" s="11" t="s">
        <v>334</v>
      </c>
    </row>
    <row r="173" spans="2:15" ht="15.6" outlineLevel="1" x14ac:dyDescent="0.25">
      <c r="C173" s="24" t="s">
        <v>41</v>
      </c>
      <c r="G173" s="9"/>
      <c r="H173" s="14">
        <f>95.61-60</f>
        <v>35.61</v>
      </c>
      <c r="I173" s="10" t="s">
        <v>16</v>
      </c>
      <c r="J173" s="9">
        <f>J172</f>
        <v>199</v>
      </c>
      <c r="K173" s="9">
        <f t="shared" si="21"/>
        <v>7086</v>
      </c>
      <c r="L173" s="9">
        <f t="shared" si="19"/>
        <v>7086</v>
      </c>
      <c r="M173" s="9">
        <f t="shared" si="20"/>
        <v>0</v>
      </c>
      <c r="N173" s="171"/>
      <c r="O173" s="11" t="s">
        <v>334</v>
      </c>
    </row>
    <row r="174" spans="2:15" ht="120" outlineLevel="1" x14ac:dyDescent="0.25">
      <c r="B174" s="34">
        <v>273</v>
      </c>
      <c r="C174" s="7" t="s">
        <v>124</v>
      </c>
      <c r="D174" s="6">
        <v>60</v>
      </c>
      <c r="E174" s="8" t="s">
        <v>16</v>
      </c>
      <c r="F174" s="19">
        <v>229</v>
      </c>
      <c r="G174" s="9">
        <f t="shared" si="16"/>
        <v>13740</v>
      </c>
      <c r="H174" s="14">
        <v>0</v>
      </c>
      <c r="I174" s="10" t="s">
        <v>16</v>
      </c>
      <c r="J174" s="9">
        <f>F174</f>
        <v>229</v>
      </c>
      <c r="K174" s="9"/>
      <c r="L174" s="9">
        <f t="shared" si="19"/>
        <v>0</v>
      </c>
      <c r="M174" s="9">
        <f t="shared" si="20"/>
        <v>13740</v>
      </c>
      <c r="N174" s="71" t="s">
        <v>390</v>
      </c>
      <c r="O174" s="11" t="s">
        <v>334</v>
      </c>
    </row>
    <row r="175" spans="2:15" outlineLevel="1" x14ac:dyDescent="0.25">
      <c r="G175" s="9"/>
      <c r="H175" s="14"/>
      <c r="K175" s="9"/>
      <c r="L175" s="9">
        <f t="shared" si="19"/>
        <v>0</v>
      </c>
      <c r="M175" s="9">
        <f t="shared" si="20"/>
        <v>0</v>
      </c>
      <c r="O175" s="11" t="s">
        <v>334</v>
      </c>
    </row>
    <row r="176" spans="2:15" ht="145.05000000000001" customHeight="1" outlineLevel="1" x14ac:dyDescent="0.25">
      <c r="B176" s="34">
        <v>274</v>
      </c>
      <c r="C176" s="7" t="s">
        <v>125</v>
      </c>
      <c r="D176" s="6">
        <v>90</v>
      </c>
      <c r="E176" s="8" t="s">
        <v>16</v>
      </c>
      <c r="F176" s="19">
        <v>327</v>
      </c>
      <c r="G176" s="9">
        <f t="shared" si="16"/>
        <v>29430</v>
      </c>
      <c r="H176" s="14">
        <v>0</v>
      </c>
      <c r="I176" s="10" t="s">
        <v>16</v>
      </c>
      <c r="J176" s="9">
        <f>F176</f>
        <v>327</v>
      </c>
      <c r="K176" s="9"/>
      <c r="L176" s="9">
        <f t="shared" si="19"/>
        <v>0</v>
      </c>
      <c r="M176" s="9">
        <f t="shared" si="20"/>
        <v>29430</v>
      </c>
      <c r="N176" s="71" t="s">
        <v>390</v>
      </c>
      <c r="O176" s="11" t="s">
        <v>334</v>
      </c>
    </row>
    <row r="177" spans="2:15" outlineLevel="1" x14ac:dyDescent="0.25">
      <c r="G177" s="9"/>
      <c r="H177" s="14"/>
      <c r="K177" s="9"/>
      <c r="L177" s="9">
        <f t="shared" si="19"/>
        <v>0</v>
      </c>
      <c r="M177" s="9">
        <f t="shared" si="20"/>
        <v>0</v>
      </c>
      <c r="O177" s="11" t="s">
        <v>334</v>
      </c>
    </row>
    <row r="178" spans="2:15" ht="135" outlineLevel="1" x14ac:dyDescent="0.25">
      <c r="B178" s="6">
        <v>275</v>
      </c>
      <c r="C178" s="7" t="s">
        <v>126</v>
      </c>
      <c r="D178" s="6">
        <v>75</v>
      </c>
      <c r="E178" s="8" t="s">
        <v>16</v>
      </c>
      <c r="F178" s="19">
        <v>444</v>
      </c>
      <c r="G178" s="9">
        <f t="shared" si="16"/>
        <v>33300</v>
      </c>
      <c r="H178" s="14">
        <v>10.25</v>
      </c>
      <c r="I178" s="10" t="s">
        <v>16</v>
      </c>
      <c r="J178" s="9">
        <f>F178</f>
        <v>444</v>
      </c>
      <c r="K178" s="9">
        <f t="shared" si="21"/>
        <v>4551</v>
      </c>
      <c r="L178" s="9">
        <f t="shared" si="19"/>
        <v>0</v>
      </c>
      <c r="M178" s="9">
        <f t="shared" si="20"/>
        <v>28749</v>
      </c>
      <c r="N178" s="71" t="s">
        <v>390</v>
      </c>
      <c r="O178" s="11" t="s">
        <v>334</v>
      </c>
    </row>
    <row r="179" spans="2:15" outlineLevel="1" x14ac:dyDescent="0.25">
      <c r="G179" s="9"/>
      <c r="H179" s="14"/>
      <c r="K179" s="9"/>
      <c r="L179" s="9">
        <f t="shared" si="19"/>
        <v>0</v>
      </c>
      <c r="M179" s="9">
        <f t="shared" si="20"/>
        <v>0</v>
      </c>
      <c r="O179" s="11" t="s">
        <v>334</v>
      </c>
    </row>
    <row r="180" spans="2:15" ht="75" outlineLevel="1" x14ac:dyDescent="0.25">
      <c r="B180" s="34">
        <v>276</v>
      </c>
      <c r="C180" s="7" t="s">
        <v>127</v>
      </c>
      <c r="D180" s="6">
        <v>6</v>
      </c>
      <c r="E180" s="8" t="s">
        <v>11</v>
      </c>
      <c r="F180" s="19">
        <v>1746</v>
      </c>
      <c r="G180" s="9">
        <f t="shared" si="16"/>
        <v>10476</v>
      </c>
      <c r="H180" s="14">
        <v>0</v>
      </c>
      <c r="I180" s="10" t="s">
        <v>11</v>
      </c>
      <c r="J180" s="9">
        <f>F180</f>
        <v>1746</v>
      </c>
      <c r="K180" s="9"/>
      <c r="L180" s="9">
        <f t="shared" si="19"/>
        <v>0</v>
      </c>
      <c r="M180" s="9">
        <f t="shared" si="20"/>
        <v>10476</v>
      </c>
      <c r="N180" s="71" t="s">
        <v>390</v>
      </c>
      <c r="O180" s="11" t="s">
        <v>334</v>
      </c>
    </row>
    <row r="181" spans="2:15" outlineLevel="1" x14ac:dyDescent="0.25">
      <c r="G181" s="9"/>
      <c r="H181" s="14"/>
      <c r="K181" s="9"/>
      <c r="L181" s="9">
        <f t="shared" si="19"/>
        <v>0</v>
      </c>
      <c r="M181" s="9">
        <f t="shared" si="20"/>
        <v>0</v>
      </c>
      <c r="O181" s="11" t="s">
        <v>334</v>
      </c>
    </row>
    <row r="182" spans="2:15" ht="96.45" customHeight="1" outlineLevel="1" x14ac:dyDescent="0.25">
      <c r="B182" s="6">
        <v>277</v>
      </c>
      <c r="C182" s="7" t="s">
        <v>38</v>
      </c>
      <c r="D182" s="6">
        <v>6</v>
      </c>
      <c r="E182" s="8" t="s">
        <v>11</v>
      </c>
      <c r="F182" s="19">
        <v>220</v>
      </c>
      <c r="G182" s="9">
        <f t="shared" si="16"/>
        <v>1320</v>
      </c>
      <c r="H182" s="14">
        <v>1</v>
      </c>
      <c r="I182" s="10" t="s">
        <v>11</v>
      </c>
      <c r="J182" s="9">
        <f>F182</f>
        <v>220</v>
      </c>
      <c r="K182" s="9">
        <f t="shared" si="21"/>
        <v>220</v>
      </c>
      <c r="L182" s="9">
        <f t="shared" si="19"/>
        <v>0</v>
      </c>
      <c r="M182" s="9">
        <f t="shared" si="20"/>
        <v>1100</v>
      </c>
      <c r="N182" s="71" t="s">
        <v>390</v>
      </c>
      <c r="O182" s="11" t="s">
        <v>334</v>
      </c>
    </row>
    <row r="183" spans="2:15" outlineLevel="1" x14ac:dyDescent="0.25">
      <c r="G183" s="9"/>
      <c r="H183" s="14"/>
      <c r="K183" s="9"/>
      <c r="L183" s="9">
        <f t="shared" si="19"/>
        <v>0</v>
      </c>
      <c r="M183" s="9">
        <f t="shared" si="20"/>
        <v>0</v>
      </c>
      <c r="O183" s="11" t="s">
        <v>334</v>
      </c>
    </row>
    <row r="184" spans="2:15" ht="206.55" customHeight="1" outlineLevel="1" x14ac:dyDescent="0.25">
      <c r="B184" s="6">
        <v>278</v>
      </c>
      <c r="C184" s="15" t="s">
        <v>128</v>
      </c>
      <c r="D184" s="6">
        <v>6</v>
      </c>
      <c r="E184" s="8" t="s">
        <v>11</v>
      </c>
      <c r="F184" s="19">
        <v>3800</v>
      </c>
      <c r="G184" s="9">
        <f t="shared" si="16"/>
        <v>22800</v>
      </c>
      <c r="H184" s="14">
        <v>6</v>
      </c>
      <c r="I184" s="10" t="s">
        <v>11</v>
      </c>
      <c r="J184" s="9">
        <f>F184</f>
        <v>3800</v>
      </c>
      <c r="K184" s="9">
        <f t="shared" si="21"/>
        <v>22800</v>
      </c>
      <c r="L184" s="9">
        <f t="shared" si="19"/>
        <v>0</v>
      </c>
      <c r="M184" s="9">
        <f t="shared" si="20"/>
        <v>0</v>
      </c>
      <c r="N184" s="71" t="s">
        <v>386</v>
      </c>
      <c r="O184" s="11" t="s">
        <v>334</v>
      </c>
    </row>
    <row r="185" spans="2:15" outlineLevel="1" x14ac:dyDescent="0.25">
      <c r="G185" s="9"/>
      <c r="H185" s="14"/>
      <c r="K185" s="9"/>
      <c r="L185" s="9">
        <f t="shared" si="19"/>
        <v>0</v>
      </c>
      <c r="M185" s="9">
        <f t="shared" si="20"/>
        <v>0</v>
      </c>
      <c r="O185" s="11" t="s">
        <v>334</v>
      </c>
    </row>
    <row r="186" spans="2:15" ht="135" outlineLevel="1" x14ac:dyDescent="0.25">
      <c r="B186" s="6">
        <v>279</v>
      </c>
      <c r="C186" s="7" t="s">
        <v>129</v>
      </c>
      <c r="D186" s="6">
        <v>6</v>
      </c>
      <c r="E186" s="8" t="s">
        <v>11</v>
      </c>
      <c r="F186" s="19">
        <v>7590</v>
      </c>
      <c r="G186" s="9">
        <f t="shared" si="16"/>
        <v>45540</v>
      </c>
      <c r="H186" s="14">
        <v>6</v>
      </c>
      <c r="I186" s="10" t="s">
        <v>11</v>
      </c>
      <c r="J186" s="9">
        <f>F186</f>
        <v>7590</v>
      </c>
      <c r="K186" s="9">
        <f t="shared" si="21"/>
        <v>45540</v>
      </c>
      <c r="L186" s="9">
        <f t="shared" si="19"/>
        <v>0</v>
      </c>
      <c r="M186" s="9">
        <f t="shared" si="20"/>
        <v>0</v>
      </c>
      <c r="N186" s="71" t="s">
        <v>386</v>
      </c>
      <c r="O186" s="11" t="s">
        <v>334</v>
      </c>
    </row>
    <row r="187" spans="2:15" outlineLevel="1" x14ac:dyDescent="0.25">
      <c r="G187" s="9"/>
      <c r="H187" s="14"/>
      <c r="K187" s="9"/>
      <c r="L187" s="9">
        <f t="shared" si="19"/>
        <v>0</v>
      </c>
      <c r="M187" s="9">
        <f t="shared" si="20"/>
        <v>0</v>
      </c>
      <c r="O187" s="11" t="s">
        <v>334</v>
      </c>
    </row>
    <row r="188" spans="2:15" ht="75" outlineLevel="1" x14ac:dyDescent="0.25">
      <c r="B188" s="6">
        <v>280</v>
      </c>
      <c r="C188" s="7" t="s">
        <v>130</v>
      </c>
      <c r="D188" s="6">
        <v>6</v>
      </c>
      <c r="E188" s="8" t="s">
        <v>11</v>
      </c>
      <c r="F188" s="19">
        <v>4579</v>
      </c>
      <c r="G188" s="9">
        <f t="shared" si="16"/>
        <v>27474</v>
      </c>
      <c r="H188" s="14">
        <v>6</v>
      </c>
      <c r="I188" s="10" t="s">
        <v>11</v>
      </c>
      <c r="J188" s="9">
        <f>F188</f>
        <v>4579</v>
      </c>
      <c r="K188" s="9">
        <f t="shared" si="21"/>
        <v>27474</v>
      </c>
      <c r="L188" s="9">
        <f t="shared" si="19"/>
        <v>0</v>
      </c>
      <c r="M188" s="9">
        <f t="shared" si="20"/>
        <v>0</v>
      </c>
      <c r="N188" s="71" t="s">
        <v>386</v>
      </c>
      <c r="O188" s="11" t="s">
        <v>334</v>
      </c>
    </row>
    <row r="189" spans="2:15" outlineLevel="1" x14ac:dyDescent="0.25">
      <c r="G189" s="9"/>
      <c r="H189" s="14"/>
      <c r="K189" s="9"/>
      <c r="L189" s="9">
        <f t="shared" si="19"/>
        <v>0</v>
      </c>
      <c r="M189" s="9">
        <f t="shared" si="20"/>
        <v>0</v>
      </c>
      <c r="O189" s="11" t="s">
        <v>334</v>
      </c>
    </row>
    <row r="190" spans="2:15" ht="60" outlineLevel="1" x14ac:dyDescent="0.25">
      <c r="B190" s="6">
        <v>281</v>
      </c>
      <c r="C190" s="7" t="s">
        <v>131</v>
      </c>
      <c r="D190" s="6">
        <v>6</v>
      </c>
      <c r="E190" s="8" t="s">
        <v>11</v>
      </c>
      <c r="F190" s="19">
        <v>872</v>
      </c>
      <c r="G190" s="9">
        <f t="shared" si="16"/>
        <v>5232</v>
      </c>
      <c r="H190" s="14">
        <v>6</v>
      </c>
      <c r="I190" s="10" t="s">
        <v>11</v>
      </c>
      <c r="J190" s="9">
        <f>F190</f>
        <v>872</v>
      </c>
      <c r="K190" s="9">
        <f t="shared" si="21"/>
        <v>5232</v>
      </c>
      <c r="L190" s="9">
        <f t="shared" si="19"/>
        <v>0</v>
      </c>
      <c r="M190" s="9">
        <f t="shared" si="20"/>
        <v>0</v>
      </c>
      <c r="N190" s="71" t="s">
        <v>386</v>
      </c>
      <c r="O190" s="11" t="s">
        <v>334</v>
      </c>
    </row>
    <row r="191" spans="2:15" outlineLevel="1" x14ac:dyDescent="0.25">
      <c r="G191" s="9"/>
      <c r="H191" s="14"/>
      <c r="K191" s="9"/>
      <c r="L191" s="9">
        <f t="shared" si="19"/>
        <v>0</v>
      </c>
      <c r="M191" s="9">
        <f t="shared" si="20"/>
        <v>0</v>
      </c>
      <c r="O191" s="11" t="s">
        <v>334</v>
      </c>
    </row>
    <row r="192" spans="2:15" ht="75" outlineLevel="1" x14ac:dyDescent="0.25">
      <c r="B192" s="6">
        <v>282</v>
      </c>
      <c r="C192" s="7" t="s">
        <v>132</v>
      </c>
      <c r="D192" s="6">
        <v>6</v>
      </c>
      <c r="E192" s="8" t="s">
        <v>11</v>
      </c>
      <c r="F192" s="19">
        <v>727</v>
      </c>
      <c r="G192" s="9">
        <f t="shared" si="16"/>
        <v>4362</v>
      </c>
      <c r="H192" s="14">
        <v>6</v>
      </c>
      <c r="I192" s="10" t="s">
        <v>11</v>
      </c>
      <c r="J192" s="9">
        <f>F192</f>
        <v>727</v>
      </c>
      <c r="K192" s="9">
        <f t="shared" si="21"/>
        <v>4362</v>
      </c>
      <c r="L192" s="9">
        <f t="shared" si="19"/>
        <v>0</v>
      </c>
      <c r="M192" s="9">
        <f t="shared" si="20"/>
        <v>0</v>
      </c>
      <c r="N192" s="71" t="s">
        <v>386</v>
      </c>
      <c r="O192" s="11" t="s">
        <v>334</v>
      </c>
    </row>
    <row r="193" spans="2:15" outlineLevel="1" x14ac:dyDescent="0.25">
      <c r="G193" s="9"/>
      <c r="H193" s="14"/>
      <c r="K193" s="9"/>
      <c r="L193" s="9">
        <f t="shared" si="19"/>
        <v>0</v>
      </c>
      <c r="M193" s="9">
        <f t="shared" si="20"/>
        <v>0</v>
      </c>
      <c r="O193" s="11" t="s">
        <v>334</v>
      </c>
    </row>
    <row r="194" spans="2:15" ht="45" outlineLevel="1" x14ac:dyDescent="0.25">
      <c r="B194" s="6">
        <v>283</v>
      </c>
      <c r="C194" s="7" t="s">
        <v>133</v>
      </c>
      <c r="D194" s="6">
        <v>6</v>
      </c>
      <c r="E194" s="8" t="s">
        <v>11</v>
      </c>
      <c r="F194" s="19">
        <v>873</v>
      </c>
      <c r="G194" s="9">
        <f t="shared" si="16"/>
        <v>5238</v>
      </c>
      <c r="H194" s="14">
        <v>6</v>
      </c>
      <c r="I194" s="10" t="s">
        <v>11</v>
      </c>
      <c r="J194" s="9">
        <f>F194</f>
        <v>873</v>
      </c>
      <c r="K194" s="9">
        <f t="shared" si="21"/>
        <v>5238</v>
      </c>
      <c r="L194" s="9">
        <f t="shared" si="19"/>
        <v>0</v>
      </c>
      <c r="M194" s="9">
        <f t="shared" si="20"/>
        <v>0</v>
      </c>
      <c r="N194" s="71" t="s">
        <v>386</v>
      </c>
      <c r="O194" s="11" t="s">
        <v>334</v>
      </c>
    </row>
    <row r="195" spans="2:15" outlineLevel="1" x14ac:dyDescent="0.25">
      <c r="G195" s="9"/>
      <c r="H195" s="14"/>
      <c r="K195" s="9"/>
      <c r="L195" s="9">
        <f t="shared" si="19"/>
        <v>0</v>
      </c>
      <c r="M195" s="9">
        <f t="shared" si="20"/>
        <v>0</v>
      </c>
      <c r="O195" s="11" t="s">
        <v>334</v>
      </c>
    </row>
    <row r="196" spans="2:15" ht="75" outlineLevel="1" x14ac:dyDescent="0.25">
      <c r="B196" s="6">
        <v>284</v>
      </c>
      <c r="C196" s="7" t="s">
        <v>134</v>
      </c>
      <c r="D196" s="6">
        <v>6</v>
      </c>
      <c r="E196" s="8" t="s">
        <v>11</v>
      </c>
      <c r="F196" s="19">
        <v>418</v>
      </c>
      <c r="G196" s="9">
        <f t="shared" si="16"/>
        <v>2508</v>
      </c>
      <c r="H196" s="14">
        <v>6</v>
      </c>
      <c r="I196" s="10" t="s">
        <v>11</v>
      </c>
      <c r="J196" s="9">
        <f>F196</f>
        <v>418</v>
      </c>
      <c r="K196" s="9">
        <f t="shared" si="21"/>
        <v>2508</v>
      </c>
      <c r="L196" s="9">
        <f t="shared" si="19"/>
        <v>0</v>
      </c>
      <c r="M196" s="9">
        <f t="shared" si="20"/>
        <v>0</v>
      </c>
      <c r="N196" s="71" t="s">
        <v>386</v>
      </c>
      <c r="O196" s="11" t="s">
        <v>334</v>
      </c>
    </row>
    <row r="197" spans="2:15" outlineLevel="1" x14ac:dyDescent="0.25">
      <c r="G197" s="9"/>
      <c r="H197" s="14"/>
      <c r="K197" s="9"/>
      <c r="L197" s="9">
        <f t="shared" si="19"/>
        <v>0</v>
      </c>
      <c r="M197" s="9">
        <f t="shared" si="20"/>
        <v>0</v>
      </c>
      <c r="O197" s="11" t="s">
        <v>334</v>
      </c>
    </row>
    <row r="198" spans="2:15" ht="19.95" customHeight="1" x14ac:dyDescent="0.25">
      <c r="G198" s="23">
        <f>ROUND(SUM(G170:G197),0)</f>
        <v>215122</v>
      </c>
      <c r="H198" s="14"/>
      <c r="J198" s="22" t="s">
        <v>44</v>
      </c>
      <c r="K198" s="23">
        <f>ROUND(SUM(K170:K197),0)</f>
        <v>136951</v>
      </c>
      <c r="L198" s="23">
        <f t="shared" ref="L198:M198" si="22">SUM(L170:L197)</f>
        <v>7086</v>
      </c>
      <c r="M198" s="23">
        <f t="shared" si="22"/>
        <v>85257</v>
      </c>
      <c r="N198" s="81"/>
    </row>
    <row r="199" spans="2:15" ht="19.95" customHeight="1" x14ac:dyDescent="0.25">
      <c r="C199" s="12" t="s">
        <v>46</v>
      </c>
      <c r="H199" s="14"/>
      <c r="L199" s="9"/>
      <c r="M199" s="9"/>
    </row>
    <row r="200" spans="2:15" ht="94.2" customHeight="1" outlineLevel="1" x14ac:dyDescent="0.25">
      <c r="B200" s="6">
        <v>293</v>
      </c>
      <c r="C200" s="7" t="s">
        <v>37</v>
      </c>
      <c r="D200" s="6">
        <v>200</v>
      </c>
      <c r="E200" s="8" t="s">
        <v>16</v>
      </c>
      <c r="F200" s="19">
        <v>116</v>
      </c>
      <c r="G200" s="9">
        <f t="shared" ref="G200:G262" si="23">ROUND(D200*F200,0)</f>
        <v>23200</v>
      </c>
      <c r="H200" s="14">
        <f>D200</f>
        <v>200</v>
      </c>
      <c r="I200" s="10" t="s">
        <v>16</v>
      </c>
      <c r="J200" s="9">
        <f>F200</f>
        <v>116</v>
      </c>
      <c r="K200" s="9">
        <f t="shared" ref="K200:K263" si="24">ROUND(H200*J200,0)</f>
        <v>23200</v>
      </c>
      <c r="L200" s="9">
        <f t="shared" ref="L200" si="25">ROUND(IF(K200&gt;G200,K200-G200,0),0)</f>
        <v>0</v>
      </c>
      <c r="M200" s="9">
        <f t="shared" ref="M200" si="26">ROUND(IF(K200&lt;G200,G200-K200,0),0)</f>
        <v>0</v>
      </c>
      <c r="N200" s="170"/>
      <c r="O200" s="11" t="s">
        <v>332</v>
      </c>
    </row>
    <row r="201" spans="2:15" ht="15.6" outlineLevel="1" x14ac:dyDescent="0.25">
      <c r="C201" s="24" t="s">
        <v>41</v>
      </c>
      <c r="G201" s="9"/>
      <c r="H201" s="14">
        <v>263.5</v>
      </c>
      <c r="I201" s="8" t="s">
        <v>16</v>
      </c>
      <c r="J201" s="9">
        <f>J200</f>
        <v>116</v>
      </c>
      <c r="K201" s="9">
        <f t="shared" si="24"/>
        <v>30566</v>
      </c>
      <c r="L201" s="9">
        <f t="shared" ref="L201:L264" si="27">ROUND(IF(K201&gt;G201,K201-G201,0),0)</f>
        <v>30566</v>
      </c>
      <c r="M201" s="9">
        <f t="shared" ref="M201:M264" si="28">ROUND(IF(K201&lt;G201,G201-K201,0),0)</f>
        <v>0</v>
      </c>
      <c r="N201" s="171"/>
      <c r="O201" s="11" t="s">
        <v>332</v>
      </c>
    </row>
    <row r="202" spans="2:15" ht="96" customHeight="1" outlineLevel="1" x14ac:dyDescent="0.25">
      <c r="B202" s="6">
        <v>294</v>
      </c>
      <c r="C202" s="7" t="s">
        <v>36</v>
      </c>
      <c r="D202" s="6">
        <v>450</v>
      </c>
      <c r="E202" s="8" t="s">
        <v>16</v>
      </c>
      <c r="F202" s="19">
        <v>107</v>
      </c>
      <c r="G202" s="9">
        <f t="shared" si="23"/>
        <v>48150</v>
      </c>
      <c r="H202" s="14">
        <f>D202</f>
        <v>450</v>
      </c>
      <c r="I202" s="10" t="s">
        <v>16</v>
      </c>
      <c r="J202" s="9">
        <f>F202</f>
        <v>107</v>
      </c>
      <c r="K202" s="9">
        <f t="shared" si="24"/>
        <v>48150</v>
      </c>
      <c r="L202" s="9">
        <f t="shared" si="27"/>
        <v>0</v>
      </c>
      <c r="M202" s="9">
        <f t="shared" si="28"/>
        <v>0</v>
      </c>
      <c r="N202" s="170"/>
      <c r="O202" s="11" t="s">
        <v>332</v>
      </c>
    </row>
    <row r="203" spans="2:15" ht="15.6" outlineLevel="1" x14ac:dyDescent="0.25">
      <c r="C203" s="24" t="s">
        <v>41</v>
      </c>
      <c r="G203" s="9"/>
      <c r="H203" s="14">
        <v>902.8</v>
      </c>
      <c r="I203" s="10" t="s">
        <v>16</v>
      </c>
      <c r="J203" s="9">
        <f>J202</f>
        <v>107</v>
      </c>
      <c r="K203" s="9">
        <f t="shared" si="24"/>
        <v>96600</v>
      </c>
      <c r="L203" s="9">
        <f t="shared" si="27"/>
        <v>96600</v>
      </c>
      <c r="M203" s="9">
        <f t="shared" si="28"/>
        <v>0</v>
      </c>
      <c r="N203" s="171"/>
      <c r="O203" s="11" t="s">
        <v>332</v>
      </c>
    </row>
    <row r="204" spans="2:15" ht="142.94999999999999" customHeight="1" outlineLevel="1" x14ac:dyDescent="0.25">
      <c r="B204" s="6">
        <v>295</v>
      </c>
      <c r="C204" s="7" t="s">
        <v>35</v>
      </c>
      <c r="D204" s="6">
        <v>100</v>
      </c>
      <c r="E204" s="8" t="s">
        <v>18</v>
      </c>
      <c r="F204" s="19">
        <v>945</v>
      </c>
      <c r="G204" s="9">
        <f t="shared" si="23"/>
        <v>94500</v>
      </c>
      <c r="H204" s="14">
        <f>D204</f>
        <v>100</v>
      </c>
      <c r="I204" s="10" t="s">
        <v>18</v>
      </c>
      <c r="J204" s="9">
        <f>F204</f>
        <v>945</v>
      </c>
      <c r="K204" s="9">
        <f t="shared" si="24"/>
        <v>94500</v>
      </c>
      <c r="L204" s="9">
        <f t="shared" si="27"/>
        <v>0</v>
      </c>
      <c r="M204" s="9">
        <f t="shared" si="28"/>
        <v>0</v>
      </c>
      <c r="N204" s="170"/>
      <c r="O204" s="11" t="s">
        <v>332</v>
      </c>
    </row>
    <row r="205" spans="2:15" ht="15.6" outlineLevel="1" x14ac:dyDescent="0.25">
      <c r="C205" s="24" t="s">
        <v>41</v>
      </c>
      <c r="G205" s="9"/>
      <c r="H205" s="14">
        <f>258-100</f>
        <v>158</v>
      </c>
      <c r="I205" s="10" t="s">
        <v>18</v>
      </c>
      <c r="J205" s="9">
        <f>J204</f>
        <v>945</v>
      </c>
      <c r="K205" s="9">
        <f t="shared" si="24"/>
        <v>149310</v>
      </c>
      <c r="L205" s="9">
        <f t="shared" si="27"/>
        <v>149310</v>
      </c>
      <c r="M205" s="9">
        <f t="shared" si="28"/>
        <v>0</v>
      </c>
      <c r="N205" s="171"/>
      <c r="O205" s="11" t="s">
        <v>332</v>
      </c>
    </row>
    <row r="206" spans="2:15" ht="120" customHeight="1" outlineLevel="1" x14ac:dyDescent="0.25">
      <c r="B206" s="6">
        <v>296</v>
      </c>
      <c r="C206" s="7" t="s">
        <v>135</v>
      </c>
      <c r="D206" s="6">
        <v>12</v>
      </c>
      <c r="E206" s="8" t="s">
        <v>11</v>
      </c>
      <c r="F206" s="19">
        <v>675</v>
      </c>
      <c r="G206" s="9">
        <f t="shared" si="23"/>
        <v>8100</v>
      </c>
      <c r="H206" s="14">
        <v>12</v>
      </c>
      <c r="I206" s="10" t="s">
        <v>11</v>
      </c>
      <c r="J206" s="9">
        <f>F206</f>
        <v>675</v>
      </c>
      <c r="K206" s="9">
        <f t="shared" si="24"/>
        <v>8100</v>
      </c>
      <c r="L206" s="9">
        <f t="shared" si="27"/>
        <v>0</v>
      </c>
      <c r="M206" s="9">
        <f t="shared" si="28"/>
        <v>0</v>
      </c>
      <c r="N206" s="170"/>
      <c r="O206" s="11" t="s">
        <v>332</v>
      </c>
    </row>
    <row r="207" spans="2:15" ht="15.6" outlineLevel="1" x14ac:dyDescent="0.25">
      <c r="C207" s="24" t="s">
        <v>41</v>
      </c>
      <c r="G207" s="9"/>
      <c r="H207" s="14">
        <f>33-H206</f>
        <v>21</v>
      </c>
      <c r="I207" s="10" t="s">
        <v>11</v>
      </c>
      <c r="J207" s="9">
        <f>J206</f>
        <v>675</v>
      </c>
      <c r="K207" s="9">
        <f t="shared" si="24"/>
        <v>14175</v>
      </c>
      <c r="L207" s="9">
        <f t="shared" si="27"/>
        <v>14175</v>
      </c>
      <c r="M207" s="9">
        <f t="shared" si="28"/>
        <v>0</v>
      </c>
      <c r="N207" s="171"/>
      <c r="O207" s="11" t="s">
        <v>332</v>
      </c>
    </row>
    <row r="208" spans="2:15" ht="94.5" customHeight="1" outlineLevel="1" x14ac:dyDescent="0.25">
      <c r="B208" s="6">
        <v>297</v>
      </c>
      <c r="C208" s="7" t="s">
        <v>136</v>
      </c>
      <c r="D208" s="6">
        <v>40</v>
      </c>
      <c r="E208" s="8" t="s">
        <v>11</v>
      </c>
      <c r="F208" s="19">
        <v>1040</v>
      </c>
      <c r="G208" s="9">
        <f t="shared" si="23"/>
        <v>41600</v>
      </c>
      <c r="H208" s="14">
        <v>28</v>
      </c>
      <c r="I208" s="10" t="s">
        <v>11</v>
      </c>
      <c r="J208" s="9">
        <f>F208</f>
        <v>1040</v>
      </c>
      <c r="K208" s="9">
        <f t="shared" si="24"/>
        <v>29120</v>
      </c>
      <c r="L208" s="9">
        <f t="shared" si="27"/>
        <v>0</v>
      </c>
      <c r="M208" s="9">
        <f t="shared" si="28"/>
        <v>12480</v>
      </c>
      <c r="N208" s="71"/>
      <c r="O208" s="11" t="s">
        <v>332</v>
      </c>
    </row>
    <row r="209" spans="2:15" ht="16.2" customHeight="1" outlineLevel="1" x14ac:dyDescent="0.25">
      <c r="G209" s="9"/>
      <c r="H209" s="14"/>
      <c r="K209" s="9"/>
      <c r="L209" s="9">
        <f t="shared" si="27"/>
        <v>0</v>
      </c>
      <c r="M209" s="9">
        <f t="shared" si="28"/>
        <v>0</v>
      </c>
      <c r="O209" s="11" t="s">
        <v>332</v>
      </c>
    </row>
    <row r="210" spans="2:15" ht="96" customHeight="1" outlineLevel="1" x14ac:dyDescent="0.25">
      <c r="B210" s="6">
        <v>298</v>
      </c>
      <c r="C210" s="7" t="s">
        <v>137</v>
      </c>
      <c r="D210" s="6">
        <v>60</v>
      </c>
      <c r="E210" s="8" t="s">
        <v>11</v>
      </c>
      <c r="F210" s="19">
        <v>1755</v>
      </c>
      <c r="G210" s="9">
        <f t="shared" si="23"/>
        <v>105300</v>
      </c>
      <c r="H210" s="14">
        <v>60</v>
      </c>
      <c r="I210" s="10" t="s">
        <v>11</v>
      </c>
      <c r="J210" s="9">
        <f>F210</f>
        <v>1755</v>
      </c>
      <c r="K210" s="9">
        <f t="shared" si="24"/>
        <v>105300</v>
      </c>
      <c r="L210" s="9">
        <f t="shared" si="27"/>
        <v>0</v>
      </c>
      <c r="M210" s="9">
        <f t="shared" si="28"/>
        <v>0</v>
      </c>
      <c r="O210" s="11" t="s">
        <v>332</v>
      </c>
    </row>
    <row r="211" spans="2:15" ht="15.6" outlineLevel="1" x14ac:dyDescent="0.25">
      <c r="C211" s="24" t="s">
        <v>41</v>
      </c>
      <c r="G211" s="9"/>
      <c r="H211" s="14">
        <f>77-H210</f>
        <v>17</v>
      </c>
      <c r="I211" s="10" t="s">
        <v>11</v>
      </c>
      <c r="J211" s="9">
        <f>J210</f>
        <v>1755</v>
      </c>
      <c r="K211" s="9">
        <f t="shared" si="24"/>
        <v>29835</v>
      </c>
      <c r="L211" s="9">
        <f t="shared" si="27"/>
        <v>29835</v>
      </c>
      <c r="M211" s="9">
        <f t="shared" si="28"/>
        <v>0</v>
      </c>
      <c r="O211" s="11" t="s">
        <v>332</v>
      </c>
    </row>
    <row r="212" spans="2:15" ht="94.05" customHeight="1" outlineLevel="1" x14ac:dyDescent="0.25">
      <c r="B212" s="34">
        <v>299</v>
      </c>
      <c r="C212" s="7" t="s">
        <v>138</v>
      </c>
      <c r="D212" s="6">
        <v>10</v>
      </c>
      <c r="E212" s="8" t="s">
        <v>11</v>
      </c>
      <c r="F212" s="19">
        <v>3092</v>
      </c>
      <c r="G212" s="9">
        <f t="shared" si="23"/>
        <v>30920</v>
      </c>
      <c r="H212" s="14">
        <v>0</v>
      </c>
      <c r="I212" s="10" t="s">
        <v>11</v>
      </c>
      <c r="J212" s="9">
        <f>F212</f>
        <v>3092</v>
      </c>
      <c r="K212" s="9"/>
      <c r="L212" s="9">
        <f t="shared" si="27"/>
        <v>0</v>
      </c>
      <c r="M212" s="9">
        <f t="shared" si="28"/>
        <v>30920</v>
      </c>
      <c r="O212" s="11" t="s">
        <v>332</v>
      </c>
    </row>
    <row r="213" spans="2:15" outlineLevel="1" x14ac:dyDescent="0.25">
      <c r="G213" s="9"/>
      <c r="H213" s="14"/>
      <c r="K213" s="9"/>
      <c r="L213" s="9">
        <f t="shared" si="27"/>
        <v>0</v>
      </c>
      <c r="M213" s="9">
        <f t="shared" si="28"/>
        <v>0</v>
      </c>
      <c r="O213" s="11" t="s">
        <v>332</v>
      </c>
    </row>
    <row r="214" spans="2:15" ht="75" outlineLevel="1" x14ac:dyDescent="0.25">
      <c r="B214" s="6">
        <v>300</v>
      </c>
      <c r="C214" s="7" t="s">
        <v>139</v>
      </c>
      <c r="D214" s="6">
        <v>350</v>
      </c>
      <c r="E214" s="8" t="s">
        <v>16</v>
      </c>
      <c r="F214" s="19">
        <v>40</v>
      </c>
      <c r="G214" s="9">
        <f t="shared" si="23"/>
        <v>14000</v>
      </c>
      <c r="H214" s="14">
        <f>D214</f>
        <v>350</v>
      </c>
      <c r="I214" s="10" t="s">
        <v>16</v>
      </c>
      <c r="J214" s="9">
        <f>F214</f>
        <v>40</v>
      </c>
      <c r="K214" s="9">
        <f t="shared" si="24"/>
        <v>14000</v>
      </c>
      <c r="L214" s="9">
        <f t="shared" si="27"/>
        <v>0</v>
      </c>
      <c r="M214" s="9">
        <f t="shared" si="28"/>
        <v>0</v>
      </c>
      <c r="O214" s="11" t="s">
        <v>332</v>
      </c>
    </row>
    <row r="215" spans="2:15" ht="15.6" outlineLevel="1" x14ac:dyDescent="0.25">
      <c r="C215" s="24" t="s">
        <v>41</v>
      </c>
      <c r="G215" s="9"/>
      <c r="H215" s="14">
        <v>29.6</v>
      </c>
      <c r="I215" s="10" t="s">
        <v>16</v>
      </c>
      <c r="J215" s="9">
        <f>J214</f>
        <v>40</v>
      </c>
      <c r="K215" s="9">
        <f t="shared" si="24"/>
        <v>1184</v>
      </c>
      <c r="L215" s="9">
        <f t="shared" si="27"/>
        <v>1184</v>
      </c>
      <c r="M215" s="9">
        <f t="shared" si="28"/>
        <v>0</v>
      </c>
      <c r="O215" s="11" t="s">
        <v>332</v>
      </c>
    </row>
    <row r="216" spans="2:15" ht="90" outlineLevel="1" x14ac:dyDescent="0.25">
      <c r="B216" s="6">
        <v>301</v>
      </c>
      <c r="C216" s="7" t="s">
        <v>34</v>
      </c>
      <c r="D216" s="6">
        <v>600</v>
      </c>
      <c r="E216" s="8" t="s">
        <v>16</v>
      </c>
      <c r="F216" s="19">
        <v>177</v>
      </c>
      <c r="G216" s="9">
        <f t="shared" si="23"/>
        <v>106200</v>
      </c>
      <c r="H216" s="14">
        <f>D216</f>
        <v>600</v>
      </c>
      <c r="I216" s="10" t="s">
        <v>16</v>
      </c>
      <c r="J216" s="9">
        <f>F216</f>
        <v>177</v>
      </c>
      <c r="K216" s="9">
        <f t="shared" si="24"/>
        <v>106200</v>
      </c>
      <c r="L216" s="9">
        <f t="shared" si="27"/>
        <v>0</v>
      </c>
      <c r="M216" s="9">
        <f t="shared" si="28"/>
        <v>0</v>
      </c>
      <c r="O216" s="11" t="s">
        <v>332</v>
      </c>
    </row>
    <row r="217" spans="2:15" ht="15.6" outlineLevel="1" x14ac:dyDescent="0.25">
      <c r="C217" s="24" t="s">
        <v>41</v>
      </c>
      <c r="G217" s="9"/>
      <c r="H217" s="14">
        <v>1113.0999999999999</v>
      </c>
      <c r="I217" s="10" t="s">
        <v>16</v>
      </c>
      <c r="J217" s="9">
        <f>J216</f>
        <v>177</v>
      </c>
      <c r="K217" s="9">
        <f t="shared" si="24"/>
        <v>197019</v>
      </c>
      <c r="L217" s="9">
        <f t="shared" si="27"/>
        <v>197019</v>
      </c>
      <c r="M217" s="9">
        <f t="shared" si="28"/>
        <v>0</v>
      </c>
      <c r="O217" s="11" t="s">
        <v>332</v>
      </c>
    </row>
    <row r="218" spans="2:15" ht="81" customHeight="1" outlineLevel="1" x14ac:dyDescent="0.25">
      <c r="B218" s="6">
        <v>302</v>
      </c>
      <c r="C218" s="7" t="s">
        <v>140</v>
      </c>
      <c r="D218" s="6">
        <v>1200</v>
      </c>
      <c r="E218" s="8" t="s">
        <v>16</v>
      </c>
      <c r="F218" s="19">
        <v>255</v>
      </c>
      <c r="G218" s="9">
        <f t="shared" si="23"/>
        <v>306000</v>
      </c>
      <c r="H218" s="14">
        <f>D218</f>
        <v>1200</v>
      </c>
      <c r="I218" s="10" t="s">
        <v>16</v>
      </c>
      <c r="J218" s="9">
        <f>F218</f>
        <v>255</v>
      </c>
      <c r="K218" s="9">
        <f t="shared" si="24"/>
        <v>306000</v>
      </c>
      <c r="L218" s="9">
        <f t="shared" si="27"/>
        <v>0</v>
      </c>
      <c r="M218" s="9">
        <f t="shared" si="28"/>
        <v>0</v>
      </c>
      <c r="O218" s="11" t="s">
        <v>332</v>
      </c>
    </row>
    <row r="219" spans="2:15" ht="15.6" outlineLevel="1" x14ac:dyDescent="0.25">
      <c r="C219" s="24" t="s">
        <v>41</v>
      </c>
      <c r="G219" s="9"/>
      <c r="H219" s="14">
        <v>1221</v>
      </c>
      <c r="I219" s="10" t="s">
        <v>16</v>
      </c>
      <c r="J219" s="9">
        <f>J218</f>
        <v>255</v>
      </c>
      <c r="K219" s="9">
        <f t="shared" si="24"/>
        <v>311355</v>
      </c>
      <c r="L219" s="9">
        <f t="shared" si="27"/>
        <v>311355</v>
      </c>
      <c r="M219" s="9">
        <f t="shared" si="28"/>
        <v>0</v>
      </c>
      <c r="O219" s="11" t="s">
        <v>332</v>
      </c>
    </row>
    <row r="220" spans="2:15" ht="105" outlineLevel="1" x14ac:dyDescent="0.25">
      <c r="B220" s="6">
        <v>303</v>
      </c>
      <c r="C220" s="7" t="s">
        <v>141</v>
      </c>
      <c r="D220" s="6">
        <v>60</v>
      </c>
      <c r="E220" s="8" t="s">
        <v>16</v>
      </c>
      <c r="F220" s="19">
        <v>606</v>
      </c>
      <c r="G220" s="9">
        <f t="shared" si="23"/>
        <v>36360</v>
      </c>
      <c r="H220" s="14">
        <f>D220</f>
        <v>60</v>
      </c>
      <c r="I220" s="10" t="s">
        <v>16</v>
      </c>
      <c r="J220" s="9">
        <f>F220</f>
        <v>606</v>
      </c>
      <c r="K220" s="9">
        <f t="shared" si="24"/>
        <v>36360</v>
      </c>
      <c r="L220" s="9">
        <f t="shared" si="27"/>
        <v>0</v>
      </c>
      <c r="M220" s="9">
        <f t="shared" si="28"/>
        <v>0</v>
      </c>
      <c r="O220" s="11" t="s">
        <v>332</v>
      </c>
    </row>
    <row r="221" spans="2:15" ht="15.6" outlineLevel="1" x14ac:dyDescent="0.25">
      <c r="C221" s="24" t="s">
        <v>41</v>
      </c>
      <c r="G221" s="9"/>
      <c r="H221" s="14">
        <v>180.1</v>
      </c>
      <c r="I221" s="10" t="s">
        <v>16</v>
      </c>
      <c r="J221" s="9">
        <f>J220</f>
        <v>606</v>
      </c>
      <c r="K221" s="9">
        <f t="shared" si="24"/>
        <v>109141</v>
      </c>
      <c r="L221" s="9">
        <f t="shared" si="27"/>
        <v>109141</v>
      </c>
      <c r="M221" s="9">
        <f t="shared" si="28"/>
        <v>0</v>
      </c>
      <c r="O221" s="11" t="s">
        <v>332</v>
      </c>
    </row>
    <row r="222" spans="2:15" ht="105" outlineLevel="1" x14ac:dyDescent="0.25">
      <c r="B222" s="6">
        <v>304</v>
      </c>
      <c r="C222" s="7" t="s">
        <v>142</v>
      </c>
      <c r="D222" s="6">
        <v>40</v>
      </c>
      <c r="E222" s="8" t="s">
        <v>16</v>
      </c>
      <c r="F222" s="19">
        <v>967</v>
      </c>
      <c r="G222" s="9">
        <f t="shared" si="23"/>
        <v>38680</v>
      </c>
      <c r="H222" s="14">
        <f>D222</f>
        <v>40</v>
      </c>
      <c r="I222" s="10" t="s">
        <v>16</v>
      </c>
      <c r="J222" s="9">
        <f>F222</f>
        <v>967</v>
      </c>
      <c r="K222" s="9">
        <f t="shared" si="24"/>
        <v>38680</v>
      </c>
      <c r="L222" s="9">
        <f t="shared" si="27"/>
        <v>0</v>
      </c>
      <c r="M222" s="9">
        <f t="shared" si="28"/>
        <v>0</v>
      </c>
      <c r="O222" s="11" t="s">
        <v>332</v>
      </c>
    </row>
    <row r="223" spans="2:15" ht="15.6" outlineLevel="1" x14ac:dyDescent="0.25">
      <c r="C223" s="24" t="s">
        <v>41</v>
      </c>
      <c r="G223" s="9"/>
      <c r="H223" s="14">
        <v>244</v>
      </c>
      <c r="I223" s="10" t="s">
        <v>16</v>
      </c>
      <c r="J223" s="9">
        <f>J222</f>
        <v>967</v>
      </c>
      <c r="K223" s="9">
        <f t="shared" si="24"/>
        <v>235948</v>
      </c>
      <c r="L223" s="9">
        <f t="shared" si="27"/>
        <v>235948</v>
      </c>
      <c r="M223" s="9">
        <f t="shared" si="28"/>
        <v>0</v>
      </c>
      <c r="O223" s="11" t="s">
        <v>332</v>
      </c>
    </row>
    <row r="224" spans="2:15" ht="81" customHeight="1" outlineLevel="1" x14ac:dyDescent="0.25">
      <c r="B224" s="34">
        <v>305</v>
      </c>
      <c r="C224" s="7" t="s">
        <v>143</v>
      </c>
      <c r="D224" s="6">
        <v>5</v>
      </c>
      <c r="E224" s="8" t="s">
        <v>11</v>
      </c>
      <c r="F224" s="19">
        <v>2562</v>
      </c>
      <c r="G224" s="9">
        <f t="shared" si="23"/>
        <v>12810</v>
      </c>
      <c r="H224" s="14">
        <v>0</v>
      </c>
      <c r="I224" s="10" t="s">
        <v>11</v>
      </c>
      <c r="J224" s="9">
        <f>F224</f>
        <v>2562</v>
      </c>
      <c r="K224" s="9"/>
      <c r="L224" s="9">
        <f t="shared" si="27"/>
        <v>0</v>
      </c>
      <c r="M224" s="9">
        <f t="shared" si="28"/>
        <v>12810</v>
      </c>
      <c r="O224" s="11" t="s">
        <v>332</v>
      </c>
    </row>
    <row r="225" spans="2:15" outlineLevel="1" x14ac:dyDescent="0.25">
      <c r="G225" s="9"/>
      <c r="H225" s="14"/>
      <c r="K225" s="9"/>
      <c r="L225" s="9">
        <f t="shared" si="27"/>
        <v>0</v>
      </c>
      <c r="M225" s="9">
        <f t="shared" si="28"/>
        <v>0</v>
      </c>
      <c r="O225" s="11" t="s">
        <v>332</v>
      </c>
    </row>
    <row r="226" spans="2:15" ht="127.5" customHeight="1" outlineLevel="1" x14ac:dyDescent="0.25">
      <c r="B226" s="6">
        <v>306</v>
      </c>
      <c r="C226" s="7" t="s">
        <v>144</v>
      </c>
      <c r="D226" s="6">
        <v>3</v>
      </c>
      <c r="E226" s="8" t="s">
        <v>11</v>
      </c>
      <c r="F226" s="19">
        <v>18325</v>
      </c>
      <c r="G226" s="9">
        <f t="shared" si="23"/>
        <v>54975</v>
      </c>
      <c r="H226" s="14">
        <v>3</v>
      </c>
      <c r="I226" s="10" t="s">
        <v>11</v>
      </c>
      <c r="J226" s="9">
        <f>F226</f>
        <v>18325</v>
      </c>
      <c r="K226" s="9">
        <f t="shared" si="24"/>
        <v>54975</v>
      </c>
      <c r="L226" s="9">
        <f t="shared" si="27"/>
        <v>0</v>
      </c>
      <c r="M226" s="9">
        <f t="shared" si="28"/>
        <v>0</v>
      </c>
      <c r="O226" s="11" t="s">
        <v>332</v>
      </c>
    </row>
    <row r="227" spans="2:15" ht="15.6" outlineLevel="1" x14ac:dyDescent="0.25">
      <c r="C227" s="24" t="s">
        <v>41</v>
      </c>
      <c r="G227" s="9"/>
      <c r="H227" s="14">
        <v>7</v>
      </c>
      <c r="I227" s="10" t="s">
        <v>11</v>
      </c>
      <c r="J227" s="9">
        <f>J226</f>
        <v>18325</v>
      </c>
      <c r="K227" s="9">
        <f t="shared" si="24"/>
        <v>128275</v>
      </c>
      <c r="L227" s="9">
        <f t="shared" si="27"/>
        <v>128275</v>
      </c>
      <c r="M227" s="9">
        <f t="shared" si="28"/>
        <v>0</v>
      </c>
      <c r="O227" s="11" t="s">
        <v>332</v>
      </c>
    </row>
    <row r="228" spans="2:15" ht="125.55" customHeight="1" outlineLevel="1" x14ac:dyDescent="0.25">
      <c r="B228" s="34">
        <v>307</v>
      </c>
      <c r="C228" s="7" t="s">
        <v>145</v>
      </c>
      <c r="D228" s="6">
        <v>2</v>
      </c>
      <c r="E228" s="8" t="s">
        <v>11</v>
      </c>
      <c r="F228" s="19">
        <v>28460</v>
      </c>
      <c r="G228" s="9">
        <f t="shared" si="23"/>
        <v>56920</v>
      </c>
      <c r="H228" s="14">
        <v>0</v>
      </c>
      <c r="I228" s="10" t="s">
        <v>11</v>
      </c>
      <c r="J228" s="9">
        <f>F228</f>
        <v>28460</v>
      </c>
      <c r="K228" s="9"/>
      <c r="L228" s="9">
        <f t="shared" si="27"/>
        <v>0</v>
      </c>
      <c r="M228" s="9">
        <f t="shared" si="28"/>
        <v>56920</v>
      </c>
      <c r="O228" s="11" t="s">
        <v>332</v>
      </c>
    </row>
    <row r="229" spans="2:15" outlineLevel="1" x14ac:dyDescent="0.25">
      <c r="G229" s="9"/>
      <c r="H229" s="14"/>
      <c r="K229" s="9"/>
      <c r="L229" s="9">
        <f t="shared" si="27"/>
        <v>0</v>
      </c>
      <c r="M229" s="9">
        <f t="shared" si="28"/>
        <v>0</v>
      </c>
      <c r="O229" s="11" t="s">
        <v>332</v>
      </c>
    </row>
    <row r="230" spans="2:15" ht="120" outlineLevel="1" x14ac:dyDescent="0.25">
      <c r="B230" s="6">
        <v>308</v>
      </c>
      <c r="C230" s="7" t="s">
        <v>146</v>
      </c>
      <c r="D230" s="6">
        <v>1</v>
      </c>
      <c r="E230" s="8" t="s">
        <v>11</v>
      </c>
      <c r="F230" s="19">
        <v>64067</v>
      </c>
      <c r="G230" s="9">
        <f t="shared" si="23"/>
        <v>64067</v>
      </c>
      <c r="H230" s="14">
        <v>1</v>
      </c>
      <c r="I230" s="10" t="s">
        <v>11</v>
      </c>
      <c r="J230" s="9">
        <f>F230</f>
        <v>64067</v>
      </c>
      <c r="K230" s="9">
        <f t="shared" si="24"/>
        <v>64067</v>
      </c>
      <c r="L230" s="9">
        <f t="shared" si="27"/>
        <v>0</v>
      </c>
      <c r="M230" s="9">
        <f t="shared" si="28"/>
        <v>0</v>
      </c>
      <c r="N230" s="71"/>
      <c r="O230" s="11" t="s">
        <v>332</v>
      </c>
    </row>
    <row r="231" spans="2:15" outlineLevel="1" x14ac:dyDescent="0.25">
      <c r="G231" s="9"/>
      <c r="H231" s="14"/>
      <c r="K231" s="9"/>
      <c r="L231" s="9">
        <f t="shared" si="27"/>
        <v>0</v>
      </c>
      <c r="M231" s="9">
        <f t="shared" si="28"/>
        <v>0</v>
      </c>
      <c r="O231" s="11" t="s">
        <v>332</v>
      </c>
    </row>
    <row r="232" spans="2:15" ht="127.5" customHeight="1" outlineLevel="1" x14ac:dyDescent="0.25">
      <c r="B232" s="6">
        <v>309</v>
      </c>
      <c r="C232" s="7" t="s">
        <v>147</v>
      </c>
      <c r="D232" s="6">
        <v>1</v>
      </c>
      <c r="E232" s="8" t="s">
        <v>11</v>
      </c>
      <c r="F232" s="19">
        <v>28883</v>
      </c>
      <c r="G232" s="9">
        <f t="shared" si="23"/>
        <v>28883</v>
      </c>
      <c r="H232" s="14">
        <v>1</v>
      </c>
      <c r="I232" s="10" t="s">
        <v>11</v>
      </c>
      <c r="J232" s="9">
        <f>F232</f>
        <v>28883</v>
      </c>
      <c r="K232" s="9">
        <f t="shared" si="24"/>
        <v>28883</v>
      </c>
      <c r="L232" s="9">
        <f t="shared" si="27"/>
        <v>0</v>
      </c>
      <c r="M232" s="9">
        <f t="shared" si="28"/>
        <v>0</v>
      </c>
      <c r="N232" s="71"/>
      <c r="O232" s="11" t="s">
        <v>332</v>
      </c>
    </row>
    <row r="233" spans="2:15" outlineLevel="1" x14ac:dyDescent="0.25">
      <c r="G233" s="9"/>
      <c r="H233" s="14"/>
      <c r="K233" s="9"/>
      <c r="L233" s="9">
        <f t="shared" si="27"/>
        <v>0</v>
      </c>
      <c r="M233" s="9">
        <f t="shared" si="28"/>
        <v>0</v>
      </c>
      <c r="O233" s="11" t="s">
        <v>332</v>
      </c>
    </row>
    <row r="234" spans="2:15" ht="60" outlineLevel="1" x14ac:dyDescent="0.25">
      <c r="B234" s="34">
        <v>310</v>
      </c>
      <c r="C234" s="7" t="s">
        <v>148</v>
      </c>
      <c r="D234" s="6">
        <v>2</v>
      </c>
      <c r="E234" s="8" t="s">
        <v>11</v>
      </c>
      <c r="F234" s="19">
        <v>3260</v>
      </c>
      <c r="G234" s="9">
        <f t="shared" si="23"/>
        <v>6520</v>
      </c>
      <c r="H234" s="14">
        <v>0</v>
      </c>
      <c r="I234" s="10" t="s">
        <v>11</v>
      </c>
      <c r="J234" s="9">
        <f>F234</f>
        <v>3260</v>
      </c>
      <c r="K234" s="9"/>
      <c r="L234" s="9">
        <f t="shared" si="27"/>
        <v>0</v>
      </c>
      <c r="M234" s="9">
        <f t="shared" si="28"/>
        <v>6520</v>
      </c>
      <c r="O234" s="11" t="s">
        <v>332</v>
      </c>
    </row>
    <row r="235" spans="2:15" outlineLevel="1" x14ac:dyDescent="0.25">
      <c r="G235" s="9"/>
      <c r="H235" s="14"/>
      <c r="K235" s="9"/>
      <c r="L235" s="9">
        <f t="shared" si="27"/>
        <v>0</v>
      </c>
      <c r="M235" s="9">
        <f t="shared" si="28"/>
        <v>0</v>
      </c>
      <c r="O235" s="11" t="s">
        <v>332</v>
      </c>
    </row>
    <row r="236" spans="2:15" ht="174.45" customHeight="1" outlineLevel="1" x14ac:dyDescent="0.25">
      <c r="B236" s="6">
        <v>311</v>
      </c>
      <c r="C236" s="7" t="s">
        <v>149</v>
      </c>
      <c r="D236" s="6">
        <v>50</v>
      </c>
      <c r="E236" s="8" t="s">
        <v>11</v>
      </c>
      <c r="F236" s="19">
        <v>2652</v>
      </c>
      <c r="G236" s="9">
        <f t="shared" si="23"/>
        <v>132600</v>
      </c>
      <c r="H236" s="14">
        <v>50</v>
      </c>
      <c r="I236" s="10" t="s">
        <v>11</v>
      </c>
      <c r="J236" s="9">
        <f>F236</f>
        <v>2652</v>
      </c>
      <c r="K236" s="9">
        <f t="shared" si="24"/>
        <v>132600</v>
      </c>
      <c r="L236" s="9">
        <f t="shared" si="27"/>
        <v>0</v>
      </c>
      <c r="M236" s="9">
        <f t="shared" si="28"/>
        <v>0</v>
      </c>
      <c r="O236" s="11" t="s">
        <v>332</v>
      </c>
    </row>
    <row r="237" spans="2:15" ht="15.6" outlineLevel="1" x14ac:dyDescent="0.25">
      <c r="C237" s="24" t="s">
        <v>41</v>
      </c>
      <c r="G237" s="9"/>
      <c r="H237" s="14">
        <f>91-H236</f>
        <v>41</v>
      </c>
      <c r="I237" s="10" t="s">
        <v>11</v>
      </c>
      <c r="J237" s="9">
        <f>J236</f>
        <v>2652</v>
      </c>
      <c r="K237" s="9">
        <f t="shared" si="24"/>
        <v>108732</v>
      </c>
      <c r="L237" s="9">
        <f t="shared" si="27"/>
        <v>108732</v>
      </c>
      <c r="M237" s="9">
        <f t="shared" si="28"/>
        <v>0</v>
      </c>
      <c r="O237" s="11" t="s">
        <v>332</v>
      </c>
    </row>
    <row r="238" spans="2:15" ht="165" outlineLevel="1" x14ac:dyDescent="0.25">
      <c r="B238" s="6">
        <v>312</v>
      </c>
      <c r="C238" s="7" t="s">
        <v>150</v>
      </c>
      <c r="D238" s="6">
        <v>30</v>
      </c>
      <c r="E238" s="8" t="s">
        <v>11</v>
      </c>
      <c r="F238" s="19">
        <v>4350</v>
      </c>
      <c r="G238" s="9">
        <f t="shared" si="23"/>
        <v>130500</v>
      </c>
      <c r="H238" s="14">
        <f>D238</f>
        <v>30</v>
      </c>
      <c r="I238" s="10" t="s">
        <v>11</v>
      </c>
      <c r="J238" s="9">
        <f>F238</f>
        <v>4350</v>
      </c>
      <c r="K238" s="9">
        <f t="shared" si="24"/>
        <v>130500</v>
      </c>
      <c r="L238" s="9">
        <f t="shared" si="27"/>
        <v>0</v>
      </c>
      <c r="M238" s="9">
        <f t="shared" si="28"/>
        <v>0</v>
      </c>
      <c r="O238" s="11" t="s">
        <v>332</v>
      </c>
    </row>
    <row r="239" spans="2:15" ht="15.6" outlineLevel="1" x14ac:dyDescent="0.25">
      <c r="C239" s="24" t="s">
        <v>41</v>
      </c>
      <c r="G239" s="9"/>
      <c r="H239" s="14">
        <f>60-H238</f>
        <v>30</v>
      </c>
      <c r="I239" s="10" t="s">
        <v>11</v>
      </c>
      <c r="J239" s="9">
        <f>J238</f>
        <v>4350</v>
      </c>
      <c r="K239" s="9">
        <f t="shared" si="24"/>
        <v>130500</v>
      </c>
      <c r="L239" s="9">
        <f t="shared" si="27"/>
        <v>130500</v>
      </c>
      <c r="M239" s="9">
        <f t="shared" si="28"/>
        <v>0</v>
      </c>
      <c r="O239" s="11" t="s">
        <v>332</v>
      </c>
    </row>
    <row r="240" spans="2:15" ht="150" outlineLevel="1" x14ac:dyDescent="0.25">
      <c r="B240" s="34">
        <v>313</v>
      </c>
      <c r="C240" s="7" t="s">
        <v>151</v>
      </c>
      <c r="D240" s="6">
        <v>12</v>
      </c>
      <c r="E240" s="8" t="s">
        <v>11</v>
      </c>
      <c r="F240" s="19">
        <v>4762</v>
      </c>
      <c r="G240" s="9">
        <f t="shared" si="23"/>
        <v>57144</v>
      </c>
      <c r="H240" s="14">
        <v>0</v>
      </c>
      <c r="I240" s="10" t="s">
        <v>11</v>
      </c>
      <c r="J240" s="9">
        <f>F240</f>
        <v>4762</v>
      </c>
      <c r="K240" s="9"/>
      <c r="L240" s="9">
        <f t="shared" si="27"/>
        <v>0</v>
      </c>
      <c r="M240" s="9">
        <f t="shared" si="28"/>
        <v>57144</v>
      </c>
      <c r="O240" s="11" t="s">
        <v>332</v>
      </c>
    </row>
    <row r="241" spans="2:15" outlineLevel="1" x14ac:dyDescent="0.25">
      <c r="G241" s="9"/>
      <c r="H241" s="14"/>
      <c r="K241" s="9"/>
      <c r="L241" s="9">
        <f t="shared" si="27"/>
        <v>0</v>
      </c>
      <c r="M241" s="9">
        <f t="shared" si="28"/>
        <v>0</v>
      </c>
      <c r="O241" s="11" t="s">
        <v>332</v>
      </c>
    </row>
    <row r="242" spans="2:15" ht="79.95" customHeight="1" outlineLevel="1" x14ac:dyDescent="0.25">
      <c r="B242" s="34">
        <v>314</v>
      </c>
      <c r="C242" s="7" t="s">
        <v>42</v>
      </c>
      <c r="D242" s="6">
        <v>5</v>
      </c>
      <c r="E242" s="8" t="s">
        <v>11</v>
      </c>
      <c r="F242" s="19">
        <v>184</v>
      </c>
      <c r="G242" s="9">
        <f t="shared" si="23"/>
        <v>920</v>
      </c>
      <c r="H242" s="14">
        <v>0</v>
      </c>
      <c r="I242" s="10" t="s">
        <v>11</v>
      </c>
      <c r="J242" s="9">
        <f>F242</f>
        <v>184</v>
      </c>
      <c r="K242" s="9"/>
      <c r="L242" s="9">
        <f t="shared" si="27"/>
        <v>0</v>
      </c>
      <c r="M242" s="9">
        <f t="shared" si="28"/>
        <v>920</v>
      </c>
      <c r="O242" s="11" t="s">
        <v>332</v>
      </c>
    </row>
    <row r="243" spans="2:15" outlineLevel="1" x14ac:dyDescent="0.25">
      <c r="G243" s="9"/>
      <c r="H243" s="14"/>
      <c r="K243" s="9"/>
      <c r="L243" s="9">
        <f t="shared" si="27"/>
        <v>0</v>
      </c>
      <c r="M243" s="9">
        <f t="shared" si="28"/>
        <v>0</v>
      </c>
      <c r="O243" s="11" t="s">
        <v>332</v>
      </c>
    </row>
    <row r="244" spans="2:15" ht="251.55" customHeight="1" outlineLevel="1" x14ac:dyDescent="0.25">
      <c r="B244" s="34">
        <v>315</v>
      </c>
      <c r="C244" s="7" t="s">
        <v>152</v>
      </c>
      <c r="D244" s="6">
        <v>12</v>
      </c>
      <c r="E244" s="8" t="s">
        <v>11</v>
      </c>
      <c r="F244" s="19">
        <v>4090</v>
      </c>
      <c r="G244" s="9">
        <f t="shared" si="23"/>
        <v>49080</v>
      </c>
      <c r="H244" s="14">
        <v>0</v>
      </c>
      <c r="I244" s="10" t="s">
        <v>11</v>
      </c>
      <c r="J244" s="9">
        <f>F244</f>
        <v>4090</v>
      </c>
      <c r="K244" s="9"/>
      <c r="L244" s="9">
        <f t="shared" si="27"/>
        <v>0</v>
      </c>
      <c r="M244" s="9">
        <f t="shared" si="28"/>
        <v>49080</v>
      </c>
      <c r="O244" s="11" t="s">
        <v>332</v>
      </c>
    </row>
    <row r="245" spans="2:15" outlineLevel="1" x14ac:dyDescent="0.25">
      <c r="G245" s="9"/>
      <c r="H245" s="14"/>
      <c r="K245" s="9"/>
      <c r="L245" s="9">
        <f t="shared" si="27"/>
        <v>0</v>
      </c>
      <c r="M245" s="9">
        <f t="shared" si="28"/>
        <v>0</v>
      </c>
      <c r="O245" s="11" t="s">
        <v>332</v>
      </c>
    </row>
    <row r="246" spans="2:15" ht="75" outlineLevel="1" x14ac:dyDescent="0.25">
      <c r="B246" s="6">
        <v>316</v>
      </c>
      <c r="C246" s="7" t="s">
        <v>153</v>
      </c>
      <c r="D246" s="6">
        <v>12</v>
      </c>
      <c r="E246" s="8" t="s">
        <v>11</v>
      </c>
      <c r="F246" s="19">
        <v>827</v>
      </c>
      <c r="G246" s="9">
        <f t="shared" si="23"/>
        <v>9924</v>
      </c>
      <c r="H246" s="14">
        <f>D246</f>
        <v>12</v>
      </c>
      <c r="I246" s="10" t="s">
        <v>11</v>
      </c>
      <c r="J246" s="9">
        <f>F246</f>
        <v>827</v>
      </c>
      <c r="K246" s="9">
        <f t="shared" si="24"/>
        <v>9924</v>
      </c>
      <c r="L246" s="9">
        <f t="shared" si="27"/>
        <v>0</v>
      </c>
      <c r="M246" s="9">
        <f t="shared" si="28"/>
        <v>0</v>
      </c>
      <c r="O246" s="11" t="s">
        <v>332</v>
      </c>
    </row>
    <row r="247" spans="2:15" ht="15.6" outlineLevel="1" x14ac:dyDescent="0.25">
      <c r="C247" s="24" t="s">
        <v>41</v>
      </c>
      <c r="G247" s="9"/>
      <c r="H247" s="14">
        <f>28-H246</f>
        <v>16</v>
      </c>
      <c r="I247" s="10" t="s">
        <v>11</v>
      </c>
      <c r="J247" s="9">
        <f>J246</f>
        <v>827</v>
      </c>
      <c r="K247" s="9">
        <f t="shared" si="24"/>
        <v>13232</v>
      </c>
      <c r="L247" s="9">
        <f t="shared" si="27"/>
        <v>13232</v>
      </c>
      <c r="M247" s="9">
        <f t="shared" si="28"/>
        <v>0</v>
      </c>
      <c r="O247" s="11" t="s">
        <v>332</v>
      </c>
    </row>
    <row r="248" spans="2:15" ht="45" outlineLevel="1" x14ac:dyDescent="0.25">
      <c r="B248" s="6">
        <v>317</v>
      </c>
      <c r="C248" s="7" t="s">
        <v>154</v>
      </c>
      <c r="D248" s="6">
        <v>6</v>
      </c>
      <c r="E248" s="8" t="s">
        <v>11</v>
      </c>
      <c r="F248" s="19">
        <v>2203</v>
      </c>
      <c r="G248" s="9">
        <f t="shared" si="23"/>
        <v>13218</v>
      </c>
      <c r="H248" s="14">
        <f>D248</f>
        <v>6</v>
      </c>
      <c r="I248" s="10" t="s">
        <v>11</v>
      </c>
      <c r="J248" s="9">
        <f>F248</f>
        <v>2203</v>
      </c>
      <c r="K248" s="9">
        <f t="shared" si="24"/>
        <v>13218</v>
      </c>
      <c r="L248" s="9">
        <f t="shared" si="27"/>
        <v>0</v>
      </c>
      <c r="M248" s="9">
        <f t="shared" si="28"/>
        <v>0</v>
      </c>
      <c r="O248" s="11" t="s">
        <v>332</v>
      </c>
    </row>
    <row r="249" spans="2:15" ht="15.6" outlineLevel="1" x14ac:dyDescent="0.25">
      <c r="C249" s="24" t="s">
        <v>41</v>
      </c>
      <c r="G249" s="9"/>
      <c r="H249" s="14">
        <f>8-H248</f>
        <v>2</v>
      </c>
      <c r="I249" s="10" t="s">
        <v>11</v>
      </c>
      <c r="J249" s="9">
        <f>J248</f>
        <v>2203</v>
      </c>
      <c r="K249" s="9">
        <f t="shared" si="24"/>
        <v>4406</v>
      </c>
      <c r="L249" s="9">
        <f t="shared" si="27"/>
        <v>4406</v>
      </c>
      <c r="M249" s="9">
        <f t="shared" si="28"/>
        <v>0</v>
      </c>
      <c r="O249" s="11" t="s">
        <v>332</v>
      </c>
    </row>
    <row r="250" spans="2:15" ht="90" outlineLevel="1" x14ac:dyDescent="0.25">
      <c r="B250" s="6">
        <v>318</v>
      </c>
      <c r="C250" s="7" t="s">
        <v>155</v>
      </c>
      <c r="D250" s="6">
        <v>70</v>
      </c>
      <c r="E250" s="8" t="s">
        <v>16</v>
      </c>
      <c r="F250" s="19">
        <v>429</v>
      </c>
      <c r="G250" s="9">
        <f t="shared" si="23"/>
        <v>30030</v>
      </c>
      <c r="H250" s="14">
        <v>70</v>
      </c>
      <c r="I250" s="10" t="s">
        <v>16</v>
      </c>
      <c r="J250" s="9">
        <f>F250</f>
        <v>429</v>
      </c>
      <c r="K250" s="9">
        <f t="shared" si="24"/>
        <v>30030</v>
      </c>
      <c r="L250" s="9">
        <f t="shared" si="27"/>
        <v>0</v>
      </c>
      <c r="M250" s="9">
        <f t="shared" si="28"/>
        <v>0</v>
      </c>
      <c r="O250" s="11" t="s">
        <v>332</v>
      </c>
    </row>
    <row r="251" spans="2:15" ht="15.6" outlineLevel="1" x14ac:dyDescent="0.25">
      <c r="C251" s="24" t="s">
        <v>41</v>
      </c>
      <c r="G251" s="9"/>
      <c r="H251" s="14">
        <v>9</v>
      </c>
      <c r="I251" s="10" t="s">
        <v>16</v>
      </c>
      <c r="J251" s="9">
        <v>429</v>
      </c>
      <c r="K251" s="9">
        <f t="shared" si="24"/>
        <v>3861</v>
      </c>
      <c r="L251" s="9">
        <f t="shared" si="27"/>
        <v>3861</v>
      </c>
      <c r="M251" s="9">
        <f t="shared" si="28"/>
        <v>0</v>
      </c>
      <c r="O251" s="11" t="s">
        <v>332</v>
      </c>
    </row>
    <row r="252" spans="2:15" ht="96.45" customHeight="1" outlineLevel="1" x14ac:dyDescent="0.25">
      <c r="B252" s="6">
        <v>319</v>
      </c>
      <c r="C252" s="7" t="s">
        <v>156</v>
      </c>
      <c r="D252" s="6">
        <v>80</v>
      </c>
      <c r="E252" s="8" t="s">
        <v>16</v>
      </c>
      <c r="F252" s="19">
        <v>1310</v>
      </c>
      <c r="G252" s="9">
        <f t="shared" si="23"/>
        <v>104800</v>
      </c>
      <c r="H252" s="14">
        <v>80</v>
      </c>
      <c r="I252" s="10" t="s">
        <v>16</v>
      </c>
      <c r="J252" s="9">
        <f>F252</f>
        <v>1310</v>
      </c>
      <c r="K252" s="9">
        <f t="shared" si="24"/>
        <v>104800</v>
      </c>
      <c r="L252" s="9">
        <f t="shared" si="27"/>
        <v>0</v>
      </c>
      <c r="M252" s="9">
        <f t="shared" si="28"/>
        <v>0</v>
      </c>
      <c r="O252" s="11" t="s">
        <v>332</v>
      </c>
    </row>
    <row r="253" spans="2:15" ht="15.6" outlineLevel="1" x14ac:dyDescent="0.25">
      <c r="C253" s="24" t="s">
        <v>41</v>
      </c>
      <c r="G253" s="9"/>
      <c r="H253" s="14">
        <v>22.5</v>
      </c>
      <c r="I253" s="10" t="s">
        <v>16</v>
      </c>
      <c r="J253" s="9">
        <f>J252</f>
        <v>1310</v>
      </c>
      <c r="K253" s="9">
        <f t="shared" si="24"/>
        <v>29475</v>
      </c>
      <c r="L253" s="9">
        <f t="shared" si="27"/>
        <v>29475</v>
      </c>
      <c r="M253" s="9">
        <f t="shared" si="28"/>
        <v>0</v>
      </c>
      <c r="O253" s="11" t="s">
        <v>332</v>
      </c>
    </row>
    <row r="254" spans="2:15" ht="144.44999999999999" customHeight="1" outlineLevel="1" x14ac:dyDescent="0.25">
      <c r="B254" s="6">
        <v>320</v>
      </c>
      <c r="C254" s="7" t="s">
        <v>157</v>
      </c>
      <c r="D254" s="6">
        <v>1</v>
      </c>
      <c r="E254" s="8" t="s">
        <v>11</v>
      </c>
      <c r="F254" s="19">
        <v>305000</v>
      </c>
      <c r="G254" s="9">
        <f t="shared" si="23"/>
        <v>305000</v>
      </c>
      <c r="H254" s="14">
        <v>1</v>
      </c>
      <c r="I254" s="10" t="s">
        <v>11</v>
      </c>
      <c r="J254" s="9">
        <f>F254</f>
        <v>305000</v>
      </c>
      <c r="K254" s="9">
        <f t="shared" si="24"/>
        <v>305000</v>
      </c>
      <c r="L254" s="9">
        <f t="shared" si="27"/>
        <v>0</v>
      </c>
      <c r="M254" s="9">
        <f t="shared" si="28"/>
        <v>0</v>
      </c>
      <c r="N254" s="71"/>
      <c r="O254" s="11" t="s">
        <v>332</v>
      </c>
    </row>
    <row r="255" spans="2:15" outlineLevel="1" x14ac:dyDescent="0.25">
      <c r="G255" s="9"/>
      <c r="H255" s="14"/>
      <c r="K255" s="9"/>
      <c r="L255" s="9">
        <f t="shared" si="27"/>
        <v>0</v>
      </c>
      <c r="M255" s="9">
        <f t="shared" si="28"/>
        <v>0</v>
      </c>
      <c r="O255" s="11" t="s">
        <v>332</v>
      </c>
    </row>
    <row r="256" spans="2:15" s="70" customFormat="1" ht="34.200000000000003" customHeight="1" outlineLevel="1" x14ac:dyDescent="0.25">
      <c r="B256" s="63">
        <v>321</v>
      </c>
      <c r="C256" s="64" t="s">
        <v>158</v>
      </c>
      <c r="D256" s="63">
        <v>20</v>
      </c>
      <c r="E256" s="65" t="s">
        <v>11</v>
      </c>
      <c r="F256" s="66">
        <v>20584</v>
      </c>
      <c r="G256" s="9">
        <f t="shared" si="23"/>
        <v>411680</v>
      </c>
      <c r="H256" s="68">
        <f>D256</f>
        <v>20</v>
      </c>
      <c r="I256" s="69" t="s">
        <v>11</v>
      </c>
      <c r="J256" s="67">
        <f>F256</f>
        <v>20584</v>
      </c>
      <c r="K256" s="9">
        <f t="shared" si="24"/>
        <v>411680</v>
      </c>
      <c r="L256" s="9">
        <f t="shared" si="27"/>
        <v>0</v>
      </c>
      <c r="M256" s="9">
        <f t="shared" si="28"/>
        <v>0</v>
      </c>
      <c r="O256" s="11" t="s">
        <v>332</v>
      </c>
    </row>
    <row r="257" spans="2:15" ht="15.6" outlineLevel="1" x14ac:dyDescent="0.25">
      <c r="C257" s="24" t="s">
        <v>41</v>
      </c>
      <c r="G257" s="9"/>
      <c r="H257" s="14">
        <v>12</v>
      </c>
      <c r="I257" s="10" t="s">
        <v>11</v>
      </c>
      <c r="J257" s="9">
        <f>F256</f>
        <v>20584</v>
      </c>
      <c r="K257" s="9">
        <f t="shared" si="24"/>
        <v>247008</v>
      </c>
      <c r="L257" s="9">
        <f t="shared" si="27"/>
        <v>247008</v>
      </c>
      <c r="M257" s="9">
        <f t="shared" si="28"/>
        <v>0</v>
      </c>
      <c r="O257" s="11" t="s">
        <v>332</v>
      </c>
    </row>
    <row r="258" spans="2:15" ht="30" outlineLevel="1" x14ac:dyDescent="0.25">
      <c r="B258" s="6">
        <v>322</v>
      </c>
      <c r="C258" s="7" t="s">
        <v>159</v>
      </c>
      <c r="D258" s="6">
        <v>1</v>
      </c>
      <c r="E258" s="8" t="s">
        <v>11</v>
      </c>
      <c r="F258" s="19">
        <v>6764</v>
      </c>
      <c r="G258" s="9">
        <f t="shared" si="23"/>
        <v>6764</v>
      </c>
      <c r="H258" s="14">
        <f>D258</f>
        <v>1</v>
      </c>
      <c r="I258" s="10" t="s">
        <v>11</v>
      </c>
      <c r="J258" s="9">
        <f>F258</f>
        <v>6764</v>
      </c>
      <c r="K258" s="9">
        <f t="shared" si="24"/>
        <v>6764</v>
      </c>
      <c r="L258" s="9">
        <f t="shared" si="27"/>
        <v>0</v>
      </c>
      <c r="M258" s="9">
        <f t="shared" si="28"/>
        <v>0</v>
      </c>
      <c r="N258" s="71"/>
      <c r="O258" s="11" t="s">
        <v>332</v>
      </c>
    </row>
    <row r="259" spans="2:15" outlineLevel="1" x14ac:dyDescent="0.25">
      <c r="G259" s="9"/>
      <c r="H259" s="14"/>
      <c r="K259" s="9"/>
      <c r="L259" s="9">
        <f t="shared" si="27"/>
        <v>0</v>
      </c>
      <c r="M259" s="9">
        <f t="shared" si="28"/>
        <v>0</v>
      </c>
      <c r="O259" s="11" t="s">
        <v>332</v>
      </c>
    </row>
    <row r="260" spans="2:15" ht="120" outlineLevel="1" x14ac:dyDescent="0.25">
      <c r="B260" s="6">
        <v>323</v>
      </c>
      <c r="C260" s="7" t="s">
        <v>30</v>
      </c>
      <c r="D260" s="6">
        <v>2</v>
      </c>
      <c r="E260" s="8" t="s">
        <v>11</v>
      </c>
      <c r="F260" s="19">
        <v>8500</v>
      </c>
      <c r="G260" s="9">
        <f t="shared" si="23"/>
        <v>17000</v>
      </c>
      <c r="H260" s="14">
        <v>2</v>
      </c>
      <c r="I260" s="10" t="s">
        <v>11</v>
      </c>
      <c r="J260" s="9">
        <f>F260</f>
        <v>8500</v>
      </c>
      <c r="K260" s="9">
        <f t="shared" si="24"/>
        <v>17000</v>
      </c>
      <c r="L260" s="9">
        <f t="shared" si="27"/>
        <v>0</v>
      </c>
      <c r="M260" s="9">
        <f t="shared" si="28"/>
        <v>0</v>
      </c>
      <c r="N260" s="71"/>
      <c r="O260" s="11" t="s">
        <v>332</v>
      </c>
    </row>
    <row r="261" spans="2:15" outlineLevel="1" x14ac:dyDescent="0.25">
      <c r="G261" s="9"/>
      <c r="H261" s="14"/>
      <c r="K261" s="9"/>
      <c r="L261" s="9">
        <f t="shared" si="27"/>
        <v>0</v>
      </c>
      <c r="M261" s="9">
        <f t="shared" si="28"/>
        <v>0</v>
      </c>
      <c r="O261" s="11" t="s">
        <v>332</v>
      </c>
    </row>
    <row r="262" spans="2:15" ht="139.94999999999999" customHeight="1" outlineLevel="1" x14ac:dyDescent="0.25">
      <c r="B262" s="6">
        <v>324</v>
      </c>
      <c r="C262" s="7" t="s">
        <v>231</v>
      </c>
      <c r="D262" s="6">
        <v>2</v>
      </c>
      <c r="E262" s="8" t="s">
        <v>11</v>
      </c>
      <c r="F262" s="19">
        <v>22283</v>
      </c>
      <c r="G262" s="9">
        <f t="shared" si="23"/>
        <v>44566</v>
      </c>
      <c r="H262" s="14">
        <v>2</v>
      </c>
      <c r="I262" s="10" t="s">
        <v>11</v>
      </c>
      <c r="J262" s="9">
        <f>F262</f>
        <v>22283</v>
      </c>
      <c r="K262" s="9">
        <f t="shared" si="24"/>
        <v>44566</v>
      </c>
      <c r="L262" s="9">
        <f t="shared" si="27"/>
        <v>0</v>
      </c>
      <c r="M262" s="9">
        <f t="shared" si="28"/>
        <v>0</v>
      </c>
      <c r="O262" s="11" t="s">
        <v>332</v>
      </c>
    </row>
    <row r="263" spans="2:15" ht="15.6" outlineLevel="1" x14ac:dyDescent="0.25">
      <c r="C263" s="24" t="s">
        <v>41</v>
      </c>
      <c r="G263" s="9"/>
      <c r="H263" s="14">
        <v>2</v>
      </c>
      <c r="I263" s="10" t="s">
        <v>11</v>
      </c>
      <c r="J263" s="9">
        <f>J262</f>
        <v>22283</v>
      </c>
      <c r="K263" s="9">
        <f t="shared" si="24"/>
        <v>44566</v>
      </c>
      <c r="L263" s="9">
        <f t="shared" si="27"/>
        <v>44566</v>
      </c>
      <c r="M263" s="9">
        <f t="shared" si="28"/>
        <v>0</v>
      </c>
      <c r="O263" s="11" t="s">
        <v>332</v>
      </c>
    </row>
    <row r="264" spans="2:15" ht="45" outlineLevel="1" x14ac:dyDescent="0.25">
      <c r="B264" s="6">
        <v>325</v>
      </c>
      <c r="C264" s="7" t="s">
        <v>160</v>
      </c>
      <c r="D264" s="6">
        <v>200</v>
      </c>
      <c r="E264" s="8" t="s">
        <v>16</v>
      </c>
      <c r="F264" s="19">
        <v>329</v>
      </c>
      <c r="G264" s="9">
        <f t="shared" ref="G264:G286" si="29">ROUND(D264*F264,0)</f>
        <v>65800</v>
      </c>
      <c r="H264" s="14">
        <v>200</v>
      </c>
      <c r="I264" s="10" t="s">
        <v>16</v>
      </c>
      <c r="J264" s="9">
        <f>F264</f>
        <v>329</v>
      </c>
      <c r="K264" s="9">
        <f t="shared" ref="K264:K284" si="30">ROUND(H264*J264,0)</f>
        <v>65800</v>
      </c>
      <c r="L264" s="9">
        <f t="shared" si="27"/>
        <v>0</v>
      </c>
      <c r="M264" s="9">
        <f t="shared" si="28"/>
        <v>0</v>
      </c>
      <c r="O264" s="11" t="s">
        <v>332</v>
      </c>
    </row>
    <row r="265" spans="2:15" ht="15.6" outlineLevel="1" x14ac:dyDescent="0.25">
      <c r="C265" s="24" t="s">
        <v>41</v>
      </c>
      <c r="G265" s="9"/>
      <c r="H265" s="14">
        <v>17.3</v>
      </c>
      <c r="I265" s="10" t="s">
        <v>16</v>
      </c>
      <c r="J265" s="9">
        <f>J264</f>
        <v>329</v>
      </c>
      <c r="K265" s="9">
        <f t="shared" si="30"/>
        <v>5692</v>
      </c>
      <c r="L265" s="9">
        <f t="shared" ref="L265:L287" si="31">ROUND(IF(K265&gt;G265,K265-G265,0),0)</f>
        <v>5692</v>
      </c>
      <c r="M265" s="9">
        <f t="shared" ref="M265:M287" si="32">ROUND(IF(K265&lt;G265,G265-K265,0),0)</f>
        <v>0</v>
      </c>
      <c r="O265" s="11" t="s">
        <v>332</v>
      </c>
    </row>
    <row r="266" spans="2:15" ht="45" outlineLevel="1" x14ac:dyDescent="0.25">
      <c r="B266" s="34">
        <v>326</v>
      </c>
      <c r="C266" s="7" t="s">
        <v>161</v>
      </c>
      <c r="D266" s="6">
        <v>100</v>
      </c>
      <c r="E266" s="8" t="s">
        <v>16</v>
      </c>
      <c r="F266" s="19">
        <v>163</v>
      </c>
      <c r="G266" s="9">
        <f t="shared" si="29"/>
        <v>16300</v>
      </c>
      <c r="H266" s="14">
        <v>0</v>
      </c>
      <c r="I266" s="10" t="s">
        <v>16</v>
      </c>
      <c r="J266" s="9">
        <f>F266</f>
        <v>163</v>
      </c>
      <c r="K266" s="9"/>
      <c r="L266" s="9">
        <f t="shared" si="31"/>
        <v>0</v>
      </c>
      <c r="M266" s="9">
        <f t="shared" si="32"/>
        <v>16300</v>
      </c>
      <c r="O266" s="11" t="s">
        <v>332</v>
      </c>
    </row>
    <row r="267" spans="2:15" outlineLevel="1" x14ac:dyDescent="0.25">
      <c r="G267" s="9"/>
      <c r="H267" s="14"/>
      <c r="K267" s="9"/>
      <c r="L267" s="9">
        <f t="shared" si="31"/>
        <v>0</v>
      </c>
      <c r="M267" s="9">
        <f t="shared" si="32"/>
        <v>0</v>
      </c>
      <c r="O267" s="11" t="s">
        <v>332</v>
      </c>
    </row>
    <row r="268" spans="2:15" ht="45" outlineLevel="1" x14ac:dyDescent="0.25">
      <c r="B268" s="6">
        <v>327</v>
      </c>
      <c r="C268" s="7" t="s">
        <v>162</v>
      </c>
      <c r="D268" s="6">
        <v>200</v>
      </c>
      <c r="E268" s="8" t="s">
        <v>16</v>
      </c>
      <c r="F268" s="19">
        <v>902</v>
      </c>
      <c r="G268" s="9">
        <f t="shared" si="29"/>
        <v>180400</v>
      </c>
      <c r="H268" s="14">
        <v>200</v>
      </c>
      <c r="I268" s="10" t="s">
        <v>16</v>
      </c>
      <c r="J268" s="9">
        <f>F268</f>
        <v>902</v>
      </c>
      <c r="K268" s="9">
        <f t="shared" si="30"/>
        <v>180400</v>
      </c>
      <c r="L268" s="9">
        <f t="shared" si="31"/>
        <v>0</v>
      </c>
      <c r="M268" s="9">
        <f t="shared" si="32"/>
        <v>0</v>
      </c>
      <c r="O268" s="11" t="s">
        <v>332</v>
      </c>
    </row>
    <row r="269" spans="2:15" ht="15.6" outlineLevel="1" x14ac:dyDescent="0.25">
      <c r="C269" s="24" t="s">
        <v>41</v>
      </c>
      <c r="G269" s="9"/>
      <c r="H269" s="14">
        <f>207.3-200</f>
        <v>7.3000000000000114</v>
      </c>
      <c r="I269" s="10" t="s">
        <v>16</v>
      </c>
      <c r="J269" s="9">
        <f>J268</f>
        <v>902</v>
      </c>
      <c r="K269" s="9">
        <f t="shared" si="30"/>
        <v>6585</v>
      </c>
      <c r="L269" s="9">
        <f t="shared" si="31"/>
        <v>6585</v>
      </c>
      <c r="M269" s="9">
        <f t="shared" si="32"/>
        <v>0</v>
      </c>
      <c r="O269" s="11" t="s">
        <v>332</v>
      </c>
    </row>
    <row r="270" spans="2:15" ht="30" outlineLevel="1" x14ac:dyDescent="0.25">
      <c r="B270" s="6">
        <v>328</v>
      </c>
      <c r="C270" s="7" t="s">
        <v>163</v>
      </c>
      <c r="D270" s="6">
        <v>80</v>
      </c>
      <c r="E270" s="8" t="s">
        <v>16</v>
      </c>
      <c r="F270" s="19">
        <v>83</v>
      </c>
      <c r="G270" s="9">
        <f t="shared" si="29"/>
        <v>6640</v>
      </c>
      <c r="H270" s="14">
        <v>80</v>
      </c>
      <c r="I270" s="10" t="s">
        <v>16</v>
      </c>
      <c r="J270" s="9">
        <f>F270</f>
        <v>83</v>
      </c>
      <c r="K270" s="9">
        <f t="shared" si="30"/>
        <v>6640</v>
      </c>
      <c r="L270" s="9">
        <f t="shared" si="31"/>
        <v>0</v>
      </c>
      <c r="M270" s="9">
        <f t="shared" si="32"/>
        <v>0</v>
      </c>
      <c r="O270" s="11" t="s">
        <v>332</v>
      </c>
    </row>
    <row r="271" spans="2:15" ht="15.6" outlineLevel="1" x14ac:dyDescent="0.25">
      <c r="C271" s="24" t="s">
        <v>41</v>
      </c>
      <c r="G271" s="9"/>
      <c r="H271" s="14">
        <f>450.6-80</f>
        <v>370.6</v>
      </c>
      <c r="I271" s="10" t="s">
        <v>16</v>
      </c>
      <c r="J271" s="9">
        <f>J270</f>
        <v>83</v>
      </c>
      <c r="K271" s="9">
        <f t="shared" si="30"/>
        <v>30760</v>
      </c>
      <c r="L271" s="9">
        <f t="shared" si="31"/>
        <v>30760</v>
      </c>
      <c r="M271" s="9">
        <f t="shared" si="32"/>
        <v>0</v>
      </c>
      <c r="O271" s="11" t="s">
        <v>332</v>
      </c>
    </row>
    <row r="272" spans="2:15" ht="165" outlineLevel="1" x14ac:dyDescent="0.25">
      <c r="B272" s="6">
        <v>329</v>
      </c>
      <c r="C272" s="7" t="s">
        <v>164</v>
      </c>
      <c r="D272" s="6">
        <v>120</v>
      </c>
      <c r="E272" s="8" t="s">
        <v>16</v>
      </c>
      <c r="F272" s="19">
        <v>1207</v>
      </c>
      <c r="G272" s="9">
        <f t="shared" si="29"/>
        <v>144840</v>
      </c>
      <c r="H272" s="14">
        <v>120</v>
      </c>
      <c r="I272" s="10" t="s">
        <v>16</v>
      </c>
      <c r="J272" s="9">
        <f>F272</f>
        <v>1207</v>
      </c>
      <c r="K272" s="9">
        <f t="shared" si="30"/>
        <v>144840</v>
      </c>
      <c r="L272" s="9">
        <f t="shared" si="31"/>
        <v>0</v>
      </c>
      <c r="M272" s="9">
        <f t="shared" si="32"/>
        <v>0</v>
      </c>
      <c r="O272" s="11" t="s">
        <v>332</v>
      </c>
    </row>
    <row r="273" spans="2:15" ht="15.6" outlineLevel="1" x14ac:dyDescent="0.25">
      <c r="C273" s="24" t="s">
        <v>41</v>
      </c>
      <c r="G273" s="9"/>
      <c r="H273" s="14">
        <f>180-H272</f>
        <v>60</v>
      </c>
      <c r="I273" s="10" t="s">
        <v>16</v>
      </c>
      <c r="J273" s="9">
        <f>J272</f>
        <v>1207</v>
      </c>
      <c r="K273" s="9">
        <f t="shared" si="30"/>
        <v>72420</v>
      </c>
      <c r="L273" s="9">
        <f t="shared" si="31"/>
        <v>72420</v>
      </c>
      <c r="M273" s="9">
        <f t="shared" si="32"/>
        <v>0</v>
      </c>
      <c r="O273" s="11" t="s">
        <v>332</v>
      </c>
    </row>
    <row r="274" spans="2:15" ht="165" outlineLevel="1" x14ac:dyDescent="0.25">
      <c r="B274" s="6">
        <v>330</v>
      </c>
      <c r="C274" s="7" t="s">
        <v>29</v>
      </c>
      <c r="D274" s="6">
        <v>70</v>
      </c>
      <c r="E274" s="8" t="s">
        <v>16</v>
      </c>
      <c r="F274" s="19">
        <v>722</v>
      </c>
      <c r="G274" s="9">
        <f t="shared" si="29"/>
        <v>50540</v>
      </c>
      <c r="H274" s="14">
        <v>70</v>
      </c>
      <c r="I274" s="10" t="s">
        <v>16</v>
      </c>
      <c r="J274" s="9">
        <f>F274</f>
        <v>722</v>
      </c>
      <c r="K274" s="9">
        <f t="shared" si="30"/>
        <v>50540</v>
      </c>
      <c r="L274" s="9">
        <f t="shared" si="31"/>
        <v>0</v>
      </c>
      <c r="M274" s="9">
        <f t="shared" si="32"/>
        <v>0</v>
      </c>
      <c r="O274" s="11" t="s">
        <v>332</v>
      </c>
    </row>
    <row r="275" spans="2:15" ht="15.6" outlineLevel="1" x14ac:dyDescent="0.25">
      <c r="C275" s="24" t="s">
        <v>41</v>
      </c>
      <c r="G275" s="9"/>
      <c r="H275" s="14">
        <f>180-H274</f>
        <v>110</v>
      </c>
      <c r="I275" s="10" t="s">
        <v>16</v>
      </c>
      <c r="J275" s="35">
        <f>J274</f>
        <v>722</v>
      </c>
      <c r="K275" s="9">
        <f t="shared" si="30"/>
        <v>79420</v>
      </c>
      <c r="L275" s="9">
        <f t="shared" si="31"/>
        <v>79420</v>
      </c>
      <c r="M275" s="9">
        <f t="shared" si="32"/>
        <v>0</v>
      </c>
      <c r="O275" s="11" t="s">
        <v>332</v>
      </c>
    </row>
    <row r="276" spans="2:15" ht="150" outlineLevel="1" x14ac:dyDescent="0.25">
      <c r="B276" s="6">
        <v>331</v>
      </c>
      <c r="C276" s="7" t="s">
        <v>165</v>
      </c>
      <c r="D276" s="6">
        <v>100</v>
      </c>
      <c r="E276" s="8" t="s">
        <v>16</v>
      </c>
      <c r="F276" s="19">
        <v>1483</v>
      </c>
      <c r="G276" s="9">
        <f t="shared" si="29"/>
        <v>148300</v>
      </c>
      <c r="H276" s="14">
        <v>100</v>
      </c>
      <c r="I276" s="10" t="s">
        <v>16</v>
      </c>
      <c r="J276" s="9">
        <f>F276</f>
        <v>1483</v>
      </c>
      <c r="K276" s="9">
        <f t="shared" si="30"/>
        <v>148300</v>
      </c>
      <c r="L276" s="9">
        <f t="shared" si="31"/>
        <v>0</v>
      </c>
      <c r="M276" s="9">
        <f t="shared" si="32"/>
        <v>0</v>
      </c>
      <c r="O276" s="11" t="s">
        <v>332</v>
      </c>
    </row>
    <row r="277" spans="2:15" ht="15.6" outlineLevel="1" x14ac:dyDescent="0.25">
      <c r="C277" s="24" t="s">
        <v>41</v>
      </c>
      <c r="G277" s="9"/>
      <c r="H277" s="14">
        <f>160.4-H276</f>
        <v>60.400000000000006</v>
      </c>
      <c r="I277" s="10" t="s">
        <v>16</v>
      </c>
      <c r="J277" s="9">
        <f>J276</f>
        <v>1483</v>
      </c>
      <c r="K277" s="9">
        <f t="shared" si="30"/>
        <v>89573</v>
      </c>
      <c r="L277" s="9">
        <f t="shared" si="31"/>
        <v>89573</v>
      </c>
      <c r="M277" s="9">
        <f t="shared" si="32"/>
        <v>0</v>
      </c>
      <c r="O277" s="11" t="s">
        <v>332</v>
      </c>
    </row>
    <row r="278" spans="2:15" ht="150" outlineLevel="1" x14ac:dyDescent="0.25">
      <c r="B278" s="6">
        <v>332</v>
      </c>
      <c r="C278" s="7" t="s">
        <v>166</v>
      </c>
      <c r="D278" s="6">
        <v>120</v>
      </c>
      <c r="E278" s="8" t="s">
        <v>16</v>
      </c>
      <c r="F278" s="19">
        <v>484</v>
      </c>
      <c r="G278" s="9">
        <f t="shared" si="29"/>
        <v>58080</v>
      </c>
      <c r="H278" s="14">
        <v>120</v>
      </c>
      <c r="I278" s="10" t="s">
        <v>16</v>
      </c>
      <c r="J278" s="9">
        <f>F278</f>
        <v>484</v>
      </c>
      <c r="K278" s="9">
        <f t="shared" si="30"/>
        <v>58080</v>
      </c>
      <c r="L278" s="9">
        <f t="shared" si="31"/>
        <v>0</v>
      </c>
      <c r="M278" s="9">
        <f t="shared" si="32"/>
        <v>0</v>
      </c>
      <c r="N278" s="71"/>
      <c r="O278" s="11" t="s">
        <v>332</v>
      </c>
    </row>
    <row r="279" spans="2:15" outlineLevel="1" x14ac:dyDescent="0.25">
      <c r="G279" s="9"/>
      <c r="H279" s="14"/>
      <c r="K279" s="9"/>
      <c r="L279" s="9">
        <f t="shared" si="31"/>
        <v>0</v>
      </c>
      <c r="M279" s="9">
        <f t="shared" si="32"/>
        <v>0</v>
      </c>
      <c r="O279" s="11" t="s">
        <v>332</v>
      </c>
    </row>
    <row r="280" spans="2:15" ht="174.45" customHeight="1" outlineLevel="1" x14ac:dyDescent="0.25">
      <c r="B280" s="6">
        <v>333</v>
      </c>
      <c r="C280" s="7" t="s">
        <v>232</v>
      </c>
      <c r="D280" s="6">
        <v>80</v>
      </c>
      <c r="E280" s="8" t="s">
        <v>16</v>
      </c>
      <c r="F280" s="19">
        <v>356</v>
      </c>
      <c r="G280" s="9">
        <f t="shared" si="29"/>
        <v>28480</v>
      </c>
      <c r="H280" s="14">
        <v>80</v>
      </c>
      <c r="I280" s="10" t="s">
        <v>16</v>
      </c>
      <c r="J280" s="9">
        <f>F280</f>
        <v>356</v>
      </c>
      <c r="K280" s="9">
        <f t="shared" si="30"/>
        <v>28480</v>
      </c>
      <c r="L280" s="9">
        <f t="shared" si="31"/>
        <v>0</v>
      </c>
      <c r="M280" s="9">
        <f t="shared" si="32"/>
        <v>0</v>
      </c>
      <c r="N280" s="71"/>
      <c r="O280" s="11" t="s">
        <v>332</v>
      </c>
    </row>
    <row r="281" spans="2:15" outlineLevel="1" x14ac:dyDescent="0.25">
      <c r="G281" s="9"/>
      <c r="H281" s="14"/>
      <c r="K281" s="9"/>
      <c r="L281" s="9">
        <f t="shared" si="31"/>
        <v>0</v>
      </c>
      <c r="M281" s="9">
        <f t="shared" si="32"/>
        <v>0</v>
      </c>
      <c r="O281" s="11" t="s">
        <v>332</v>
      </c>
    </row>
    <row r="282" spans="2:15" ht="270" outlineLevel="1" x14ac:dyDescent="0.25">
      <c r="B282" s="6">
        <v>334</v>
      </c>
      <c r="C282" s="7" t="s">
        <v>28</v>
      </c>
      <c r="D282" s="6">
        <v>1</v>
      </c>
      <c r="E282" s="8" t="s">
        <v>11</v>
      </c>
      <c r="F282" s="19">
        <v>355000</v>
      </c>
      <c r="G282" s="9">
        <f t="shared" si="29"/>
        <v>355000</v>
      </c>
      <c r="H282" s="14">
        <v>1</v>
      </c>
      <c r="I282" s="10" t="s">
        <v>11</v>
      </c>
      <c r="J282" s="9">
        <f>F282</f>
        <v>355000</v>
      </c>
      <c r="K282" s="9">
        <f t="shared" si="30"/>
        <v>355000</v>
      </c>
      <c r="L282" s="9">
        <f t="shared" si="31"/>
        <v>0</v>
      </c>
      <c r="M282" s="9">
        <f t="shared" si="32"/>
        <v>0</v>
      </c>
      <c r="N282" s="71"/>
      <c r="O282" s="11" t="s">
        <v>332</v>
      </c>
    </row>
    <row r="283" spans="2:15" outlineLevel="1" x14ac:dyDescent="0.25">
      <c r="G283" s="9"/>
      <c r="H283" s="14"/>
      <c r="K283" s="9"/>
      <c r="L283" s="9">
        <f t="shared" si="31"/>
        <v>0</v>
      </c>
      <c r="M283" s="9">
        <f t="shared" si="32"/>
        <v>0</v>
      </c>
      <c r="O283" s="11" t="s">
        <v>332</v>
      </c>
    </row>
    <row r="284" spans="2:15" ht="285" outlineLevel="1" x14ac:dyDescent="0.25">
      <c r="B284" s="6">
        <v>335</v>
      </c>
      <c r="C284" s="7" t="s">
        <v>167</v>
      </c>
      <c r="D284" s="6">
        <v>1</v>
      </c>
      <c r="E284" s="8" t="s">
        <v>11</v>
      </c>
      <c r="F284" s="19">
        <v>270000</v>
      </c>
      <c r="G284" s="9">
        <f t="shared" si="29"/>
        <v>270000</v>
      </c>
      <c r="H284" s="14">
        <v>1</v>
      </c>
      <c r="I284" s="10" t="s">
        <v>11</v>
      </c>
      <c r="J284" s="9">
        <f>F284</f>
        <v>270000</v>
      </c>
      <c r="K284" s="9">
        <f t="shared" si="30"/>
        <v>270000</v>
      </c>
      <c r="L284" s="9">
        <f t="shared" si="31"/>
        <v>0</v>
      </c>
      <c r="M284" s="9">
        <f t="shared" si="32"/>
        <v>0</v>
      </c>
      <c r="N284" s="71"/>
      <c r="O284" s="11" t="s">
        <v>332</v>
      </c>
    </row>
    <row r="285" spans="2:15" outlineLevel="1" x14ac:dyDescent="0.25">
      <c r="G285" s="9"/>
      <c r="H285" s="14"/>
      <c r="K285" s="9"/>
      <c r="L285" s="9">
        <f t="shared" si="31"/>
        <v>0</v>
      </c>
      <c r="M285" s="9">
        <f t="shared" si="32"/>
        <v>0</v>
      </c>
      <c r="O285" s="11" t="s">
        <v>332</v>
      </c>
    </row>
    <row r="286" spans="2:15" ht="60" outlineLevel="1" x14ac:dyDescent="0.25">
      <c r="B286" s="34">
        <v>336</v>
      </c>
      <c r="C286" s="7" t="s">
        <v>168</v>
      </c>
      <c r="D286" s="6">
        <v>3</v>
      </c>
      <c r="E286" s="8" t="s">
        <v>11</v>
      </c>
      <c r="F286" s="19">
        <v>1540</v>
      </c>
      <c r="G286" s="9">
        <f t="shared" si="29"/>
        <v>4620</v>
      </c>
      <c r="H286" s="14">
        <v>0</v>
      </c>
      <c r="I286" s="10" t="s">
        <v>11</v>
      </c>
      <c r="J286" s="9">
        <f>F286</f>
        <v>1540</v>
      </c>
      <c r="K286" s="9"/>
      <c r="L286" s="9">
        <f t="shared" si="31"/>
        <v>0</v>
      </c>
      <c r="M286" s="9">
        <f t="shared" si="32"/>
        <v>4620</v>
      </c>
      <c r="O286" s="11" t="s">
        <v>332</v>
      </c>
    </row>
    <row r="287" spans="2:15" outlineLevel="1" x14ac:dyDescent="0.25">
      <c r="G287" s="9"/>
      <c r="H287" s="14"/>
      <c r="K287" s="9"/>
      <c r="L287" s="9">
        <f t="shared" si="31"/>
        <v>0</v>
      </c>
      <c r="M287" s="9">
        <f t="shared" si="32"/>
        <v>0</v>
      </c>
      <c r="O287" s="11" t="s">
        <v>332</v>
      </c>
    </row>
    <row r="288" spans="2:15" ht="19.95" customHeight="1" x14ac:dyDescent="0.25">
      <c r="G288" s="23">
        <f>ROUND(SUM(G200:G287),0)</f>
        <v>3719411</v>
      </c>
      <c r="H288" s="14"/>
      <c r="J288" s="22" t="s">
        <v>44</v>
      </c>
      <c r="K288" s="23">
        <f>ROUND(SUM(K200:K287),0)</f>
        <v>5641335</v>
      </c>
      <c r="L288" s="23">
        <f t="shared" ref="L288:M288" si="33">SUM(L200:L287)</f>
        <v>2169638</v>
      </c>
      <c r="M288" s="23">
        <f t="shared" si="33"/>
        <v>247714</v>
      </c>
      <c r="N288" s="81"/>
    </row>
    <row r="289" spans="2:15" ht="19.95" customHeight="1" x14ac:dyDescent="0.25">
      <c r="C289" s="12" t="s">
        <v>48</v>
      </c>
      <c r="F289" s="17" t="s">
        <v>52</v>
      </c>
      <c r="H289" s="14"/>
      <c r="L289" s="9"/>
      <c r="M289" s="9"/>
    </row>
    <row r="290" spans="2:15" ht="60" outlineLevel="1" x14ac:dyDescent="0.25">
      <c r="B290" s="6">
        <v>337</v>
      </c>
      <c r="C290" s="7" t="s">
        <v>169</v>
      </c>
      <c r="D290" s="6">
        <v>1</v>
      </c>
      <c r="E290" s="8" t="s">
        <v>19</v>
      </c>
      <c r="F290" s="19">
        <v>383000</v>
      </c>
      <c r="G290" s="9">
        <f t="shared" ref="G290:G294" si="34">ROUND(D290*F290,0)</f>
        <v>383000</v>
      </c>
      <c r="H290" s="14">
        <f>D290</f>
        <v>1</v>
      </c>
      <c r="I290" s="10" t="s">
        <v>19</v>
      </c>
      <c r="J290" s="9">
        <f>F290</f>
        <v>383000</v>
      </c>
      <c r="K290" s="9">
        <f t="shared" ref="K290:K294" si="35">ROUND(H290*J290,0)</f>
        <v>383000</v>
      </c>
      <c r="L290" s="9">
        <f t="shared" ref="L290" si="36">ROUND(IF(K290&gt;G290,K290-G290,0),0)</f>
        <v>0</v>
      </c>
      <c r="M290" s="9">
        <f t="shared" ref="M290" si="37">ROUND(IF(K290&lt;G290,G290-K290,0),0)</f>
        <v>0</v>
      </c>
      <c r="N290" s="71" t="s">
        <v>386</v>
      </c>
      <c r="O290" s="11" t="s">
        <v>335</v>
      </c>
    </row>
    <row r="291" spans="2:15" outlineLevel="1" x14ac:dyDescent="0.25">
      <c r="G291" s="9"/>
      <c r="H291" s="14"/>
      <c r="K291" s="9"/>
      <c r="L291" s="9">
        <f t="shared" ref="L291:L295" si="38">ROUND(IF(K291&gt;G291,K291-G291,0),0)</f>
        <v>0</v>
      </c>
      <c r="M291" s="9">
        <f t="shared" ref="M291:M295" si="39">ROUND(IF(K291&lt;G291,G291-K291,0),0)</f>
        <v>0</v>
      </c>
      <c r="O291" s="11" t="s">
        <v>335</v>
      </c>
    </row>
    <row r="292" spans="2:15" ht="60" outlineLevel="1" x14ac:dyDescent="0.25">
      <c r="B292" s="6">
        <v>338</v>
      </c>
      <c r="C292" s="7" t="s">
        <v>170</v>
      </c>
      <c r="D292" s="6">
        <v>1</v>
      </c>
      <c r="E292" s="8" t="s">
        <v>19</v>
      </c>
      <c r="F292" s="19">
        <v>124000</v>
      </c>
      <c r="G292" s="9">
        <f t="shared" si="34"/>
        <v>124000</v>
      </c>
      <c r="H292" s="14">
        <f>D292</f>
        <v>1</v>
      </c>
      <c r="I292" s="10" t="s">
        <v>19</v>
      </c>
      <c r="J292" s="9">
        <f>F292</f>
        <v>124000</v>
      </c>
      <c r="K292" s="9">
        <f t="shared" si="35"/>
        <v>124000</v>
      </c>
      <c r="L292" s="9">
        <f t="shared" si="38"/>
        <v>0</v>
      </c>
      <c r="M292" s="9">
        <f t="shared" si="39"/>
        <v>0</v>
      </c>
      <c r="N292" s="71" t="s">
        <v>386</v>
      </c>
      <c r="O292" s="11" t="s">
        <v>335</v>
      </c>
    </row>
    <row r="293" spans="2:15" outlineLevel="1" x14ac:dyDescent="0.25">
      <c r="G293" s="9"/>
      <c r="H293" s="14"/>
      <c r="K293" s="9"/>
      <c r="L293" s="9">
        <f t="shared" si="38"/>
        <v>0</v>
      </c>
      <c r="M293" s="9">
        <f t="shared" si="39"/>
        <v>0</v>
      </c>
      <c r="O293" s="11" t="s">
        <v>335</v>
      </c>
    </row>
    <row r="294" spans="2:15" ht="45" outlineLevel="1" x14ac:dyDescent="0.25">
      <c r="B294" s="6">
        <v>340</v>
      </c>
      <c r="C294" s="7" t="s">
        <v>171</v>
      </c>
      <c r="D294" s="6">
        <v>1</v>
      </c>
      <c r="E294" s="8" t="s">
        <v>19</v>
      </c>
      <c r="F294" s="19">
        <v>182000</v>
      </c>
      <c r="G294" s="9">
        <f t="shared" si="34"/>
        <v>182000</v>
      </c>
      <c r="H294" s="14">
        <f>D294</f>
        <v>1</v>
      </c>
      <c r="I294" s="10" t="s">
        <v>19</v>
      </c>
      <c r="J294" s="9">
        <f>F294</f>
        <v>182000</v>
      </c>
      <c r="K294" s="9">
        <f t="shared" si="35"/>
        <v>182000</v>
      </c>
      <c r="L294" s="9">
        <f t="shared" si="38"/>
        <v>0</v>
      </c>
      <c r="M294" s="9">
        <f t="shared" si="39"/>
        <v>0</v>
      </c>
      <c r="N294" s="71" t="s">
        <v>386</v>
      </c>
      <c r="O294" s="11" t="s">
        <v>335</v>
      </c>
    </row>
    <row r="295" spans="2:15" outlineLevel="1" x14ac:dyDescent="0.25">
      <c r="G295" s="9"/>
      <c r="H295" s="14"/>
      <c r="K295" s="9"/>
      <c r="L295" s="9">
        <f t="shared" si="38"/>
        <v>0</v>
      </c>
      <c r="M295" s="9">
        <f t="shared" si="39"/>
        <v>0</v>
      </c>
    </row>
    <row r="296" spans="2:15" ht="19.95" customHeight="1" x14ac:dyDescent="0.25">
      <c r="G296" s="23">
        <f>ROUND(SUM(G290:G295),0)</f>
        <v>689000</v>
      </c>
      <c r="H296" s="14"/>
      <c r="J296" s="22" t="s">
        <v>44</v>
      </c>
      <c r="K296" s="23">
        <f>ROUND(SUM(K290:K295),0)</f>
        <v>689000</v>
      </c>
      <c r="L296" s="23">
        <f t="shared" ref="L296:M296" si="40">SUM(L290:L295)</f>
        <v>0</v>
      </c>
      <c r="M296" s="23">
        <f t="shared" si="40"/>
        <v>0</v>
      </c>
    </row>
    <row r="297" spans="2:15" ht="19.95" customHeight="1" x14ac:dyDescent="0.25">
      <c r="C297" s="12" t="s">
        <v>49</v>
      </c>
      <c r="H297" s="14"/>
      <c r="J297" s="21"/>
      <c r="K297" s="25"/>
      <c r="L297" s="25"/>
      <c r="M297" s="25"/>
    </row>
    <row r="298" spans="2:15" ht="45" outlineLevel="1" x14ac:dyDescent="0.25">
      <c r="B298" s="6">
        <v>341</v>
      </c>
      <c r="C298" s="7" t="s">
        <v>172</v>
      </c>
      <c r="D298" s="6">
        <v>1</v>
      </c>
      <c r="E298" s="8" t="s">
        <v>19</v>
      </c>
      <c r="F298" s="19">
        <v>138000</v>
      </c>
      <c r="G298" s="9">
        <f t="shared" ref="G298:G308" si="41">ROUND(D298*F298,0)</f>
        <v>138000</v>
      </c>
      <c r="H298" s="14">
        <v>1</v>
      </c>
      <c r="I298" s="10" t="s">
        <v>19</v>
      </c>
      <c r="J298" s="9">
        <f>F298</f>
        <v>138000</v>
      </c>
      <c r="K298" s="9">
        <f t="shared" ref="K298:K308" si="42">ROUND(H298*J298,0)</f>
        <v>138000</v>
      </c>
      <c r="L298" s="9">
        <f t="shared" ref="L298" si="43">ROUND(IF(K298&gt;G298,K298-G298,0),0)</f>
        <v>0</v>
      </c>
      <c r="M298" s="9">
        <f t="shared" ref="M298" si="44">ROUND(IF(K298&lt;G298,G298-K298,0),0)</f>
        <v>0</v>
      </c>
      <c r="N298" s="71" t="s">
        <v>386</v>
      </c>
      <c r="O298" s="11" t="s">
        <v>336</v>
      </c>
    </row>
    <row r="299" spans="2:15" outlineLevel="1" x14ac:dyDescent="0.25">
      <c r="G299" s="9"/>
      <c r="H299" s="14"/>
      <c r="K299" s="9"/>
      <c r="L299" s="9">
        <f t="shared" ref="L299:L308" si="45">ROUND(IF(K299&gt;G299,K299-G299,0),0)</f>
        <v>0</v>
      </c>
      <c r="M299" s="9">
        <f t="shared" ref="M299:M308" si="46">ROUND(IF(K299&lt;G299,G299-K299,0),0)</f>
        <v>0</v>
      </c>
      <c r="O299" s="11" t="s">
        <v>336</v>
      </c>
    </row>
    <row r="300" spans="2:15" ht="75" outlineLevel="1" x14ac:dyDescent="0.25">
      <c r="B300" s="6">
        <v>339</v>
      </c>
      <c r="C300" s="7" t="s">
        <v>173</v>
      </c>
      <c r="D300" s="6">
        <v>1</v>
      </c>
      <c r="E300" s="8" t="s">
        <v>19</v>
      </c>
      <c r="F300" s="19">
        <v>510000</v>
      </c>
      <c r="G300" s="9">
        <f t="shared" si="41"/>
        <v>510000</v>
      </c>
      <c r="H300" s="14">
        <v>1</v>
      </c>
      <c r="I300" s="10" t="s">
        <v>19</v>
      </c>
      <c r="J300" s="9">
        <f>F300</f>
        <v>510000</v>
      </c>
      <c r="K300" s="9">
        <f t="shared" si="42"/>
        <v>510000</v>
      </c>
      <c r="L300" s="9">
        <f t="shared" si="45"/>
        <v>0</v>
      </c>
      <c r="M300" s="9">
        <f t="shared" si="46"/>
        <v>0</v>
      </c>
      <c r="N300" s="71" t="s">
        <v>386</v>
      </c>
      <c r="O300" s="11" t="s">
        <v>336</v>
      </c>
    </row>
    <row r="301" spans="2:15" outlineLevel="1" x14ac:dyDescent="0.25">
      <c r="B301" s="6"/>
      <c r="C301" s="7"/>
      <c r="D301" s="6"/>
      <c r="E301" s="8"/>
      <c r="F301" s="19"/>
      <c r="G301" s="9"/>
      <c r="H301" s="14"/>
      <c r="J301" s="9"/>
      <c r="K301" s="9"/>
      <c r="L301" s="9">
        <f t="shared" si="45"/>
        <v>0</v>
      </c>
      <c r="M301" s="9">
        <f t="shared" si="46"/>
        <v>0</v>
      </c>
      <c r="O301" s="11" t="s">
        <v>336</v>
      </c>
    </row>
    <row r="302" spans="2:15" ht="45" outlineLevel="1" x14ac:dyDescent="0.25">
      <c r="B302" s="6">
        <v>342</v>
      </c>
      <c r="C302" s="7" t="s">
        <v>174</v>
      </c>
      <c r="D302" s="6">
        <v>5</v>
      </c>
      <c r="E302" s="8" t="s">
        <v>11</v>
      </c>
      <c r="F302" s="19">
        <v>11225</v>
      </c>
      <c r="G302" s="9">
        <f t="shared" si="41"/>
        <v>56125</v>
      </c>
      <c r="H302" s="14">
        <v>5</v>
      </c>
      <c r="I302" s="10" t="s">
        <v>11</v>
      </c>
      <c r="J302" s="9">
        <f>F302</f>
        <v>11225</v>
      </c>
      <c r="K302" s="9">
        <f t="shared" si="42"/>
        <v>56125</v>
      </c>
      <c r="L302" s="9">
        <f t="shared" si="45"/>
        <v>0</v>
      </c>
      <c r="M302" s="9">
        <f t="shared" si="46"/>
        <v>0</v>
      </c>
      <c r="N302" s="71" t="s">
        <v>386</v>
      </c>
      <c r="O302" s="11" t="s">
        <v>336</v>
      </c>
    </row>
    <row r="303" spans="2:15" outlineLevel="1" x14ac:dyDescent="0.25">
      <c r="G303" s="9"/>
      <c r="H303" s="14"/>
      <c r="K303" s="9"/>
      <c r="L303" s="9">
        <f t="shared" si="45"/>
        <v>0</v>
      </c>
      <c r="M303" s="9">
        <f t="shared" si="46"/>
        <v>0</v>
      </c>
      <c r="O303" s="11" t="s">
        <v>336</v>
      </c>
    </row>
    <row r="304" spans="2:15" ht="45" outlineLevel="1" x14ac:dyDescent="0.25">
      <c r="B304" s="6">
        <v>343</v>
      </c>
      <c r="C304" s="7" t="s">
        <v>175</v>
      </c>
      <c r="D304" s="6">
        <v>5</v>
      </c>
      <c r="E304" s="8" t="s">
        <v>11</v>
      </c>
      <c r="F304" s="19">
        <v>7686</v>
      </c>
      <c r="G304" s="9">
        <f t="shared" si="41"/>
        <v>38430</v>
      </c>
      <c r="H304" s="14">
        <v>5</v>
      </c>
      <c r="I304" s="10" t="s">
        <v>11</v>
      </c>
      <c r="J304" s="9">
        <f>F304</f>
        <v>7686</v>
      </c>
      <c r="K304" s="9">
        <f t="shared" si="42"/>
        <v>38430</v>
      </c>
      <c r="L304" s="9">
        <f t="shared" si="45"/>
        <v>0</v>
      </c>
      <c r="M304" s="9">
        <f t="shared" si="46"/>
        <v>0</v>
      </c>
      <c r="N304" s="71" t="s">
        <v>386</v>
      </c>
      <c r="O304" s="11" t="s">
        <v>336</v>
      </c>
    </row>
    <row r="305" spans="2:15" outlineLevel="1" x14ac:dyDescent="0.25">
      <c r="G305" s="9"/>
      <c r="H305" s="14"/>
      <c r="K305" s="9"/>
      <c r="L305" s="9">
        <f t="shared" si="45"/>
        <v>0</v>
      </c>
      <c r="M305" s="9">
        <f t="shared" si="46"/>
        <v>0</v>
      </c>
      <c r="O305" s="11" t="s">
        <v>336</v>
      </c>
    </row>
    <row r="306" spans="2:15" ht="45" outlineLevel="1" x14ac:dyDescent="0.25">
      <c r="B306" s="6">
        <v>344</v>
      </c>
      <c r="C306" s="7" t="s">
        <v>176</v>
      </c>
      <c r="D306" s="6">
        <v>5</v>
      </c>
      <c r="E306" s="8" t="s">
        <v>11</v>
      </c>
      <c r="F306" s="19">
        <v>15065</v>
      </c>
      <c r="G306" s="9">
        <f t="shared" si="41"/>
        <v>75325</v>
      </c>
      <c r="H306" s="14">
        <v>5</v>
      </c>
      <c r="I306" s="10" t="s">
        <v>11</v>
      </c>
      <c r="J306" s="9">
        <f>F306</f>
        <v>15065</v>
      </c>
      <c r="K306" s="9">
        <f t="shared" si="42"/>
        <v>75325</v>
      </c>
      <c r="L306" s="9">
        <f t="shared" si="45"/>
        <v>0</v>
      </c>
      <c r="M306" s="9">
        <f t="shared" si="46"/>
        <v>0</v>
      </c>
      <c r="N306" s="71" t="s">
        <v>386</v>
      </c>
      <c r="O306" s="11" t="s">
        <v>336</v>
      </c>
    </row>
    <row r="307" spans="2:15" outlineLevel="1" x14ac:dyDescent="0.25">
      <c r="G307" s="9"/>
      <c r="H307" s="14"/>
      <c r="K307" s="9"/>
      <c r="L307" s="9">
        <f t="shared" si="45"/>
        <v>0</v>
      </c>
      <c r="M307" s="9">
        <f t="shared" si="46"/>
        <v>0</v>
      </c>
      <c r="O307" s="11" t="s">
        <v>336</v>
      </c>
    </row>
    <row r="308" spans="2:15" ht="45" outlineLevel="1" x14ac:dyDescent="0.25">
      <c r="B308" s="6">
        <v>345</v>
      </c>
      <c r="C308" s="7" t="s">
        <v>177</v>
      </c>
      <c r="D308" s="6">
        <v>1</v>
      </c>
      <c r="E308" s="8" t="s">
        <v>19</v>
      </c>
      <c r="F308" s="19">
        <v>56000</v>
      </c>
      <c r="G308" s="9">
        <f t="shared" si="41"/>
        <v>56000</v>
      </c>
      <c r="H308" s="14">
        <v>1</v>
      </c>
      <c r="I308" s="10" t="s">
        <v>19</v>
      </c>
      <c r="J308" s="9">
        <f>F308</f>
        <v>56000</v>
      </c>
      <c r="K308" s="9">
        <f t="shared" si="42"/>
        <v>56000</v>
      </c>
      <c r="L308" s="9">
        <f t="shared" si="45"/>
        <v>0</v>
      </c>
      <c r="M308" s="9">
        <f t="shared" si="46"/>
        <v>0</v>
      </c>
      <c r="N308" s="71" t="s">
        <v>386</v>
      </c>
      <c r="O308" s="11" t="s">
        <v>336</v>
      </c>
    </row>
    <row r="309" spans="2:15" outlineLevel="1" x14ac:dyDescent="0.25">
      <c r="G309" s="9"/>
      <c r="H309" s="14"/>
      <c r="K309" s="9"/>
      <c r="L309" s="9"/>
      <c r="M309" s="9"/>
      <c r="O309" s="11" t="s">
        <v>336</v>
      </c>
    </row>
    <row r="310" spans="2:15" ht="19.95" customHeight="1" x14ac:dyDescent="0.25">
      <c r="G310" s="23">
        <f>ROUND(SUM(G298:G309),0)</f>
        <v>873880</v>
      </c>
      <c r="H310" s="14"/>
      <c r="J310" s="22" t="s">
        <v>44</v>
      </c>
      <c r="K310" s="23">
        <f>ROUND(SUM(K298:K309),0)</f>
        <v>873880</v>
      </c>
      <c r="L310" s="23">
        <f t="shared" ref="L310:M310" si="47">SUM(L298:L309)</f>
        <v>0</v>
      </c>
      <c r="M310" s="23">
        <f t="shared" si="47"/>
        <v>0</v>
      </c>
    </row>
    <row r="311" spans="2:15" ht="19.95" customHeight="1" x14ac:dyDescent="0.25">
      <c r="C311" s="12" t="s">
        <v>50</v>
      </c>
      <c r="H311" s="14"/>
      <c r="L311" s="9"/>
      <c r="M311" s="9"/>
    </row>
    <row r="312" spans="2:15" ht="174.45" customHeight="1" outlineLevel="1" x14ac:dyDescent="0.25">
      <c r="B312" s="6">
        <v>346</v>
      </c>
      <c r="C312" s="7" t="s">
        <v>178</v>
      </c>
      <c r="D312" s="6">
        <v>1</v>
      </c>
      <c r="E312" s="8" t="s">
        <v>11</v>
      </c>
      <c r="F312" s="19">
        <v>48000</v>
      </c>
      <c r="G312" s="9">
        <f t="shared" ref="G312:G374" si="48">ROUND(D312*F312,0)</f>
        <v>48000</v>
      </c>
      <c r="H312" s="14">
        <f>D312</f>
        <v>1</v>
      </c>
      <c r="I312" s="10" t="s">
        <v>11</v>
      </c>
      <c r="J312" s="9">
        <f>F312</f>
        <v>48000</v>
      </c>
      <c r="K312" s="9">
        <f t="shared" ref="K312:K374" si="49">ROUND(H312*J312,0)</f>
        <v>48000</v>
      </c>
      <c r="L312" s="9">
        <f t="shared" ref="L312" si="50">ROUND(IF(K312&gt;G312,K312-G312,0),0)</f>
        <v>0</v>
      </c>
      <c r="M312" s="9">
        <f t="shared" ref="M312" si="51">ROUND(IF(K312&lt;G312,G312-K312,0),0)</f>
        <v>0</v>
      </c>
      <c r="N312" s="168" t="s">
        <v>396</v>
      </c>
      <c r="O312" s="11" t="s">
        <v>337</v>
      </c>
    </row>
    <row r="313" spans="2:15" ht="15.6" outlineLevel="1" x14ac:dyDescent="0.25">
      <c r="C313" s="24" t="s">
        <v>41</v>
      </c>
      <c r="G313" s="9"/>
      <c r="H313" s="14">
        <v>2</v>
      </c>
      <c r="I313" s="10" t="s">
        <v>11</v>
      </c>
      <c r="J313" s="9">
        <f>F312</f>
        <v>48000</v>
      </c>
      <c r="K313" s="9">
        <f t="shared" si="49"/>
        <v>96000</v>
      </c>
      <c r="L313" s="9">
        <f t="shared" ref="L313:L376" si="52">ROUND(IF(K313&gt;G313,K313-G313,0),0)</f>
        <v>96000</v>
      </c>
      <c r="M313" s="9">
        <f t="shared" ref="M313:M376" si="53">ROUND(IF(K313&lt;G313,G313-K313,0),0)</f>
        <v>0</v>
      </c>
      <c r="N313" s="169"/>
      <c r="O313" s="11" t="s">
        <v>337</v>
      </c>
    </row>
    <row r="314" spans="2:15" ht="174" customHeight="1" outlineLevel="1" x14ac:dyDescent="0.25">
      <c r="B314" s="34">
        <v>347</v>
      </c>
      <c r="C314" s="7" t="s">
        <v>43</v>
      </c>
      <c r="D314" s="6">
        <v>1</v>
      </c>
      <c r="E314" s="8" t="s">
        <v>11</v>
      </c>
      <c r="F314" s="19">
        <v>40000</v>
      </c>
      <c r="G314" s="9">
        <f t="shared" si="48"/>
        <v>40000</v>
      </c>
      <c r="H314" s="14">
        <v>0</v>
      </c>
      <c r="I314" s="10" t="s">
        <v>11</v>
      </c>
      <c r="J314" s="9">
        <f>F314</f>
        <v>40000</v>
      </c>
      <c r="K314" s="9"/>
      <c r="L314" s="9">
        <f t="shared" si="52"/>
        <v>0</v>
      </c>
      <c r="M314" s="9">
        <f t="shared" si="53"/>
        <v>40000</v>
      </c>
      <c r="N314" s="15" t="s">
        <v>397</v>
      </c>
      <c r="O314" s="11" t="s">
        <v>337</v>
      </c>
    </row>
    <row r="315" spans="2:15" outlineLevel="1" x14ac:dyDescent="0.25">
      <c r="G315" s="9"/>
      <c r="H315" s="14"/>
      <c r="K315" s="9"/>
      <c r="L315" s="9">
        <f t="shared" si="52"/>
        <v>0</v>
      </c>
      <c r="M315" s="9">
        <f t="shared" si="53"/>
        <v>0</v>
      </c>
      <c r="O315" s="11" t="s">
        <v>337</v>
      </c>
    </row>
    <row r="316" spans="2:15" ht="345" customHeight="1" outlineLevel="1" x14ac:dyDescent="0.25">
      <c r="B316" s="34">
        <v>348</v>
      </c>
      <c r="C316" s="7" t="s">
        <v>27</v>
      </c>
      <c r="D316" s="6">
        <v>1</v>
      </c>
      <c r="E316" s="8" t="s">
        <v>11</v>
      </c>
      <c r="F316" s="19">
        <v>590000</v>
      </c>
      <c r="G316" s="9">
        <f t="shared" si="48"/>
        <v>590000</v>
      </c>
      <c r="H316" s="33">
        <v>0</v>
      </c>
      <c r="I316" s="10" t="s">
        <v>11</v>
      </c>
      <c r="J316" s="9">
        <f>F316</f>
        <v>590000</v>
      </c>
      <c r="K316" s="9"/>
      <c r="L316" s="9">
        <f t="shared" si="52"/>
        <v>0</v>
      </c>
      <c r="M316" s="9">
        <f t="shared" si="53"/>
        <v>590000</v>
      </c>
      <c r="N316" s="15" t="s">
        <v>398</v>
      </c>
      <c r="O316" s="11" t="s">
        <v>337</v>
      </c>
    </row>
    <row r="317" spans="2:15" outlineLevel="1" x14ac:dyDescent="0.25">
      <c r="G317" s="9"/>
      <c r="H317" s="14"/>
      <c r="K317" s="9"/>
      <c r="L317" s="9">
        <f t="shared" si="52"/>
        <v>0</v>
      </c>
      <c r="M317" s="9">
        <f t="shared" si="53"/>
        <v>0</v>
      </c>
      <c r="O317" s="11" t="s">
        <v>337</v>
      </c>
    </row>
    <row r="318" spans="2:15" ht="159.44999999999999" customHeight="1" outlineLevel="1" x14ac:dyDescent="0.25">
      <c r="B318" s="6">
        <v>349</v>
      </c>
      <c r="C318" s="7" t="s">
        <v>179</v>
      </c>
      <c r="D318" s="6">
        <v>6</v>
      </c>
      <c r="E318" s="8" t="s">
        <v>11</v>
      </c>
      <c r="F318" s="19">
        <v>42000</v>
      </c>
      <c r="G318" s="9">
        <f t="shared" si="48"/>
        <v>252000</v>
      </c>
      <c r="H318" s="14">
        <f>D318</f>
        <v>6</v>
      </c>
      <c r="I318" s="10" t="s">
        <v>11</v>
      </c>
      <c r="J318" s="9">
        <f>F318</f>
        <v>42000</v>
      </c>
      <c r="K318" s="9">
        <f t="shared" si="49"/>
        <v>252000</v>
      </c>
      <c r="L318" s="9">
        <f t="shared" si="52"/>
        <v>0</v>
      </c>
      <c r="M318" s="9">
        <f t="shared" si="53"/>
        <v>0</v>
      </c>
      <c r="N318" s="71" t="s">
        <v>386</v>
      </c>
      <c r="O318" s="11" t="s">
        <v>337</v>
      </c>
    </row>
    <row r="319" spans="2:15" outlineLevel="1" x14ac:dyDescent="0.25">
      <c r="G319" s="9"/>
      <c r="H319" s="14"/>
      <c r="K319" s="9"/>
      <c r="L319" s="9">
        <f t="shared" si="52"/>
        <v>0</v>
      </c>
      <c r="M319" s="9">
        <f t="shared" si="53"/>
        <v>0</v>
      </c>
      <c r="O319" s="11" t="s">
        <v>337</v>
      </c>
    </row>
    <row r="320" spans="2:15" ht="228" customHeight="1" outlineLevel="1" x14ac:dyDescent="0.25">
      <c r="B320" s="34">
        <v>350</v>
      </c>
      <c r="C320" s="7" t="s">
        <v>180</v>
      </c>
      <c r="D320" s="6">
        <v>1</v>
      </c>
      <c r="E320" s="8" t="s">
        <v>11</v>
      </c>
      <c r="F320" s="19">
        <v>182000</v>
      </c>
      <c r="G320" s="9">
        <f t="shared" si="48"/>
        <v>182000</v>
      </c>
      <c r="H320" s="33">
        <v>0</v>
      </c>
      <c r="I320" s="10" t="s">
        <v>11</v>
      </c>
      <c r="J320" s="9">
        <f>F320</f>
        <v>182000</v>
      </c>
      <c r="K320" s="9"/>
      <c r="L320" s="9">
        <f t="shared" si="52"/>
        <v>0</v>
      </c>
      <c r="M320" s="9">
        <f t="shared" si="53"/>
        <v>182000</v>
      </c>
      <c r="N320" s="15" t="s">
        <v>399</v>
      </c>
      <c r="O320" s="11" t="s">
        <v>337</v>
      </c>
    </row>
    <row r="321" spans="2:15" ht="15.6" outlineLevel="1" x14ac:dyDescent="0.25">
      <c r="C321" s="24"/>
      <c r="G321" s="9"/>
      <c r="H321" s="33"/>
      <c r="J321" s="9"/>
      <c r="K321" s="9"/>
      <c r="L321" s="9">
        <f t="shared" si="52"/>
        <v>0</v>
      </c>
      <c r="M321" s="9">
        <f t="shared" si="53"/>
        <v>0</v>
      </c>
      <c r="O321" s="11" t="s">
        <v>337</v>
      </c>
    </row>
    <row r="322" spans="2:15" ht="180" outlineLevel="1" x14ac:dyDescent="0.25">
      <c r="B322" s="6">
        <v>351</v>
      </c>
      <c r="C322" s="7" t="s">
        <v>181</v>
      </c>
      <c r="D322" s="6">
        <v>1</v>
      </c>
      <c r="E322" s="8" t="s">
        <v>11</v>
      </c>
      <c r="F322" s="19">
        <v>205000</v>
      </c>
      <c r="G322" s="9">
        <f t="shared" si="48"/>
        <v>205000</v>
      </c>
      <c r="H322" s="14">
        <f>D322</f>
        <v>1</v>
      </c>
      <c r="I322" s="10" t="s">
        <v>11</v>
      </c>
      <c r="J322" s="9">
        <f>F322</f>
        <v>205000</v>
      </c>
      <c r="K322" s="9">
        <f t="shared" si="49"/>
        <v>205000</v>
      </c>
      <c r="L322" s="9">
        <f t="shared" si="52"/>
        <v>0</v>
      </c>
      <c r="M322" s="9">
        <f t="shared" si="53"/>
        <v>0</v>
      </c>
      <c r="N322" s="71" t="s">
        <v>386</v>
      </c>
      <c r="O322" s="11" t="s">
        <v>337</v>
      </c>
    </row>
    <row r="323" spans="2:15" outlineLevel="1" x14ac:dyDescent="0.25">
      <c r="G323" s="9"/>
      <c r="H323" s="14"/>
      <c r="K323" s="9"/>
      <c r="L323" s="9">
        <f t="shared" si="52"/>
        <v>0</v>
      </c>
      <c r="M323" s="9">
        <f t="shared" si="53"/>
        <v>0</v>
      </c>
      <c r="O323" s="11" t="s">
        <v>337</v>
      </c>
    </row>
    <row r="324" spans="2:15" ht="165.6" outlineLevel="1" x14ac:dyDescent="0.25">
      <c r="B324" s="6">
        <v>352</v>
      </c>
      <c r="C324" s="15" t="s">
        <v>182</v>
      </c>
      <c r="D324" s="6">
        <v>20</v>
      </c>
      <c r="E324" s="8" t="s">
        <v>16</v>
      </c>
      <c r="F324" s="19">
        <v>1020</v>
      </c>
      <c r="G324" s="9">
        <f t="shared" si="48"/>
        <v>20400</v>
      </c>
      <c r="H324" s="32">
        <v>16</v>
      </c>
      <c r="I324" s="10" t="s">
        <v>16</v>
      </c>
      <c r="J324" s="9">
        <f>F324</f>
        <v>1020</v>
      </c>
      <c r="K324" s="9">
        <f t="shared" si="49"/>
        <v>16320</v>
      </c>
      <c r="L324" s="9">
        <f t="shared" si="52"/>
        <v>0</v>
      </c>
      <c r="M324" s="9">
        <f t="shared" si="53"/>
        <v>4080</v>
      </c>
      <c r="N324" s="71" t="s">
        <v>390</v>
      </c>
      <c r="O324" s="11" t="s">
        <v>337</v>
      </c>
    </row>
    <row r="325" spans="2:15" outlineLevel="1" x14ac:dyDescent="0.25">
      <c r="G325" s="9"/>
      <c r="H325" s="14"/>
      <c r="K325" s="9"/>
      <c r="L325" s="9">
        <f t="shared" si="52"/>
        <v>0</v>
      </c>
      <c r="M325" s="9">
        <f t="shared" si="53"/>
        <v>0</v>
      </c>
      <c r="O325" s="11" t="s">
        <v>337</v>
      </c>
    </row>
    <row r="326" spans="2:15" ht="165.6" outlineLevel="1" x14ac:dyDescent="0.25">
      <c r="B326" s="6">
        <v>353</v>
      </c>
      <c r="C326" s="15" t="s">
        <v>183</v>
      </c>
      <c r="D326" s="6">
        <v>20</v>
      </c>
      <c r="E326" s="8" t="s">
        <v>16</v>
      </c>
      <c r="F326" s="19">
        <v>1190</v>
      </c>
      <c r="G326" s="9">
        <f t="shared" si="48"/>
        <v>23800</v>
      </c>
      <c r="H326" s="32">
        <v>16</v>
      </c>
      <c r="I326" s="10" t="s">
        <v>16</v>
      </c>
      <c r="J326" s="9">
        <f>F326</f>
        <v>1190</v>
      </c>
      <c r="K326" s="9">
        <f t="shared" si="49"/>
        <v>19040</v>
      </c>
      <c r="L326" s="9">
        <f t="shared" si="52"/>
        <v>0</v>
      </c>
      <c r="M326" s="9">
        <f t="shared" si="53"/>
        <v>4760</v>
      </c>
      <c r="N326" s="71" t="s">
        <v>390</v>
      </c>
      <c r="O326" s="11" t="s">
        <v>337</v>
      </c>
    </row>
    <row r="327" spans="2:15" outlineLevel="1" x14ac:dyDescent="0.25">
      <c r="G327" s="9"/>
      <c r="H327" s="14"/>
      <c r="K327" s="9"/>
      <c r="L327" s="9">
        <f t="shared" si="52"/>
        <v>0</v>
      </c>
      <c r="M327" s="9">
        <f t="shared" si="53"/>
        <v>0</v>
      </c>
      <c r="O327" s="11" t="s">
        <v>337</v>
      </c>
    </row>
    <row r="328" spans="2:15" ht="64.5" customHeight="1" outlineLevel="1" x14ac:dyDescent="0.25">
      <c r="B328" s="34">
        <v>354</v>
      </c>
      <c r="C328" s="15" t="s">
        <v>184</v>
      </c>
      <c r="D328" s="6">
        <v>50</v>
      </c>
      <c r="E328" s="8" t="s">
        <v>16</v>
      </c>
      <c r="F328" s="19">
        <v>670</v>
      </c>
      <c r="G328" s="9">
        <f t="shared" si="48"/>
        <v>33500</v>
      </c>
      <c r="H328" s="14">
        <v>0</v>
      </c>
      <c r="I328" s="10" t="s">
        <v>16</v>
      </c>
      <c r="J328" s="9">
        <f>F328</f>
        <v>670</v>
      </c>
      <c r="K328" s="9"/>
      <c r="L328" s="9">
        <f t="shared" si="52"/>
        <v>0</v>
      </c>
      <c r="M328" s="9">
        <f t="shared" si="53"/>
        <v>33500</v>
      </c>
      <c r="N328" s="15" t="s">
        <v>400</v>
      </c>
      <c r="O328" s="11" t="s">
        <v>337</v>
      </c>
    </row>
    <row r="329" spans="2:15" outlineLevel="1" x14ac:dyDescent="0.25">
      <c r="G329" s="9"/>
      <c r="H329" s="14"/>
      <c r="K329" s="9"/>
      <c r="L329" s="9">
        <f t="shared" si="52"/>
        <v>0</v>
      </c>
      <c r="M329" s="9">
        <f t="shared" si="53"/>
        <v>0</v>
      </c>
      <c r="O329" s="11" t="s">
        <v>337</v>
      </c>
    </row>
    <row r="330" spans="2:15" ht="65.55" customHeight="1" outlineLevel="1" x14ac:dyDescent="0.25">
      <c r="B330" s="6">
        <v>355</v>
      </c>
      <c r="C330" s="15" t="s">
        <v>185</v>
      </c>
      <c r="D330" s="6">
        <v>50</v>
      </c>
      <c r="E330" s="8" t="s">
        <v>16</v>
      </c>
      <c r="F330" s="19">
        <v>515</v>
      </c>
      <c r="G330" s="9">
        <f t="shared" si="48"/>
        <v>25750</v>
      </c>
      <c r="H330" s="32">
        <v>9</v>
      </c>
      <c r="I330" s="10" t="s">
        <v>16</v>
      </c>
      <c r="J330" s="9">
        <f>F330</f>
        <v>515</v>
      </c>
      <c r="K330" s="9">
        <f t="shared" si="49"/>
        <v>4635</v>
      </c>
      <c r="L330" s="9">
        <f t="shared" si="52"/>
        <v>0</v>
      </c>
      <c r="M330" s="9">
        <f t="shared" si="53"/>
        <v>21115</v>
      </c>
      <c r="N330" s="71" t="s">
        <v>390</v>
      </c>
      <c r="O330" s="11" t="s">
        <v>337</v>
      </c>
    </row>
    <row r="331" spans="2:15" outlineLevel="1" x14ac:dyDescent="0.25">
      <c r="G331" s="9"/>
      <c r="H331" s="14"/>
      <c r="K331" s="9"/>
      <c r="L331" s="9">
        <f t="shared" si="52"/>
        <v>0</v>
      </c>
      <c r="M331" s="9">
        <f t="shared" si="53"/>
        <v>0</v>
      </c>
      <c r="O331" s="11" t="s">
        <v>337</v>
      </c>
    </row>
    <row r="332" spans="2:15" ht="160.5" customHeight="1" outlineLevel="1" x14ac:dyDescent="0.25">
      <c r="B332" s="6">
        <v>356</v>
      </c>
      <c r="C332" s="15" t="s">
        <v>186</v>
      </c>
      <c r="D332" s="6">
        <v>30</v>
      </c>
      <c r="E332" s="8" t="s">
        <v>14</v>
      </c>
      <c r="F332" s="19">
        <v>2600</v>
      </c>
      <c r="G332" s="9">
        <f t="shared" si="48"/>
        <v>78000</v>
      </c>
      <c r="H332" s="32">
        <v>24.98</v>
      </c>
      <c r="I332" s="10" t="s">
        <v>14</v>
      </c>
      <c r="J332" s="9">
        <f>F332</f>
        <v>2600</v>
      </c>
      <c r="K332" s="9">
        <f t="shared" si="49"/>
        <v>64948</v>
      </c>
      <c r="L332" s="9">
        <f t="shared" si="52"/>
        <v>0</v>
      </c>
      <c r="M332" s="9">
        <f t="shared" si="53"/>
        <v>13052</v>
      </c>
      <c r="N332" s="71" t="s">
        <v>390</v>
      </c>
      <c r="O332" s="11" t="s">
        <v>337</v>
      </c>
    </row>
    <row r="333" spans="2:15" outlineLevel="1" x14ac:dyDescent="0.25">
      <c r="G333" s="9"/>
      <c r="H333" s="14"/>
      <c r="K333" s="9"/>
      <c r="L333" s="9">
        <f t="shared" si="52"/>
        <v>0</v>
      </c>
      <c r="M333" s="9">
        <f t="shared" si="53"/>
        <v>0</v>
      </c>
      <c r="O333" s="11" t="s">
        <v>337</v>
      </c>
    </row>
    <row r="334" spans="2:15" ht="159.44999999999999" customHeight="1" outlineLevel="1" x14ac:dyDescent="0.25">
      <c r="B334" s="6">
        <v>357</v>
      </c>
      <c r="C334" s="15" t="s">
        <v>187</v>
      </c>
      <c r="D334" s="6">
        <v>250</v>
      </c>
      <c r="E334" s="8" t="s">
        <v>14</v>
      </c>
      <c r="F334" s="19">
        <v>2325</v>
      </c>
      <c r="G334" s="9">
        <f t="shared" si="48"/>
        <v>581250</v>
      </c>
      <c r="H334" s="32">
        <v>232.64</v>
      </c>
      <c r="I334" s="10" t="s">
        <v>14</v>
      </c>
      <c r="J334" s="9">
        <f>F334</f>
        <v>2325</v>
      </c>
      <c r="K334" s="9">
        <f t="shared" si="49"/>
        <v>540888</v>
      </c>
      <c r="L334" s="9">
        <f t="shared" si="52"/>
        <v>0</v>
      </c>
      <c r="M334" s="9">
        <f t="shared" si="53"/>
        <v>40362</v>
      </c>
      <c r="N334" s="71" t="s">
        <v>390</v>
      </c>
      <c r="O334" s="11" t="s">
        <v>337</v>
      </c>
    </row>
    <row r="335" spans="2:15" ht="15.6" outlineLevel="1" x14ac:dyDescent="0.25">
      <c r="C335" s="24"/>
      <c r="G335" s="9"/>
      <c r="H335" s="14"/>
      <c r="J335" s="9"/>
      <c r="K335" s="9"/>
      <c r="L335" s="9">
        <f t="shared" si="52"/>
        <v>0</v>
      </c>
      <c r="M335" s="9">
        <f t="shared" si="53"/>
        <v>0</v>
      </c>
      <c r="O335" s="11" t="s">
        <v>337</v>
      </c>
    </row>
    <row r="336" spans="2:15" ht="60" outlineLevel="1" x14ac:dyDescent="0.25">
      <c r="B336" s="34">
        <v>358</v>
      </c>
      <c r="C336" s="7" t="s">
        <v>188</v>
      </c>
      <c r="D336" s="6">
        <v>2</v>
      </c>
      <c r="E336" s="8" t="s">
        <v>14</v>
      </c>
      <c r="F336" s="19">
        <v>15800</v>
      </c>
      <c r="G336" s="9">
        <f t="shared" si="48"/>
        <v>31600</v>
      </c>
      <c r="H336" s="32">
        <v>0.8</v>
      </c>
      <c r="I336" s="10" t="s">
        <v>14</v>
      </c>
      <c r="J336" s="9">
        <f>F336</f>
        <v>15800</v>
      </c>
      <c r="K336" s="9">
        <f t="shared" si="49"/>
        <v>12640</v>
      </c>
      <c r="L336" s="9">
        <f t="shared" si="52"/>
        <v>0</v>
      </c>
      <c r="M336" s="9">
        <f t="shared" si="53"/>
        <v>18960</v>
      </c>
      <c r="N336" s="15" t="s">
        <v>390</v>
      </c>
      <c r="O336" s="11" t="s">
        <v>337</v>
      </c>
    </row>
    <row r="337" spans="2:15" outlineLevel="1" x14ac:dyDescent="0.25">
      <c r="G337" s="9"/>
      <c r="H337" s="14"/>
      <c r="K337" s="9"/>
      <c r="L337" s="9">
        <f t="shared" si="52"/>
        <v>0</v>
      </c>
      <c r="M337" s="9">
        <f t="shared" si="53"/>
        <v>0</v>
      </c>
      <c r="O337" s="11" t="s">
        <v>337</v>
      </c>
    </row>
    <row r="338" spans="2:15" ht="60" outlineLevel="1" x14ac:dyDescent="0.25">
      <c r="B338" s="34">
        <v>359</v>
      </c>
      <c r="C338" s="7" t="s">
        <v>189</v>
      </c>
      <c r="D338" s="6">
        <v>2</v>
      </c>
      <c r="E338" s="8" t="s">
        <v>14</v>
      </c>
      <c r="F338" s="19">
        <v>25900</v>
      </c>
      <c r="G338" s="9">
        <f t="shared" si="48"/>
        <v>51800</v>
      </c>
      <c r="H338" s="32">
        <v>0.8</v>
      </c>
      <c r="I338" s="10" t="s">
        <v>14</v>
      </c>
      <c r="J338" s="9">
        <f>F338</f>
        <v>25900</v>
      </c>
      <c r="K338" s="9">
        <f t="shared" si="49"/>
        <v>20720</v>
      </c>
      <c r="L338" s="9">
        <f t="shared" si="52"/>
        <v>0</v>
      </c>
      <c r="M338" s="9">
        <f t="shared" si="53"/>
        <v>31080</v>
      </c>
      <c r="N338" s="15" t="s">
        <v>390</v>
      </c>
      <c r="O338" s="11" t="s">
        <v>337</v>
      </c>
    </row>
    <row r="339" spans="2:15" outlineLevel="1" x14ac:dyDescent="0.25">
      <c r="G339" s="9"/>
      <c r="H339" s="14"/>
      <c r="K339" s="9"/>
      <c r="L339" s="9">
        <f t="shared" si="52"/>
        <v>0</v>
      </c>
      <c r="M339" s="9">
        <f t="shared" si="53"/>
        <v>0</v>
      </c>
      <c r="O339" s="11" t="s">
        <v>337</v>
      </c>
    </row>
    <row r="340" spans="2:15" ht="45" outlineLevel="1" x14ac:dyDescent="0.25">
      <c r="B340" s="34">
        <v>360</v>
      </c>
      <c r="C340" s="7" t="s">
        <v>190</v>
      </c>
      <c r="D340" s="6">
        <v>2</v>
      </c>
      <c r="E340" s="8" t="s">
        <v>14</v>
      </c>
      <c r="F340" s="19">
        <v>26300</v>
      </c>
      <c r="G340" s="9">
        <f t="shared" si="48"/>
        <v>52600</v>
      </c>
      <c r="H340" s="14">
        <f>D340</f>
        <v>2</v>
      </c>
      <c r="I340" s="10" t="s">
        <v>14</v>
      </c>
      <c r="J340" s="9">
        <f>F340</f>
        <v>26300</v>
      </c>
      <c r="K340" s="9">
        <f t="shared" si="49"/>
        <v>52600</v>
      </c>
      <c r="L340" s="9">
        <f t="shared" si="52"/>
        <v>0</v>
      </c>
      <c r="M340" s="9">
        <f t="shared" si="53"/>
        <v>0</v>
      </c>
      <c r="N340" s="71" t="s">
        <v>386</v>
      </c>
      <c r="O340" s="11" t="s">
        <v>337</v>
      </c>
    </row>
    <row r="341" spans="2:15" outlineLevel="1" x14ac:dyDescent="0.25">
      <c r="G341" s="9"/>
      <c r="H341" s="14"/>
      <c r="K341" s="9"/>
      <c r="L341" s="9">
        <f t="shared" si="52"/>
        <v>0</v>
      </c>
      <c r="M341" s="9">
        <f t="shared" si="53"/>
        <v>0</v>
      </c>
      <c r="O341" s="11" t="s">
        <v>337</v>
      </c>
    </row>
    <row r="342" spans="2:15" ht="45" outlineLevel="1" x14ac:dyDescent="0.25">
      <c r="B342" s="34">
        <v>361</v>
      </c>
      <c r="C342" s="7" t="s">
        <v>191</v>
      </c>
      <c r="D342" s="6">
        <v>1</v>
      </c>
      <c r="E342" s="8" t="s">
        <v>14</v>
      </c>
      <c r="F342" s="19">
        <v>8125</v>
      </c>
      <c r="G342" s="9">
        <f t="shared" si="48"/>
        <v>8125</v>
      </c>
      <c r="H342" s="14">
        <f>D342</f>
        <v>1</v>
      </c>
      <c r="I342" s="10" t="s">
        <v>14</v>
      </c>
      <c r="J342" s="9">
        <f>F342</f>
        <v>8125</v>
      </c>
      <c r="K342" s="9">
        <f t="shared" si="49"/>
        <v>8125</v>
      </c>
      <c r="L342" s="9">
        <f t="shared" si="52"/>
        <v>0</v>
      </c>
      <c r="M342" s="9">
        <f t="shared" si="53"/>
        <v>0</v>
      </c>
      <c r="N342" s="71" t="s">
        <v>386</v>
      </c>
      <c r="O342" s="11" t="s">
        <v>337</v>
      </c>
    </row>
    <row r="343" spans="2:15" outlineLevel="1" x14ac:dyDescent="0.25">
      <c r="G343" s="9"/>
      <c r="H343" s="14"/>
      <c r="K343" s="9"/>
      <c r="L343" s="9">
        <f t="shared" si="52"/>
        <v>0</v>
      </c>
      <c r="M343" s="9">
        <f t="shared" si="53"/>
        <v>0</v>
      </c>
      <c r="O343" s="11" t="s">
        <v>337</v>
      </c>
    </row>
    <row r="344" spans="2:15" ht="45" outlineLevel="1" x14ac:dyDescent="0.25">
      <c r="B344" s="34">
        <v>362</v>
      </c>
      <c r="C344" s="7" t="s">
        <v>192</v>
      </c>
      <c r="D344" s="6">
        <v>1</v>
      </c>
      <c r="E344" s="8" t="s">
        <v>14</v>
      </c>
      <c r="F344" s="19">
        <v>7550</v>
      </c>
      <c r="G344" s="9">
        <f t="shared" si="48"/>
        <v>7550</v>
      </c>
      <c r="H344" s="14">
        <f>D344</f>
        <v>1</v>
      </c>
      <c r="I344" s="10" t="s">
        <v>14</v>
      </c>
      <c r="J344" s="9">
        <f>F344</f>
        <v>7550</v>
      </c>
      <c r="K344" s="9">
        <f t="shared" si="49"/>
        <v>7550</v>
      </c>
      <c r="L344" s="9">
        <f t="shared" si="52"/>
        <v>0</v>
      </c>
      <c r="M344" s="9">
        <f t="shared" si="53"/>
        <v>0</v>
      </c>
      <c r="N344" s="71" t="s">
        <v>386</v>
      </c>
      <c r="O344" s="11" t="s">
        <v>337</v>
      </c>
    </row>
    <row r="345" spans="2:15" outlineLevel="1" x14ac:dyDescent="0.25">
      <c r="G345" s="9"/>
      <c r="H345" s="14"/>
      <c r="K345" s="9"/>
      <c r="L345" s="9">
        <f t="shared" si="52"/>
        <v>0</v>
      </c>
      <c r="M345" s="9">
        <f t="shared" si="53"/>
        <v>0</v>
      </c>
      <c r="O345" s="11" t="s">
        <v>337</v>
      </c>
    </row>
    <row r="346" spans="2:15" ht="45" outlineLevel="1" x14ac:dyDescent="0.25">
      <c r="B346" s="34">
        <v>363</v>
      </c>
      <c r="C346" s="7" t="s">
        <v>26</v>
      </c>
      <c r="D346" s="6">
        <v>2</v>
      </c>
      <c r="E346" s="8" t="s">
        <v>11</v>
      </c>
      <c r="F346" s="19">
        <v>10500</v>
      </c>
      <c r="G346" s="9">
        <f t="shared" si="48"/>
        <v>21000</v>
      </c>
      <c r="H346" s="32">
        <f>D346</f>
        <v>2</v>
      </c>
      <c r="I346" s="10" t="s">
        <v>11</v>
      </c>
      <c r="J346" s="9">
        <f>F346</f>
        <v>10500</v>
      </c>
      <c r="K346" s="9">
        <f t="shared" si="49"/>
        <v>21000</v>
      </c>
      <c r="L346" s="9">
        <f t="shared" si="52"/>
        <v>0</v>
      </c>
      <c r="M346" s="9">
        <f t="shared" si="53"/>
        <v>0</v>
      </c>
      <c r="N346" s="168" t="s">
        <v>401</v>
      </c>
      <c r="O346" s="11" t="s">
        <v>337</v>
      </c>
    </row>
    <row r="347" spans="2:15" ht="15.6" outlineLevel="1" x14ac:dyDescent="0.25">
      <c r="C347" s="24" t="s">
        <v>41</v>
      </c>
      <c r="G347" s="9"/>
      <c r="H347" s="32">
        <v>1</v>
      </c>
      <c r="I347" s="10" t="s">
        <v>11</v>
      </c>
      <c r="J347" s="9">
        <f>F346</f>
        <v>10500</v>
      </c>
      <c r="K347" s="9">
        <f t="shared" si="49"/>
        <v>10500</v>
      </c>
      <c r="L347" s="9">
        <f t="shared" si="52"/>
        <v>10500</v>
      </c>
      <c r="M347" s="9">
        <f t="shared" si="53"/>
        <v>0</v>
      </c>
      <c r="N347" s="169"/>
      <c r="O347" s="11" t="s">
        <v>337</v>
      </c>
    </row>
    <row r="348" spans="2:15" ht="60" outlineLevel="1" x14ac:dyDescent="0.25">
      <c r="B348" s="34">
        <v>364</v>
      </c>
      <c r="C348" s="7" t="s">
        <v>193</v>
      </c>
      <c r="D348" s="6">
        <v>2</v>
      </c>
      <c r="E348" s="8" t="s">
        <v>11</v>
      </c>
      <c r="F348" s="19">
        <v>12900</v>
      </c>
      <c r="G348" s="9">
        <f t="shared" si="48"/>
        <v>25800</v>
      </c>
      <c r="H348" s="32">
        <f>D348</f>
        <v>2</v>
      </c>
      <c r="I348" s="10" t="s">
        <v>11</v>
      </c>
      <c r="J348" s="9">
        <f>F348</f>
        <v>12900</v>
      </c>
      <c r="K348" s="9">
        <f t="shared" si="49"/>
        <v>25800</v>
      </c>
      <c r="L348" s="9">
        <f t="shared" si="52"/>
        <v>0</v>
      </c>
      <c r="M348" s="9">
        <f t="shared" si="53"/>
        <v>0</v>
      </c>
      <c r="N348" s="71" t="s">
        <v>386</v>
      </c>
      <c r="O348" s="11" t="s">
        <v>337</v>
      </c>
    </row>
    <row r="349" spans="2:15" outlineLevel="1" x14ac:dyDescent="0.25">
      <c r="G349" s="9"/>
      <c r="H349" s="14"/>
      <c r="K349" s="9"/>
      <c r="L349" s="9">
        <f t="shared" si="52"/>
        <v>0</v>
      </c>
      <c r="M349" s="9">
        <f t="shared" si="53"/>
        <v>0</v>
      </c>
      <c r="O349" s="11" t="s">
        <v>337</v>
      </c>
    </row>
    <row r="350" spans="2:15" ht="45" outlineLevel="1" x14ac:dyDescent="0.25">
      <c r="B350" s="34">
        <v>365</v>
      </c>
      <c r="C350" s="7" t="s">
        <v>194</v>
      </c>
      <c r="D350" s="6">
        <v>1</v>
      </c>
      <c r="E350" s="8" t="s">
        <v>14</v>
      </c>
      <c r="F350" s="19">
        <v>10300</v>
      </c>
      <c r="G350" s="9">
        <f t="shared" si="48"/>
        <v>10300</v>
      </c>
      <c r="H350" s="14">
        <f>D350</f>
        <v>1</v>
      </c>
      <c r="I350" s="10" t="s">
        <v>14</v>
      </c>
      <c r="J350" s="9">
        <f>F350</f>
        <v>10300</v>
      </c>
      <c r="K350" s="9">
        <f t="shared" si="49"/>
        <v>10300</v>
      </c>
      <c r="L350" s="9">
        <f t="shared" si="52"/>
        <v>0</v>
      </c>
      <c r="M350" s="9">
        <f t="shared" si="53"/>
        <v>0</v>
      </c>
      <c r="N350" s="71" t="s">
        <v>386</v>
      </c>
      <c r="O350" s="11" t="s">
        <v>337</v>
      </c>
    </row>
    <row r="351" spans="2:15" outlineLevel="1" x14ac:dyDescent="0.25">
      <c r="G351" s="9"/>
      <c r="H351" s="14"/>
      <c r="K351" s="9"/>
      <c r="L351" s="9">
        <f t="shared" si="52"/>
        <v>0</v>
      </c>
      <c r="M351" s="9">
        <f t="shared" si="53"/>
        <v>0</v>
      </c>
      <c r="O351" s="11" t="s">
        <v>337</v>
      </c>
    </row>
    <row r="352" spans="2:15" ht="60.6" outlineLevel="1" x14ac:dyDescent="0.25">
      <c r="B352" s="6">
        <v>366</v>
      </c>
      <c r="C352" s="15" t="s">
        <v>195</v>
      </c>
      <c r="D352" s="6">
        <v>130</v>
      </c>
      <c r="E352" s="8" t="s">
        <v>14</v>
      </c>
      <c r="F352" s="19">
        <v>1225</v>
      </c>
      <c r="G352" s="9">
        <f t="shared" si="48"/>
        <v>159250</v>
      </c>
      <c r="H352" s="32">
        <v>45.79</v>
      </c>
      <c r="I352" s="10" t="s">
        <v>14</v>
      </c>
      <c r="J352" s="9">
        <f>F352</f>
        <v>1225</v>
      </c>
      <c r="K352" s="9">
        <f t="shared" si="49"/>
        <v>56093</v>
      </c>
      <c r="L352" s="9">
        <f t="shared" si="52"/>
        <v>0</v>
      </c>
      <c r="M352" s="9">
        <f t="shared" si="53"/>
        <v>103157</v>
      </c>
      <c r="N352" s="15" t="s">
        <v>390</v>
      </c>
      <c r="O352" s="11" t="s">
        <v>337</v>
      </c>
    </row>
    <row r="353" spans="2:15" outlineLevel="1" x14ac:dyDescent="0.25">
      <c r="G353" s="9"/>
      <c r="H353" s="14"/>
      <c r="K353" s="9"/>
      <c r="L353" s="9">
        <f t="shared" si="52"/>
        <v>0</v>
      </c>
      <c r="M353" s="9">
        <f t="shared" si="53"/>
        <v>0</v>
      </c>
      <c r="O353" s="11" t="s">
        <v>337</v>
      </c>
    </row>
    <row r="354" spans="2:15" ht="60.6" outlineLevel="1" x14ac:dyDescent="0.25">
      <c r="B354" s="6">
        <v>367</v>
      </c>
      <c r="C354" s="15" t="s">
        <v>196</v>
      </c>
      <c r="D354" s="6">
        <v>130</v>
      </c>
      <c r="E354" s="8" t="s">
        <v>14</v>
      </c>
      <c r="F354" s="19">
        <v>1075</v>
      </c>
      <c r="G354" s="9">
        <f t="shared" si="48"/>
        <v>139750</v>
      </c>
      <c r="H354" s="32">
        <v>103.32</v>
      </c>
      <c r="I354" s="10" t="s">
        <v>14</v>
      </c>
      <c r="J354" s="9">
        <f>F354</f>
        <v>1075</v>
      </c>
      <c r="K354" s="9">
        <f t="shared" si="49"/>
        <v>111069</v>
      </c>
      <c r="L354" s="9">
        <f t="shared" si="52"/>
        <v>0</v>
      </c>
      <c r="M354" s="9">
        <f t="shared" si="53"/>
        <v>28681</v>
      </c>
      <c r="N354" s="15" t="s">
        <v>390</v>
      </c>
      <c r="O354" s="11" t="s">
        <v>337</v>
      </c>
    </row>
    <row r="355" spans="2:15" ht="15.6" outlineLevel="1" x14ac:dyDescent="0.25">
      <c r="C355" s="24"/>
      <c r="G355" s="9"/>
      <c r="H355" s="14"/>
      <c r="J355" s="9"/>
      <c r="K355" s="9"/>
      <c r="L355" s="9">
        <f t="shared" si="52"/>
        <v>0</v>
      </c>
      <c r="M355" s="9">
        <f t="shared" si="53"/>
        <v>0</v>
      </c>
      <c r="O355" s="11" t="s">
        <v>337</v>
      </c>
    </row>
    <row r="356" spans="2:15" ht="93.6" customHeight="1" outlineLevel="1" x14ac:dyDescent="0.25">
      <c r="B356" s="6">
        <v>368</v>
      </c>
      <c r="C356" s="15" t="s">
        <v>197</v>
      </c>
      <c r="D356" s="6">
        <v>40</v>
      </c>
      <c r="E356" s="8" t="s">
        <v>14</v>
      </c>
      <c r="F356" s="19">
        <v>785</v>
      </c>
      <c r="G356" s="9">
        <f t="shared" si="48"/>
        <v>31400</v>
      </c>
      <c r="H356" s="14">
        <f>D356</f>
        <v>40</v>
      </c>
      <c r="I356" s="10" t="s">
        <v>14</v>
      </c>
      <c r="J356" s="9">
        <f>F356</f>
        <v>785</v>
      </c>
      <c r="K356" s="9">
        <f t="shared" si="49"/>
        <v>31400</v>
      </c>
      <c r="L356" s="9">
        <f t="shared" si="52"/>
        <v>0</v>
      </c>
      <c r="M356" s="9">
        <f t="shared" si="53"/>
        <v>0</v>
      </c>
      <c r="N356" s="170" t="s">
        <v>402</v>
      </c>
      <c r="O356" s="11" t="s">
        <v>337</v>
      </c>
    </row>
    <row r="357" spans="2:15" ht="15.6" outlineLevel="1" x14ac:dyDescent="0.25">
      <c r="C357" s="24" t="s">
        <v>41</v>
      </c>
      <c r="G357" s="9"/>
      <c r="H357" s="14">
        <f>76.7-H356</f>
        <v>36.700000000000003</v>
      </c>
      <c r="I357" s="10" t="s">
        <v>14</v>
      </c>
      <c r="J357" s="9">
        <f>J356</f>
        <v>785</v>
      </c>
      <c r="K357" s="9">
        <f t="shared" si="49"/>
        <v>28810</v>
      </c>
      <c r="L357" s="9">
        <f t="shared" si="52"/>
        <v>28810</v>
      </c>
      <c r="M357" s="9">
        <f t="shared" si="53"/>
        <v>0</v>
      </c>
      <c r="N357" s="171"/>
      <c r="O357" s="11" t="s">
        <v>337</v>
      </c>
    </row>
    <row r="358" spans="2:15" ht="91.8" customHeight="1" outlineLevel="1" x14ac:dyDescent="0.25">
      <c r="B358" s="6">
        <v>369</v>
      </c>
      <c r="C358" s="15" t="s">
        <v>198</v>
      </c>
      <c r="D358" s="6">
        <v>40</v>
      </c>
      <c r="E358" s="8" t="s">
        <v>14</v>
      </c>
      <c r="F358" s="19">
        <v>660</v>
      </c>
      <c r="G358" s="9">
        <f t="shared" si="48"/>
        <v>26400</v>
      </c>
      <c r="H358" s="32">
        <v>40</v>
      </c>
      <c r="I358" s="10" t="s">
        <v>14</v>
      </c>
      <c r="J358" s="9">
        <f>F358</f>
        <v>660</v>
      </c>
      <c r="K358" s="9">
        <f t="shared" si="49"/>
        <v>26400</v>
      </c>
      <c r="L358" s="9">
        <f t="shared" si="52"/>
        <v>0</v>
      </c>
      <c r="M358" s="9">
        <f t="shared" si="53"/>
        <v>0</v>
      </c>
      <c r="N358" s="170" t="s">
        <v>402</v>
      </c>
      <c r="O358" s="11" t="s">
        <v>337</v>
      </c>
    </row>
    <row r="359" spans="2:15" ht="15.6" outlineLevel="1" x14ac:dyDescent="0.25">
      <c r="C359" s="24" t="s">
        <v>41</v>
      </c>
      <c r="G359" s="9"/>
      <c r="H359" s="14">
        <f>97.49-H358</f>
        <v>57.489999999999995</v>
      </c>
      <c r="I359" s="10" t="s">
        <v>14</v>
      </c>
      <c r="J359" s="9">
        <f>J358</f>
        <v>660</v>
      </c>
      <c r="K359" s="9">
        <f t="shared" si="49"/>
        <v>37943</v>
      </c>
      <c r="L359" s="9">
        <f t="shared" si="52"/>
        <v>37943</v>
      </c>
      <c r="M359" s="9">
        <f t="shared" si="53"/>
        <v>0</v>
      </c>
      <c r="N359" s="171"/>
      <c r="O359" s="11" t="s">
        <v>337</v>
      </c>
    </row>
    <row r="360" spans="2:15" ht="379.05" customHeight="1" outlineLevel="1" x14ac:dyDescent="0.25">
      <c r="B360" s="34">
        <v>370</v>
      </c>
      <c r="C360" s="7" t="s">
        <v>25</v>
      </c>
      <c r="D360" s="6">
        <v>1</v>
      </c>
      <c r="E360" s="8" t="s">
        <v>20</v>
      </c>
      <c r="F360" s="19">
        <v>371875</v>
      </c>
      <c r="G360" s="9">
        <f t="shared" si="48"/>
        <v>371875</v>
      </c>
      <c r="H360" s="14">
        <v>0</v>
      </c>
      <c r="I360" s="10" t="s">
        <v>20</v>
      </c>
      <c r="J360" s="9">
        <f>F360</f>
        <v>371875</v>
      </c>
      <c r="K360" s="9"/>
      <c r="L360" s="9">
        <f t="shared" si="52"/>
        <v>0</v>
      </c>
      <c r="M360" s="9">
        <f t="shared" si="53"/>
        <v>371875</v>
      </c>
      <c r="N360" s="15" t="s">
        <v>403</v>
      </c>
      <c r="O360" s="11" t="s">
        <v>337</v>
      </c>
    </row>
    <row r="361" spans="2:15" outlineLevel="1" x14ac:dyDescent="0.25">
      <c r="G361" s="9"/>
      <c r="H361" s="14"/>
      <c r="K361" s="9"/>
      <c r="L361" s="9">
        <f t="shared" si="52"/>
        <v>0</v>
      </c>
      <c r="M361" s="9">
        <f t="shared" si="53"/>
        <v>0</v>
      </c>
      <c r="O361" s="11" t="s">
        <v>337</v>
      </c>
    </row>
    <row r="362" spans="2:15" ht="150" outlineLevel="1" x14ac:dyDescent="0.25">
      <c r="B362" s="6">
        <v>371</v>
      </c>
      <c r="C362" s="7" t="s">
        <v>199</v>
      </c>
      <c r="D362" s="6">
        <v>2</v>
      </c>
      <c r="E362" s="8" t="s">
        <v>11</v>
      </c>
      <c r="F362" s="19">
        <v>30700</v>
      </c>
      <c r="G362" s="9">
        <f t="shared" si="48"/>
        <v>61400</v>
      </c>
      <c r="H362" s="14">
        <f>D362</f>
        <v>2</v>
      </c>
      <c r="I362" s="10" t="s">
        <v>11</v>
      </c>
      <c r="J362" s="9">
        <f>F362</f>
        <v>30700</v>
      </c>
      <c r="K362" s="9">
        <f t="shared" si="49"/>
        <v>61400</v>
      </c>
      <c r="L362" s="9">
        <f t="shared" si="52"/>
        <v>0</v>
      </c>
      <c r="M362" s="9">
        <f t="shared" si="53"/>
        <v>0</v>
      </c>
      <c r="N362" s="71" t="s">
        <v>386</v>
      </c>
      <c r="O362" s="11" t="s">
        <v>337</v>
      </c>
    </row>
    <row r="363" spans="2:15" outlineLevel="1" x14ac:dyDescent="0.25">
      <c r="G363" s="9"/>
      <c r="H363" s="14"/>
      <c r="K363" s="9"/>
      <c r="L363" s="9">
        <f t="shared" si="52"/>
        <v>0</v>
      </c>
      <c r="M363" s="9">
        <f t="shared" si="53"/>
        <v>0</v>
      </c>
      <c r="O363" s="11" t="s">
        <v>337</v>
      </c>
    </row>
    <row r="364" spans="2:15" ht="160.5" customHeight="1" outlineLevel="1" x14ac:dyDescent="0.25">
      <c r="B364" s="6">
        <v>372</v>
      </c>
      <c r="C364" s="7" t="s">
        <v>200</v>
      </c>
      <c r="D364" s="6">
        <v>3</v>
      </c>
      <c r="E364" s="8" t="s">
        <v>11</v>
      </c>
      <c r="F364" s="19">
        <v>30700</v>
      </c>
      <c r="G364" s="9">
        <f t="shared" si="48"/>
        <v>92100</v>
      </c>
      <c r="H364" s="14">
        <f>D364</f>
        <v>3</v>
      </c>
      <c r="I364" s="10" t="s">
        <v>11</v>
      </c>
      <c r="J364" s="9">
        <f>F364</f>
        <v>30700</v>
      </c>
      <c r="K364" s="9">
        <f t="shared" si="49"/>
        <v>92100</v>
      </c>
      <c r="L364" s="9">
        <f t="shared" si="52"/>
        <v>0</v>
      </c>
      <c r="M364" s="9">
        <f t="shared" si="53"/>
        <v>0</v>
      </c>
      <c r="N364" s="170" t="s">
        <v>406</v>
      </c>
      <c r="O364" s="11" t="s">
        <v>337</v>
      </c>
    </row>
    <row r="365" spans="2:15" ht="15.6" outlineLevel="1" x14ac:dyDescent="0.25">
      <c r="C365" s="24" t="s">
        <v>41</v>
      </c>
      <c r="G365" s="9"/>
      <c r="H365" s="14">
        <v>3</v>
      </c>
      <c r="I365" s="10" t="s">
        <v>11</v>
      </c>
      <c r="J365" s="9">
        <f>F364</f>
        <v>30700</v>
      </c>
      <c r="K365" s="9">
        <f t="shared" si="49"/>
        <v>92100</v>
      </c>
      <c r="L365" s="9">
        <f t="shared" si="52"/>
        <v>92100</v>
      </c>
      <c r="M365" s="9">
        <f t="shared" si="53"/>
        <v>0</v>
      </c>
      <c r="N365" s="171"/>
      <c r="O365" s="11" t="s">
        <v>337</v>
      </c>
    </row>
    <row r="366" spans="2:15" ht="160.5" customHeight="1" outlineLevel="1" x14ac:dyDescent="0.25">
      <c r="B366" s="6">
        <v>373</v>
      </c>
      <c r="C366" s="7" t="s">
        <v>201</v>
      </c>
      <c r="D366" s="6">
        <v>4</v>
      </c>
      <c r="E366" s="8" t="s">
        <v>11</v>
      </c>
      <c r="F366" s="19">
        <v>35000</v>
      </c>
      <c r="G366" s="9">
        <f t="shared" si="48"/>
        <v>140000</v>
      </c>
      <c r="H366" s="14">
        <f>D366</f>
        <v>4</v>
      </c>
      <c r="I366" s="10" t="s">
        <v>11</v>
      </c>
      <c r="J366" s="9">
        <f>F366</f>
        <v>35000</v>
      </c>
      <c r="K366" s="9">
        <f t="shared" si="49"/>
        <v>140000</v>
      </c>
      <c r="L366" s="9">
        <f t="shared" si="52"/>
        <v>0</v>
      </c>
      <c r="M366" s="9">
        <f t="shared" si="53"/>
        <v>0</v>
      </c>
      <c r="N366" s="170" t="s">
        <v>404</v>
      </c>
      <c r="O366" s="11" t="s">
        <v>337</v>
      </c>
    </row>
    <row r="367" spans="2:15" ht="15.6" outlineLevel="1" x14ac:dyDescent="0.25">
      <c r="C367" s="24" t="s">
        <v>41</v>
      </c>
      <c r="G367" s="9"/>
      <c r="H367" s="14">
        <v>2</v>
      </c>
      <c r="I367" s="10" t="s">
        <v>11</v>
      </c>
      <c r="J367" s="9">
        <f>F366</f>
        <v>35000</v>
      </c>
      <c r="K367" s="9">
        <f t="shared" si="49"/>
        <v>70000</v>
      </c>
      <c r="L367" s="9">
        <f t="shared" si="52"/>
        <v>70000</v>
      </c>
      <c r="M367" s="9">
        <f t="shared" si="53"/>
        <v>0</v>
      </c>
      <c r="N367" s="171"/>
      <c r="O367" s="11" t="s">
        <v>337</v>
      </c>
    </row>
    <row r="368" spans="2:15" ht="165" outlineLevel="1" x14ac:dyDescent="0.25">
      <c r="B368" s="34">
        <v>374</v>
      </c>
      <c r="C368" s="7" t="s">
        <v>202</v>
      </c>
      <c r="D368" s="6">
        <v>2</v>
      </c>
      <c r="E368" s="8" t="s">
        <v>11</v>
      </c>
      <c r="F368" s="19">
        <v>50000</v>
      </c>
      <c r="G368" s="9">
        <f t="shared" si="48"/>
        <v>100000</v>
      </c>
      <c r="H368" s="14">
        <v>0</v>
      </c>
      <c r="I368" s="10" t="s">
        <v>11</v>
      </c>
      <c r="J368" s="9">
        <f>F368</f>
        <v>50000</v>
      </c>
      <c r="K368" s="9"/>
      <c r="L368" s="9">
        <f t="shared" si="52"/>
        <v>0</v>
      </c>
      <c r="M368" s="9">
        <f t="shared" si="53"/>
        <v>100000</v>
      </c>
      <c r="N368" s="15" t="s">
        <v>405</v>
      </c>
      <c r="O368" s="11" t="s">
        <v>337</v>
      </c>
    </row>
    <row r="369" spans="1:15" outlineLevel="1" x14ac:dyDescent="0.25">
      <c r="G369" s="9"/>
      <c r="H369" s="14"/>
      <c r="K369" s="9"/>
      <c r="L369" s="9">
        <f t="shared" si="52"/>
        <v>0</v>
      </c>
      <c r="M369" s="9">
        <f t="shared" si="53"/>
        <v>0</v>
      </c>
      <c r="O369" s="11" t="s">
        <v>337</v>
      </c>
    </row>
    <row r="370" spans="1:15" ht="217.2" customHeight="1" outlineLevel="1" x14ac:dyDescent="0.25">
      <c r="B370" s="6">
        <v>375</v>
      </c>
      <c r="C370" s="7" t="s">
        <v>203</v>
      </c>
      <c r="D370" s="6">
        <v>1</v>
      </c>
      <c r="E370" s="8" t="s">
        <v>12</v>
      </c>
      <c r="F370" s="19">
        <v>400000</v>
      </c>
      <c r="G370" s="9">
        <f t="shared" si="48"/>
        <v>400000</v>
      </c>
      <c r="H370" s="14">
        <f>D370</f>
        <v>1</v>
      </c>
      <c r="I370" s="10" t="s">
        <v>12</v>
      </c>
      <c r="J370" s="9">
        <f>F370</f>
        <v>400000</v>
      </c>
      <c r="K370" s="9">
        <f t="shared" si="49"/>
        <v>400000</v>
      </c>
      <c r="L370" s="9">
        <f t="shared" si="52"/>
        <v>0</v>
      </c>
      <c r="M370" s="9">
        <f t="shared" si="53"/>
        <v>0</v>
      </c>
      <c r="N370" s="71" t="s">
        <v>386</v>
      </c>
      <c r="O370" s="11" t="s">
        <v>337</v>
      </c>
    </row>
    <row r="371" spans="1:15" outlineLevel="1" x14ac:dyDescent="0.25">
      <c r="G371" s="9"/>
      <c r="H371" s="14"/>
      <c r="K371" s="9"/>
      <c r="L371" s="9">
        <f t="shared" si="52"/>
        <v>0</v>
      </c>
      <c r="M371" s="9">
        <f t="shared" si="53"/>
        <v>0</v>
      </c>
      <c r="O371" s="11" t="s">
        <v>337</v>
      </c>
    </row>
    <row r="372" spans="1:15" ht="60" outlineLevel="1" x14ac:dyDescent="0.25">
      <c r="B372" s="6">
        <v>376</v>
      </c>
      <c r="C372" s="7" t="s">
        <v>204</v>
      </c>
      <c r="D372" s="6">
        <v>10</v>
      </c>
      <c r="E372" s="8" t="s">
        <v>20</v>
      </c>
      <c r="F372" s="19">
        <v>6191</v>
      </c>
      <c r="G372" s="9">
        <f t="shared" si="48"/>
        <v>61910</v>
      </c>
      <c r="H372" s="14">
        <f>D372</f>
        <v>10</v>
      </c>
      <c r="I372" s="10" t="s">
        <v>20</v>
      </c>
      <c r="J372" s="9">
        <f>F372</f>
        <v>6191</v>
      </c>
      <c r="K372" s="9">
        <f t="shared" si="49"/>
        <v>61910</v>
      </c>
      <c r="L372" s="9">
        <f t="shared" si="52"/>
        <v>0</v>
      </c>
      <c r="M372" s="9">
        <f t="shared" si="53"/>
        <v>0</v>
      </c>
      <c r="N372" s="170" t="s">
        <v>407</v>
      </c>
      <c r="O372" s="11" t="s">
        <v>337</v>
      </c>
    </row>
    <row r="373" spans="1:15" ht="15.6" outlineLevel="1" x14ac:dyDescent="0.25">
      <c r="C373" s="24" t="s">
        <v>41</v>
      </c>
      <c r="G373" s="9"/>
      <c r="H373" s="14">
        <v>5</v>
      </c>
      <c r="I373" s="10" t="s">
        <v>20</v>
      </c>
      <c r="J373" s="9">
        <f>F372</f>
        <v>6191</v>
      </c>
      <c r="K373" s="9">
        <f t="shared" si="49"/>
        <v>30955</v>
      </c>
      <c r="L373" s="9">
        <f t="shared" si="52"/>
        <v>30955</v>
      </c>
      <c r="M373" s="9">
        <f t="shared" si="53"/>
        <v>0</v>
      </c>
      <c r="N373" s="171"/>
      <c r="O373" s="11" t="s">
        <v>337</v>
      </c>
    </row>
    <row r="374" spans="1:15" ht="60" outlineLevel="1" x14ac:dyDescent="0.25">
      <c r="B374" s="34">
        <v>377</v>
      </c>
      <c r="C374" s="7" t="s">
        <v>205</v>
      </c>
      <c r="D374" s="6">
        <v>150</v>
      </c>
      <c r="E374" s="8" t="s">
        <v>16</v>
      </c>
      <c r="F374" s="19">
        <v>320</v>
      </c>
      <c r="G374" s="9">
        <f t="shared" si="48"/>
        <v>48000</v>
      </c>
      <c r="H374" s="14">
        <f>D374</f>
        <v>150</v>
      </c>
      <c r="I374" s="10" t="s">
        <v>16</v>
      </c>
      <c r="J374" s="9">
        <f>F374</f>
        <v>320</v>
      </c>
      <c r="K374" s="9">
        <f t="shared" si="49"/>
        <v>48000</v>
      </c>
      <c r="L374" s="9">
        <f t="shared" si="52"/>
        <v>0</v>
      </c>
      <c r="M374" s="9">
        <f t="shared" si="53"/>
        <v>0</v>
      </c>
      <c r="N374" s="71" t="s">
        <v>386</v>
      </c>
      <c r="O374" s="11" t="s">
        <v>337</v>
      </c>
    </row>
    <row r="375" spans="1:15" outlineLevel="1" x14ac:dyDescent="0.25">
      <c r="G375" s="9"/>
      <c r="H375" s="14"/>
      <c r="K375" s="9"/>
      <c r="L375" s="9">
        <f t="shared" si="52"/>
        <v>0</v>
      </c>
      <c r="M375" s="9">
        <f t="shared" si="53"/>
        <v>0</v>
      </c>
      <c r="O375" s="11" t="s">
        <v>337</v>
      </c>
    </row>
    <row r="376" spans="1:15" ht="60" outlineLevel="1" x14ac:dyDescent="0.25">
      <c r="A376" s="11" t="s">
        <v>52</v>
      </c>
      <c r="B376" s="34">
        <v>378</v>
      </c>
      <c r="C376" s="7" t="s">
        <v>206</v>
      </c>
      <c r="D376" s="6">
        <v>100</v>
      </c>
      <c r="E376" s="8" t="s">
        <v>16</v>
      </c>
      <c r="F376" s="19">
        <v>255</v>
      </c>
      <c r="G376" s="9">
        <f t="shared" ref="G376" si="54">ROUND(D376*F376,0)</f>
        <v>25500</v>
      </c>
      <c r="H376" s="14">
        <f>D376</f>
        <v>100</v>
      </c>
      <c r="I376" s="10" t="s">
        <v>16</v>
      </c>
      <c r="J376" s="9">
        <f>F376</f>
        <v>255</v>
      </c>
      <c r="K376" s="9">
        <f t="shared" ref="K376" si="55">ROUND(H376*J376,0)</f>
        <v>25500</v>
      </c>
      <c r="L376" s="9">
        <f t="shared" si="52"/>
        <v>0</v>
      </c>
      <c r="M376" s="9">
        <f t="shared" si="53"/>
        <v>0</v>
      </c>
      <c r="N376" s="71" t="s">
        <v>386</v>
      </c>
      <c r="O376" s="11" t="s">
        <v>337</v>
      </c>
    </row>
    <row r="377" spans="1:15" x14ac:dyDescent="0.25">
      <c r="G377" s="9"/>
      <c r="H377" s="14"/>
      <c r="K377" s="9"/>
      <c r="L377" s="9"/>
      <c r="M377" s="9"/>
      <c r="O377" s="11" t="s">
        <v>337</v>
      </c>
    </row>
    <row r="378" spans="1:15" ht="19.95" customHeight="1" x14ac:dyDescent="0.25">
      <c r="G378" s="23">
        <f>ROUND(SUM(G312:G377),0)</f>
        <v>3946060</v>
      </c>
      <c r="H378" s="14"/>
      <c r="J378" s="22" t="s">
        <v>44</v>
      </c>
      <c r="K378" s="23">
        <f>ROUND(SUM(K312:K377),0)</f>
        <v>2729746</v>
      </c>
      <c r="L378" s="23">
        <f t="shared" ref="L378:M378" si="56">SUM(L312:L377)</f>
        <v>366308</v>
      </c>
      <c r="M378" s="23">
        <f t="shared" si="56"/>
        <v>1582622</v>
      </c>
      <c r="N378" s="81"/>
    </row>
    <row r="379" spans="1:15" ht="19.95" customHeight="1" x14ac:dyDescent="0.25">
      <c r="C379" s="12" t="s">
        <v>51</v>
      </c>
      <c r="H379" s="14"/>
      <c r="L379" s="9"/>
      <c r="M379" s="9"/>
    </row>
    <row r="380" spans="1:15" ht="45" outlineLevel="1" x14ac:dyDescent="0.25">
      <c r="B380" s="6">
        <v>379</v>
      </c>
      <c r="C380" s="7" t="s">
        <v>207</v>
      </c>
      <c r="D380" s="6">
        <v>1</v>
      </c>
      <c r="E380" s="8" t="s">
        <v>20</v>
      </c>
      <c r="F380" s="19">
        <v>20750</v>
      </c>
      <c r="G380" s="9">
        <f t="shared" ref="G380:G413" si="57">ROUND(D380*F380,0)</f>
        <v>20750</v>
      </c>
      <c r="H380" s="14">
        <v>1</v>
      </c>
      <c r="I380" s="10" t="s">
        <v>20</v>
      </c>
      <c r="J380" s="9">
        <f>F380</f>
        <v>20750</v>
      </c>
      <c r="K380" s="9">
        <f t="shared" ref="K380:K413" si="58">ROUND(H380*J380,0)</f>
        <v>20750</v>
      </c>
      <c r="L380" s="9">
        <f t="shared" ref="L380" si="59">ROUND(IF(K380&gt;G380,K380-G380,0),0)</f>
        <v>0</v>
      </c>
      <c r="M380" s="9">
        <f t="shared" ref="M380" si="60">ROUND(IF(K380&lt;G380,G380-K380,0),0)</f>
        <v>0</v>
      </c>
      <c r="N380" s="71" t="s">
        <v>386</v>
      </c>
      <c r="O380" s="11" t="s">
        <v>338</v>
      </c>
    </row>
    <row r="381" spans="1:15" outlineLevel="1" x14ac:dyDescent="0.25">
      <c r="G381" s="9"/>
      <c r="H381" s="14"/>
      <c r="K381" s="9"/>
      <c r="L381" s="9">
        <f t="shared" ref="L381:L413" si="61">ROUND(IF(K381&gt;G381,K381-G381,0),0)</f>
        <v>0</v>
      </c>
      <c r="M381" s="9">
        <f t="shared" ref="M381:M413" si="62">ROUND(IF(K381&lt;G381,G381-K381,0),0)</f>
        <v>0</v>
      </c>
      <c r="O381" s="11" t="s">
        <v>338</v>
      </c>
    </row>
    <row r="382" spans="1:15" ht="45" outlineLevel="1" x14ac:dyDescent="0.25">
      <c r="B382" s="6">
        <v>380</v>
      </c>
      <c r="C382" s="7" t="s">
        <v>208</v>
      </c>
      <c r="D382" s="6">
        <v>4</v>
      </c>
      <c r="E382" s="8" t="s">
        <v>21</v>
      </c>
      <c r="F382" s="19">
        <v>2506</v>
      </c>
      <c r="G382" s="9">
        <f t="shared" si="57"/>
        <v>10024</v>
      </c>
      <c r="H382" s="14">
        <v>4</v>
      </c>
      <c r="I382" s="10" t="s">
        <v>21</v>
      </c>
      <c r="J382" s="9">
        <f>F382</f>
        <v>2506</v>
      </c>
      <c r="K382" s="9">
        <f t="shared" si="58"/>
        <v>10024</v>
      </c>
      <c r="L382" s="9">
        <f t="shared" si="61"/>
        <v>0</v>
      </c>
      <c r="M382" s="9">
        <f t="shared" si="62"/>
        <v>0</v>
      </c>
      <c r="N382" s="71" t="s">
        <v>386</v>
      </c>
      <c r="O382" s="11" t="s">
        <v>338</v>
      </c>
    </row>
    <row r="383" spans="1:15" outlineLevel="1" x14ac:dyDescent="0.25">
      <c r="G383" s="9"/>
      <c r="H383" s="14"/>
      <c r="K383" s="9"/>
      <c r="L383" s="9">
        <f t="shared" si="61"/>
        <v>0</v>
      </c>
      <c r="M383" s="9">
        <f t="shared" si="62"/>
        <v>0</v>
      </c>
      <c r="O383" s="11" t="s">
        <v>338</v>
      </c>
    </row>
    <row r="384" spans="1:15" ht="45" outlineLevel="1" x14ac:dyDescent="0.25">
      <c r="B384" s="6">
        <v>381</v>
      </c>
      <c r="C384" s="7" t="s">
        <v>24</v>
      </c>
      <c r="D384" s="6">
        <v>4</v>
      </c>
      <c r="E384" s="8" t="s">
        <v>21</v>
      </c>
      <c r="F384" s="19">
        <v>1805</v>
      </c>
      <c r="G384" s="9">
        <f t="shared" si="57"/>
        <v>7220</v>
      </c>
      <c r="H384" s="14">
        <v>4</v>
      </c>
      <c r="I384" s="10" t="s">
        <v>21</v>
      </c>
      <c r="J384" s="9">
        <f>F384</f>
        <v>1805</v>
      </c>
      <c r="K384" s="9">
        <f t="shared" si="58"/>
        <v>7220</v>
      </c>
      <c r="L384" s="9">
        <f t="shared" si="61"/>
        <v>0</v>
      </c>
      <c r="M384" s="9">
        <f t="shared" si="62"/>
        <v>0</v>
      </c>
      <c r="N384" s="71" t="s">
        <v>386</v>
      </c>
      <c r="O384" s="11" t="s">
        <v>338</v>
      </c>
    </row>
    <row r="385" spans="2:15" outlineLevel="1" x14ac:dyDescent="0.25">
      <c r="G385" s="9"/>
      <c r="H385" s="14"/>
      <c r="K385" s="9"/>
      <c r="L385" s="9">
        <f t="shared" si="61"/>
        <v>0</v>
      </c>
      <c r="M385" s="9">
        <f t="shared" si="62"/>
        <v>0</v>
      </c>
      <c r="O385" s="11" t="s">
        <v>338</v>
      </c>
    </row>
    <row r="386" spans="2:15" ht="45" outlineLevel="1" x14ac:dyDescent="0.25">
      <c r="B386" s="6">
        <v>382</v>
      </c>
      <c r="C386" s="15" t="s">
        <v>209</v>
      </c>
      <c r="D386" s="6">
        <v>1</v>
      </c>
      <c r="E386" s="8" t="s">
        <v>20</v>
      </c>
      <c r="F386" s="19">
        <v>13250</v>
      </c>
      <c r="G386" s="9">
        <f t="shared" si="57"/>
        <v>13250</v>
      </c>
      <c r="H386" s="14">
        <v>1</v>
      </c>
      <c r="I386" s="10" t="s">
        <v>20</v>
      </c>
      <c r="J386" s="9">
        <f>F386</f>
        <v>13250</v>
      </c>
      <c r="K386" s="9">
        <f t="shared" si="58"/>
        <v>13250</v>
      </c>
      <c r="L386" s="9">
        <f t="shared" si="61"/>
        <v>0</v>
      </c>
      <c r="M386" s="9">
        <f t="shared" si="62"/>
        <v>0</v>
      </c>
      <c r="N386" s="71" t="s">
        <v>386</v>
      </c>
      <c r="O386" s="11" t="s">
        <v>338</v>
      </c>
    </row>
    <row r="387" spans="2:15" outlineLevel="1" x14ac:dyDescent="0.25">
      <c r="G387" s="9"/>
      <c r="H387" s="14"/>
      <c r="K387" s="9"/>
      <c r="L387" s="9">
        <f t="shared" si="61"/>
        <v>0</v>
      </c>
      <c r="M387" s="9">
        <f t="shared" si="62"/>
        <v>0</v>
      </c>
      <c r="O387" s="11" t="s">
        <v>338</v>
      </c>
    </row>
    <row r="388" spans="2:15" ht="45" outlineLevel="1" x14ac:dyDescent="0.25">
      <c r="B388" s="6">
        <v>383</v>
      </c>
      <c r="C388" s="7" t="s">
        <v>210</v>
      </c>
      <c r="D388" s="6">
        <v>4</v>
      </c>
      <c r="E388" s="8" t="s">
        <v>21</v>
      </c>
      <c r="F388" s="19">
        <v>2506</v>
      </c>
      <c r="G388" s="9">
        <f t="shared" si="57"/>
        <v>10024</v>
      </c>
      <c r="H388" s="14">
        <v>4</v>
      </c>
      <c r="I388" s="10" t="s">
        <v>21</v>
      </c>
      <c r="J388" s="9">
        <f>F388</f>
        <v>2506</v>
      </c>
      <c r="K388" s="9">
        <f t="shared" si="58"/>
        <v>10024</v>
      </c>
      <c r="L388" s="9">
        <f t="shared" si="61"/>
        <v>0</v>
      </c>
      <c r="M388" s="9">
        <f t="shared" si="62"/>
        <v>0</v>
      </c>
      <c r="N388" s="71" t="s">
        <v>386</v>
      </c>
      <c r="O388" s="11" t="s">
        <v>338</v>
      </c>
    </row>
    <row r="389" spans="2:15" outlineLevel="1" x14ac:dyDescent="0.25">
      <c r="G389" s="9"/>
      <c r="H389" s="14"/>
      <c r="K389" s="9"/>
      <c r="L389" s="9">
        <f t="shared" si="61"/>
        <v>0</v>
      </c>
      <c r="M389" s="9">
        <f t="shared" si="62"/>
        <v>0</v>
      </c>
      <c r="O389" s="11" t="s">
        <v>338</v>
      </c>
    </row>
    <row r="390" spans="2:15" ht="45" outlineLevel="1" x14ac:dyDescent="0.25">
      <c r="B390" s="6">
        <v>384</v>
      </c>
      <c r="C390" s="7" t="s">
        <v>211</v>
      </c>
      <c r="D390" s="6">
        <v>1</v>
      </c>
      <c r="E390" s="8" t="s">
        <v>20</v>
      </c>
      <c r="F390" s="19">
        <v>20750</v>
      </c>
      <c r="G390" s="9">
        <f t="shared" si="57"/>
        <v>20750</v>
      </c>
      <c r="H390" s="14">
        <v>1</v>
      </c>
      <c r="I390" s="10" t="s">
        <v>20</v>
      </c>
      <c r="J390" s="9">
        <f>F390</f>
        <v>20750</v>
      </c>
      <c r="K390" s="9">
        <f t="shared" si="58"/>
        <v>20750</v>
      </c>
      <c r="L390" s="9">
        <f t="shared" si="61"/>
        <v>0</v>
      </c>
      <c r="M390" s="9">
        <f t="shared" si="62"/>
        <v>0</v>
      </c>
      <c r="N390" s="170" t="s">
        <v>408</v>
      </c>
      <c r="O390" s="11" t="s">
        <v>338</v>
      </c>
    </row>
    <row r="391" spans="2:15" ht="15.6" outlineLevel="1" x14ac:dyDescent="0.25">
      <c r="B391" s="6"/>
      <c r="C391" s="155" t="s">
        <v>41</v>
      </c>
      <c r="D391" s="6"/>
      <c r="E391" s="8"/>
      <c r="F391" s="19"/>
      <c r="G391" s="9"/>
      <c r="H391" s="14">
        <v>1</v>
      </c>
      <c r="I391" s="10" t="s">
        <v>20</v>
      </c>
      <c r="J391" s="9">
        <f>J390</f>
        <v>20750</v>
      </c>
      <c r="K391" s="9">
        <f t="shared" ref="K391" si="63">ROUND(H391*J391,0)</f>
        <v>20750</v>
      </c>
      <c r="L391" s="9">
        <f t="shared" ref="L391" si="64">ROUND(IF(K391&gt;G391,K391-G391,0),0)</f>
        <v>20750</v>
      </c>
      <c r="M391" s="9">
        <f t="shared" ref="M391" si="65">ROUND(IF(K391&lt;G391,G391-K391,0),0)</f>
        <v>0</v>
      </c>
      <c r="N391" s="171"/>
      <c r="O391" s="11" t="s">
        <v>338</v>
      </c>
    </row>
    <row r="392" spans="2:15" outlineLevel="1" x14ac:dyDescent="0.25">
      <c r="G392" s="9"/>
      <c r="H392" s="14"/>
      <c r="K392" s="9"/>
      <c r="L392" s="9">
        <f t="shared" si="61"/>
        <v>0</v>
      </c>
      <c r="M392" s="9">
        <f t="shared" si="62"/>
        <v>0</v>
      </c>
      <c r="O392" s="11" t="s">
        <v>338</v>
      </c>
    </row>
    <row r="393" spans="2:15" ht="60" outlineLevel="1" x14ac:dyDescent="0.25">
      <c r="B393" s="6">
        <v>385</v>
      </c>
      <c r="C393" s="7" t="s">
        <v>212</v>
      </c>
      <c r="D393" s="6">
        <v>4</v>
      </c>
      <c r="E393" s="8" t="s">
        <v>21</v>
      </c>
      <c r="F393" s="19">
        <v>2506</v>
      </c>
      <c r="G393" s="9">
        <f t="shared" si="57"/>
        <v>10024</v>
      </c>
      <c r="H393" s="14">
        <v>4</v>
      </c>
      <c r="I393" s="10" t="s">
        <v>21</v>
      </c>
      <c r="J393" s="9">
        <f>F393</f>
        <v>2506</v>
      </c>
      <c r="K393" s="9">
        <f t="shared" si="58"/>
        <v>10024</v>
      </c>
      <c r="L393" s="9">
        <f t="shared" si="61"/>
        <v>0</v>
      </c>
      <c r="M393" s="9">
        <f t="shared" si="62"/>
        <v>0</v>
      </c>
      <c r="N393" s="71" t="s">
        <v>386</v>
      </c>
      <c r="O393" s="11" t="s">
        <v>338</v>
      </c>
    </row>
    <row r="394" spans="2:15" outlineLevel="1" x14ac:dyDescent="0.25">
      <c r="G394" s="9"/>
      <c r="H394" s="14"/>
      <c r="K394" s="9"/>
      <c r="L394" s="9">
        <f t="shared" si="61"/>
        <v>0</v>
      </c>
      <c r="M394" s="9">
        <f t="shared" si="62"/>
        <v>0</v>
      </c>
      <c r="O394" s="11" t="s">
        <v>338</v>
      </c>
    </row>
    <row r="395" spans="2:15" ht="60" outlineLevel="1" x14ac:dyDescent="0.25">
      <c r="B395" s="6">
        <v>386</v>
      </c>
      <c r="C395" s="7" t="s">
        <v>213</v>
      </c>
      <c r="D395" s="6">
        <v>24</v>
      </c>
      <c r="E395" s="8" t="s">
        <v>16</v>
      </c>
      <c r="F395" s="19">
        <v>642</v>
      </c>
      <c r="G395" s="9">
        <f t="shared" si="57"/>
        <v>15408</v>
      </c>
      <c r="H395" s="14">
        <v>21.7</v>
      </c>
      <c r="I395" s="10" t="s">
        <v>16</v>
      </c>
      <c r="J395" s="9">
        <f>F395</f>
        <v>642</v>
      </c>
      <c r="K395" s="9">
        <f t="shared" si="58"/>
        <v>13931</v>
      </c>
      <c r="L395" s="9">
        <f t="shared" si="61"/>
        <v>0</v>
      </c>
      <c r="M395" s="9">
        <f t="shared" si="62"/>
        <v>1477</v>
      </c>
      <c r="N395" s="15" t="s">
        <v>390</v>
      </c>
      <c r="O395" s="11" t="s">
        <v>338</v>
      </c>
    </row>
    <row r="396" spans="2:15" outlineLevel="1" x14ac:dyDescent="0.25">
      <c r="G396" s="9"/>
      <c r="H396" s="14"/>
      <c r="K396" s="9"/>
      <c r="L396" s="9">
        <f t="shared" si="61"/>
        <v>0</v>
      </c>
      <c r="M396" s="9">
        <f t="shared" si="62"/>
        <v>0</v>
      </c>
      <c r="O396" s="11" t="s">
        <v>338</v>
      </c>
    </row>
    <row r="397" spans="2:15" ht="50.4" customHeight="1" outlineLevel="1" x14ac:dyDescent="0.25">
      <c r="B397" s="6">
        <v>387</v>
      </c>
      <c r="C397" s="7" t="s">
        <v>214</v>
      </c>
      <c r="D397" s="6">
        <v>114</v>
      </c>
      <c r="E397" s="8" t="s">
        <v>16</v>
      </c>
      <c r="F397" s="19">
        <v>824</v>
      </c>
      <c r="G397" s="9">
        <f t="shared" si="57"/>
        <v>93936</v>
      </c>
      <c r="H397" s="14">
        <v>114</v>
      </c>
      <c r="I397" s="10" t="s">
        <v>16</v>
      </c>
      <c r="J397" s="9">
        <f>F397</f>
        <v>824</v>
      </c>
      <c r="K397" s="9">
        <f t="shared" si="58"/>
        <v>93936</v>
      </c>
      <c r="L397" s="9">
        <f t="shared" si="61"/>
        <v>0</v>
      </c>
      <c r="M397" s="9">
        <f t="shared" si="62"/>
        <v>0</v>
      </c>
      <c r="N397" s="172" t="s">
        <v>409</v>
      </c>
      <c r="O397" s="11" t="s">
        <v>338</v>
      </c>
    </row>
    <row r="398" spans="2:15" ht="15.6" outlineLevel="1" x14ac:dyDescent="0.25">
      <c r="C398" s="24" t="s">
        <v>41</v>
      </c>
      <c r="G398" s="9"/>
      <c r="H398" s="14">
        <f>201.23-H397</f>
        <v>87.22999999999999</v>
      </c>
      <c r="I398" s="10" t="s">
        <v>16</v>
      </c>
      <c r="J398" s="9">
        <f>J397</f>
        <v>824</v>
      </c>
      <c r="K398" s="9">
        <f t="shared" si="58"/>
        <v>71878</v>
      </c>
      <c r="L398" s="9">
        <f t="shared" si="61"/>
        <v>71878</v>
      </c>
      <c r="M398" s="9">
        <f t="shared" si="62"/>
        <v>0</v>
      </c>
      <c r="N398" s="173"/>
      <c r="O398" s="11" t="s">
        <v>338</v>
      </c>
    </row>
    <row r="399" spans="2:15" ht="60" outlineLevel="1" x14ac:dyDescent="0.25">
      <c r="B399" s="6">
        <v>388</v>
      </c>
      <c r="C399" s="7" t="s">
        <v>215</v>
      </c>
      <c r="D399" s="6">
        <v>36</v>
      </c>
      <c r="E399" s="8" t="s">
        <v>16</v>
      </c>
      <c r="F399" s="19">
        <v>1191</v>
      </c>
      <c r="G399" s="9">
        <f t="shared" si="57"/>
        <v>42876</v>
      </c>
      <c r="H399" s="14">
        <v>36</v>
      </c>
      <c r="I399" s="10" t="s">
        <v>16</v>
      </c>
      <c r="J399" s="9">
        <f>F399</f>
        <v>1191</v>
      </c>
      <c r="K399" s="9">
        <f t="shared" si="58"/>
        <v>42876</v>
      </c>
      <c r="L399" s="9">
        <f t="shared" si="61"/>
        <v>0</v>
      </c>
      <c r="M399" s="9">
        <f t="shared" si="62"/>
        <v>0</v>
      </c>
      <c r="N399" s="172" t="s">
        <v>409</v>
      </c>
      <c r="O399" s="11" t="s">
        <v>338</v>
      </c>
    </row>
    <row r="400" spans="2:15" ht="15.6" outlineLevel="1" x14ac:dyDescent="0.25">
      <c r="C400" s="24" t="s">
        <v>41</v>
      </c>
      <c r="G400" s="9"/>
      <c r="H400" s="14">
        <f>78.65-H399</f>
        <v>42.650000000000006</v>
      </c>
      <c r="I400" s="10" t="s">
        <v>16</v>
      </c>
      <c r="J400" s="9">
        <f>J399</f>
        <v>1191</v>
      </c>
      <c r="K400" s="9">
        <f t="shared" si="58"/>
        <v>50796</v>
      </c>
      <c r="L400" s="9">
        <f t="shared" si="61"/>
        <v>50796</v>
      </c>
      <c r="M400" s="9">
        <f t="shared" si="62"/>
        <v>0</v>
      </c>
      <c r="N400" s="173"/>
      <c r="O400" s="11" t="s">
        <v>338</v>
      </c>
    </row>
    <row r="401" spans="2:15" ht="60" outlineLevel="1" x14ac:dyDescent="0.25">
      <c r="B401" s="6">
        <v>389</v>
      </c>
      <c r="C401" s="7" t="s">
        <v>216</v>
      </c>
      <c r="D401" s="6">
        <v>18</v>
      </c>
      <c r="E401" s="8" t="s">
        <v>16</v>
      </c>
      <c r="F401" s="19">
        <v>1473</v>
      </c>
      <c r="G401" s="9">
        <f t="shared" si="57"/>
        <v>26514</v>
      </c>
      <c r="H401" s="14"/>
      <c r="I401" s="10" t="s">
        <v>16</v>
      </c>
      <c r="J401" s="9">
        <f>F401</f>
        <v>1473</v>
      </c>
      <c r="K401" s="9"/>
      <c r="L401" s="9">
        <f t="shared" si="61"/>
        <v>0</v>
      </c>
      <c r="M401" s="9">
        <f t="shared" si="62"/>
        <v>26514</v>
      </c>
      <c r="N401" s="15" t="s">
        <v>390</v>
      </c>
      <c r="O401" s="11" t="s">
        <v>338</v>
      </c>
    </row>
    <row r="402" spans="2:15" outlineLevel="1" x14ac:dyDescent="0.25">
      <c r="G402" s="9"/>
      <c r="H402" s="14"/>
      <c r="K402" s="9"/>
      <c r="L402" s="9">
        <f t="shared" si="61"/>
        <v>0</v>
      </c>
      <c r="M402" s="9">
        <f t="shared" si="62"/>
        <v>0</v>
      </c>
      <c r="O402" s="11" t="s">
        <v>338</v>
      </c>
    </row>
    <row r="403" spans="2:15" ht="45" outlineLevel="1" x14ac:dyDescent="0.25">
      <c r="B403" s="6">
        <v>390</v>
      </c>
      <c r="C403" s="7" t="s">
        <v>217</v>
      </c>
      <c r="D403" s="6">
        <v>1</v>
      </c>
      <c r="E403" s="8" t="s">
        <v>218</v>
      </c>
      <c r="F403" s="19">
        <v>275000</v>
      </c>
      <c r="G403" s="9">
        <f t="shared" si="57"/>
        <v>275000</v>
      </c>
      <c r="H403" s="14">
        <v>1</v>
      </c>
      <c r="I403" s="10" t="s">
        <v>21</v>
      </c>
      <c r="J403" s="9">
        <f>F403</f>
        <v>275000</v>
      </c>
      <c r="K403" s="9">
        <f t="shared" si="58"/>
        <v>275000</v>
      </c>
      <c r="L403" s="9">
        <f t="shared" si="61"/>
        <v>0</v>
      </c>
      <c r="M403" s="9">
        <f t="shared" si="62"/>
        <v>0</v>
      </c>
      <c r="N403" s="71" t="s">
        <v>386</v>
      </c>
      <c r="O403" s="11" t="s">
        <v>338</v>
      </c>
    </row>
    <row r="404" spans="2:15" outlineLevel="1" x14ac:dyDescent="0.25">
      <c r="G404" s="9"/>
      <c r="H404" s="14"/>
      <c r="K404" s="9"/>
      <c r="L404" s="9">
        <f t="shared" si="61"/>
        <v>0</v>
      </c>
      <c r="M404" s="9">
        <f t="shared" si="62"/>
        <v>0</v>
      </c>
      <c r="O404" s="11" t="s">
        <v>338</v>
      </c>
    </row>
    <row r="405" spans="2:15" ht="50.4" customHeight="1" outlineLevel="1" x14ac:dyDescent="0.25">
      <c r="B405" s="6">
        <v>391</v>
      </c>
      <c r="C405" s="7" t="s">
        <v>219</v>
      </c>
      <c r="D405" s="6">
        <v>1</v>
      </c>
      <c r="E405" s="8" t="s">
        <v>21</v>
      </c>
      <c r="F405" s="19">
        <v>375000</v>
      </c>
      <c r="G405" s="9">
        <f t="shared" si="57"/>
        <v>375000</v>
      </c>
      <c r="H405" s="14">
        <v>1</v>
      </c>
      <c r="I405" s="10" t="s">
        <v>21</v>
      </c>
      <c r="J405" s="9">
        <f>F405</f>
        <v>375000</v>
      </c>
      <c r="K405" s="9">
        <f t="shared" si="58"/>
        <v>375000</v>
      </c>
      <c r="L405" s="9">
        <f t="shared" si="61"/>
        <v>0</v>
      </c>
      <c r="M405" s="9">
        <f t="shared" si="62"/>
        <v>0</v>
      </c>
      <c r="N405" s="71" t="s">
        <v>386</v>
      </c>
      <c r="O405" s="11" t="s">
        <v>338</v>
      </c>
    </row>
    <row r="406" spans="2:15" outlineLevel="1" x14ac:dyDescent="0.25">
      <c r="G406" s="9"/>
      <c r="H406" s="14"/>
      <c r="K406" s="9"/>
      <c r="L406" s="9">
        <f t="shared" si="61"/>
        <v>0</v>
      </c>
      <c r="M406" s="9">
        <f t="shared" si="62"/>
        <v>0</v>
      </c>
      <c r="O406" s="11" t="s">
        <v>338</v>
      </c>
    </row>
    <row r="407" spans="2:15" ht="45" outlineLevel="1" x14ac:dyDescent="0.25">
      <c r="B407" s="6">
        <v>392</v>
      </c>
      <c r="C407" s="7" t="s">
        <v>220</v>
      </c>
      <c r="D407" s="6">
        <v>3</v>
      </c>
      <c r="E407" s="8" t="s">
        <v>21</v>
      </c>
      <c r="F407" s="19">
        <v>1938</v>
      </c>
      <c r="G407" s="9">
        <f t="shared" si="57"/>
        <v>5814</v>
      </c>
      <c r="H407" s="14">
        <v>3</v>
      </c>
      <c r="I407" s="10" t="s">
        <v>21</v>
      </c>
      <c r="J407" s="9">
        <f>F407</f>
        <v>1938</v>
      </c>
      <c r="K407" s="9">
        <f t="shared" si="58"/>
        <v>5814</v>
      </c>
      <c r="L407" s="9">
        <f t="shared" si="61"/>
        <v>0</v>
      </c>
      <c r="M407" s="9">
        <f t="shared" si="62"/>
        <v>0</v>
      </c>
      <c r="N407" s="71" t="s">
        <v>386</v>
      </c>
      <c r="O407" s="11" t="s">
        <v>338</v>
      </c>
    </row>
    <row r="408" spans="2:15" outlineLevel="1" x14ac:dyDescent="0.25">
      <c r="G408" s="9"/>
      <c r="H408" s="14"/>
      <c r="K408" s="9"/>
      <c r="L408" s="9">
        <f t="shared" si="61"/>
        <v>0</v>
      </c>
      <c r="M408" s="9">
        <f t="shared" si="62"/>
        <v>0</v>
      </c>
      <c r="O408" s="11" t="s">
        <v>338</v>
      </c>
    </row>
    <row r="409" spans="2:15" ht="45" outlineLevel="1" x14ac:dyDescent="0.25">
      <c r="B409" s="6">
        <v>393</v>
      </c>
      <c r="C409" s="7" t="s">
        <v>221</v>
      </c>
      <c r="D409" s="6">
        <v>3</v>
      </c>
      <c r="E409" s="8" t="s">
        <v>21</v>
      </c>
      <c r="F409" s="19">
        <v>2740</v>
      </c>
      <c r="G409" s="9">
        <f t="shared" si="57"/>
        <v>8220</v>
      </c>
      <c r="H409" s="14">
        <v>3</v>
      </c>
      <c r="I409" s="10" t="s">
        <v>21</v>
      </c>
      <c r="J409" s="9">
        <f>F409</f>
        <v>2740</v>
      </c>
      <c r="K409" s="9">
        <f t="shared" si="58"/>
        <v>8220</v>
      </c>
      <c r="L409" s="9">
        <f t="shared" si="61"/>
        <v>0</v>
      </c>
      <c r="M409" s="9">
        <f t="shared" si="62"/>
        <v>0</v>
      </c>
      <c r="N409" s="71" t="s">
        <v>386</v>
      </c>
      <c r="O409" s="11" t="s">
        <v>338</v>
      </c>
    </row>
    <row r="410" spans="2:15" outlineLevel="1" x14ac:dyDescent="0.25">
      <c r="G410" s="9"/>
      <c r="H410" s="14"/>
      <c r="K410" s="9"/>
      <c r="L410" s="9">
        <f t="shared" si="61"/>
        <v>0</v>
      </c>
      <c r="M410" s="9">
        <f t="shared" si="62"/>
        <v>0</v>
      </c>
      <c r="O410" s="11" t="s">
        <v>338</v>
      </c>
    </row>
    <row r="411" spans="2:15" ht="45" outlineLevel="1" x14ac:dyDescent="0.25">
      <c r="B411" s="6">
        <v>394</v>
      </c>
      <c r="C411" s="7" t="s">
        <v>222</v>
      </c>
      <c r="D411" s="6">
        <v>4</v>
      </c>
      <c r="E411" s="8" t="s">
        <v>21</v>
      </c>
      <c r="F411" s="19">
        <v>4378</v>
      </c>
      <c r="G411" s="9">
        <f t="shared" si="57"/>
        <v>17512</v>
      </c>
      <c r="H411" s="14">
        <v>4</v>
      </c>
      <c r="I411" s="10" t="s">
        <v>21</v>
      </c>
      <c r="J411" s="9">
        <f>F411</f>
        <v>4378</v>
      </c>
      <c r="K411" s="9">
        <f t="shared" si="58"/>
        <v>17512</v>
      </c>
      <c r="L411" s="9">
        <f t="shared" si="61"/>
        <v>0</v>
      </c>
      <c r="M411" s="9">
        <f t="shared" si="62"/>
        <v>0</v>
      </c>
      <c r="N411" s="71" t="s">
        <v>386</v>
      </c>
      <c r="O411" s="11" t="s">
        <v>338</v>
      </c>
    </row>
    <row r="412" spans="2:15" outlineLevel="1" x14ac:dyDescent="0.25">
      <c r="G412" s="9"/>
      <c r="H412" s="14"/>
      <c r="K412" s="9"/>
      <c r="L412" s="9">
        <f t="shared" si="61"/>
        <v>0</v>
      </c>
      <c r="M412" s="9">
        <f t="shared" si="62"/>
        <v>0</v>
      </c>
      <c r="O412" s="11" t="s">
        <v>338</v>
      </c>
    </row>
    <row r="413" spans="2:15" ht="45" outlineLevel="1" x14ac:dyDescent="0.25">
      <c r="B413" s="6">
        <v>395</v>
      </c>
      <c r="C413" s="7" t="s">
        <v>223</v>
      </c>
      <c r="D413" s="6">
        <v>2</v>
      </c>
      <c r="E413" s="8" t="s">
        <v>21</v>
      </c>
      <c r="F413" s="19">
        <v>36750</v>
      </c>
      <c r="G413" s="9">
        <f t="shared" si="57"/>
        <v>73500</v>
      </c>
      <c r="H413" s="14">
        <v>2</v>
      </c>
      <c r="I413" s="10" t="s">
        <v>21</v>
      </c>
      <c r="J413" s="9">
        <f>F413</f>
        <v>36750</v>
      </c>
      <c r="K413" s="9">
        <f t="shared" si="58"/>
        <v>73500</v>
      </c>
      <c r="L413" s="9">
        <f t="shared" si="61"/>
        <v>0</v>
      </c>
      <c r="M413" s="9">
        <f t="shared" si="62"/>
        <v>0</v>
      </c>
      <c r="N413" s="71" t="s">
        <v>386</v>
      </c>
      <c r="O413" s="11" t="s">
        <v>338</v>
      </c>
    </row>
    <row r="414" spans="2:15" outlineLevel="1" x14ac:dyDescent="0.25">
      <c r="G414" s="9"/>
      <c r="K414" s="9"/>
      <c r="L414" s="9"/>
      <c r="M414" s="9"/>
      <c r="O414" s="11" t="s">
        <v>338</v>
      </c>
    </row>
    <row r="415" spans="2:15" s="26" customFormat="1" ht="19.95" customHeight="1" x14ac:dyDescent="0.25">
      <c r="F415" s="27"/>
      <c r="G415" s="23">
        <f>ROUND(SUM(G380:G414),0)</f>
        <v>1025822</v>
      </c>
      <c r="H415" s="28"/>
      <c r="I415" s="28"/>
      <c r="J415" s="22" t="s">
        <v>44</v>
      </c>
      <c r="K415" s="23">
        <f>ROUND(SUM(K380:K414),0)</f>
        <v>1141255</v>
      </c>
      <c r="L415" s="23">
        <f>SUM(L380:L414)</f>
        <v>143424</v>
      </c>
      <c r="M415" s="23">
        <f>SUM(M380:M414)</f>
        <v>27991</v>
      </c>
      <c r="N415" s="104"/>
    </row>
    <row r="416" spans="2:15" ht="19.95" customHeight="1" x14ac:dyDescent="0.25">
      <c r="G416" s="29">
        <f>ROUND((G415+G378+G310+G296+G288+G198+G168+G102),0)</f>
        <v>42405299</v>
      </c>
      <c r="H416" s="30"/>
      <c r="I416" s="30"/>
      <c r="J416" s="31"/>
      <c r="K416" s="29">
        <f>ROUND((K415+K378+K310+K296+K288+K198+K168+K102),0)</f>
        <v>44024015</v>
      </c>
      <c r="L416" s="29">
        <f t="shared" ref="L416:M416" si="66">L415+L378+L310+L296+L288+L198+L168+L102</f>
        <v>4544381</v>
      </c>
      <c r="M416" s="29">
        <f t="shared" si="66"/>
        <v>2925665</v>
      </c>
      <c r="N416" s="123"/>
    </row>
    <row r="417" spans="2:15" ht="17.399999999999999" x14ac:dyDescent="0.25">
      <c r="C417" s="36" t="s">
        <v>256</v>
      </c>
      <c r="D417" s="37"/>
      <c r="E417" s="8"/>
      <c r="F417" s="52"/>
      <c r="G417" s="39"/>
      <c r="H417" s="53"/>
      <c r="I417" s="37"/>
    </row>
    <row r="418" spans="2:15" ht="195" x14ac:dyDescent="0.25">
      <c r="B418" s="11">
        <v>1</v>
      </c>
      <c r="C418" s="7" t="s">
        <v>257</v>
      </c>
      <c r="D418" s="37">
        <v>0</v>
      </c>
      <c r="E418" s="8" t="s">
        <v>52</v>
      </c>
      <c r="F418" s="52"/>
      <c r="G418" s="39"/>
      <c r="H418" s="53">
        <v>1</v>
      </c>
      <c r="I418" s="37" t="s">
        <v>238</v>
      </c>
      <c r="J418" s="58">
        <v>97000</v>
      </c>
      <c r="K418" s="9">
        <f t="shared" ref="K418:K425" si="67">ROUND(H418*J418,0)</f>
        <v>97000</v>
      </c>
      <c r="L418" s="9">
        <f t="shared" ref="L418" si="68">ROUND(IF(K418&gt;G418,K418-G418,0),0)</f>
        <v>97000</v>
      </c>
      <c r="M418" s="9">
        <f t="shared" ref="M418" si="69">ROUND(IF(K418&lt;G418,G418-K418,0),0)</f>
        <v>0</v>
      </c>
      <c r="N418" s="15" t="s">
        <v>410</v>
      </c>
      <c r="O418" s="11" t="s">
        <v>340</v>
      </c>
    </row>
    <row r="419" spans="2:15" ht="123.6" customHeight="1" x14ac:dyDescent="0.25">
      <c r="B419" s="11">
        <v>2</v>
      </c>
      <c r="C419" s="7" t="s">
        <v>258</v>
      </c>
      <c r="D419" s="37">
        <v>0</v>
      </c>
      <c r="E419" s="8" t="s">
        <v>238</v>
      </c>
      <c r="F419" s="52"/>
      <c r="G419" s="39"/>
      <c r="H419" s="53">
        <v>1</v>
      </c>
      <c r="I419" s="37" t="s">
        <v>238</v>
      </c>
      <c r="J419" s="58">
        <v>46000</v>
      </c>
      <c r="K419" s="9">
        <f t="shared" si="67"/>
        <v>46000</v>
      </c>
      <c r="L419" s="9">
        <f t="shared" ref="L419:L425" si="70">ROUND(IF(K419&gt;G419,K419-G419,0),0)</f>
        <v>46000</v>
      </c>
      <c r="M419" s="9">
        <f t="shared" ref="M419:M425" si="71">ROUND(IF(K419&lt;G419,G419-K419,0),0)</f>
        <v>0</v>
      </c>
      <c r="N419" s="15" t="s">
        <v>411</v>
      </c>
      <c r="O419" s="11" t="s">
        <v>340</v>
      </c>
    </row>
    <row r="420" spans="2:15" ht="124.8" customHeight="1" x14ac:dyDescent="0.25">
      <c r="B420" s="11">
        <v>3</v>
      </c>
      <c r="C420" s="7" t="s">
        <v>259</v>
      </c>
      <c r="D420" s="37">
        <v>0</v>
      </c>
      <c r="E420" s="8" t="s">
        <v>238</v>
      </c>
      <c r="F420" s="52"/>
      <c r="G420" s="39"/>
      <c r="H420" s="53">
        <v>1</v>
      </c>
      <c r="I420" s="37" t="s">
        <v>238</v>
      </c>
      <c r="J420" s="58">
        <v>2100</v>
      </c>
      <c r="K420" s="9">
        <f t="shared" si="67"/>
        <v>2100</v>
      </c>
      <c r="L420" s="9">
        <f t="shared" si="70"/>
        <v>2100</v>
      </c>
      <c r="M420" s="9">
        <f t="shared" si="71"/>
        <v>0</v>
      </c>
      <c r="N420" s="15" t="s">
        <v>412</v>
      </c>
      <c r="O420" s="11" t="s">
        <v>340</v>
      </c>
    </row>
    <row r="421" spans="2:15" ht="91.2" customHeight="1" x14ac:dyDescent="0.25">
      <c r="B421" s="11">
        <v>4</v>
      </c>
      <c r="C421" s="7" t="s">
        <v>260</v>
      </c>
      <c r="D421" s="37">
        <v>0</v>
      </c>
      <c r="E421" s="8" t="s">
        <v>238</v>
      </c>
      <c r="F421" s="52"/>
      <c r="G421" s="39"/>
      <c r="H421" s="53">
        <v>2</v>
      </c>
      <c r="I421" s="37" t="s">
        <v>238</v>
      </c>
      <c r="J421" s="58">
        <v>16300</v>
      </c>
      <c r="K421" s="9">
        <f t="shared" si="67"/>
        <v>32600</v>
      </c>
      <c r="L421" s="9">
        <f t="shared" si="70"/>
        <v>32600</v>
      </c>
      <c r="M421" s="9">
        <f t="shared" si="71"/>
        <v>0</v>
      </c>
      <c r="N421" s="15" t="s">
        <v>413</v>
      </c>
      <c r="O421" s="11" t="s">
        <v>340</v>
      </c>
    </row>
    <row r="422" spans="2:15" ht="95.4" customHeight="1" x14ac:dyDescent="0.25">
      <c r="B422" s="11">
        <v>5</v>
      </c>
      <c r="C422" s="7" t="s">
        <v>261</v>
      </c>
      <c r="D422" s="37">
        <v>0</v>
      </c>
      <c r="E422" s="8" t="s">
        <v>238</v>
      </c>
      <c r="F422" s="52"/>
      <c r="G422" s="39"/>
      <c r="H422" s="53">
        <v>1</v>
      </c>
      <c r="I422" s="37" t="s">
        <v>238</v>
      </c>
      <c r="J422" s="58">
        <v>14500</v>
      </c>
      <c r="K422" s="9">
        <f t="shared" si="67"/>
        <v>14500</v>
      </c>
      <c r="L422" s="9">
        <f t="shared" si="70"/>
        <v>14500</v>
      </c>
      <c r="M422" s="9">
        <f t="shared" si="71"/>
        <v>0</v>
      </c>
      <c r="N422" s="15" t="s">
        <v>413</v>
      </c>
      <c r="O422" s="11" t="s">
        <v>340</v>
      </c>
    </row>
    <row r="423" spans="2:15" ht="90.6" customHeight="1" x14ac:dyDescent="0.25">
      <c r="B423" s="11">
        <v>6</v>
      </c>
      <c r="C423" s="7" t="s">
        <v>262</v>
      </c>
      <c r="D423" s="37">
        <v>0</v>
      </c>
      <c r="E423" s="8" t="s">
        <v>238</v>
      </c>
      <c r="F423" s="52"/>
      <c r="G423" s="39"/>
      <c r="H423" s="53">
        <v>1</v>
      </c>
      <c r="I423" s="37" t="s">
        <v>238</v>
      </c>
      <c r="J423" s="58">
        <v>15100</v>
      </c>
      <c r="K423" s="9">
        <f t="shared" si="67"/>
        <v>15100</v>
      </c>
      <c r="L423" s="9">
        <f t="shared" si="70"/>
        <v>15100</v>
      </c>
      <c r="M423" s="9">
        <f t="shared" si="71"/>
        <v>0</v>
      </c>
      <c r="N423" s="15" t="s">
        <v>413</v>
      </c>
      <c r="O423" s="11" t="s">
        <v>340</v>
      </c>
    </row>
    <row r="424" spans="2:15" ht="91.2" customHeight="1" x14ac:dyDescent="0.25">
      <c r="B424" s="11">
        <v>7</v>
      </c>
      <c r="C424" s="7" t="s">
        <v>263</v>
      </c>
      <c r="D424" s="37">
        <v>0</v>
      </c>
      <c r="E424" s="8" t="s">
        <v>238</v>
      </c>
      <c r="F424" s="18"/>
      <c r="H424" s="14">
        <v>1</v>
      </c>
      <c r="I424" s="37" t="s">
        <v>238</v>
      </c>
      <c r="J424" s="58">
        <v>15800</v>
      </c>
      <c r="K424" s="9">
        <f t="shared" si="67"/>
        <v>15800</v>
      </c>
      <c r="L424" s="9">
        <f t="shared" si="70"/>
        <v>15800</v>
      </c>
      <c r="M424" s="9">
        <f t="shared" si="71"/>
        <v>0</v>
      </c>
      <c r="N424" s="15" t="s">
        <v>413</v>
      </c>
      <c r="O424" s="11" t="s">
        <v>340</v>
      </c>
    </row>
    <row r="425" spans="2:15" ht="151.19999999999999" customHeight="1" x14ac:dyDescent="0.25">
      <c r="B425" s="11">
        <v>8</v>
      </c>
      <c r="C425" s="7" t="s">
        <v>264</v>
      </c>
      <c r="D425" s="37">
        <v>0</v>
      </c>
      <c r="E425" s="8" t="s">
        <v>238</v>
      </c>
      <c r="F425" s="18"/>
      <c r="H425" s="14">
        <v>1</v>
      </c>
      <c r="I425" s="37" t="s">
        <v>238</v>
      </c>
      <c r="J425" s="58">
        <v>80000</v>
      </c>
      <c r="K425" s="9">
        <f t="shared" si="67"/>
        <v>80000</v>
      </c>
      <c r="L425" s="9">
        <f t="shared" si="70"/>
        <v>80000</v>
      </c>
      <c r="M425" s="9">
        <f t="shared" si="71"/>
        <v>0</v>
      </c>
      <c r="N425" s="15" t="s">
        <v>414</v>
      </c>
      <c r="O425" s="11" t="s">
        <v>340</v>
      </c>
    </row>
    <row r="426" spans="2:15" ht="15.6" x14ac:dyDescent="0.25">
      <c r="C426" s="7"/>
      <c r="D426" s="37"/>
      <c r="E426" s="8"/>
      <c r="F426" s="18"/>
      <c r="H426" s="14"/>
      <c r="I426" s="37"/>
      <c r="J426" s="62" t="s">
        <v>278</v>
      </c>
      <c r="K426" s="62">
        <f>SUM(K418:K425)</f>
        <v>303100</v>
      </c>
      <c r="L426" s="62">
        <f t="shared" ref="L426" si="72">IF(K426&gt;G426,K426-G426,0)</f>
        <v>303100</v>
      </c>
    </row>
    <row r="427" spans="2:15" ht="17.399999999999999" x14ac:dyDescent="0.25">
      <c r="C427" s="139" t="s">
        <v>251</v>
      </c>
    </row>
    <row r="428" spans="2:15" ht="126" customHeight="1" x14ac:dyDescent="0.25">
      <c r="B428" s="11">
        <v>9</v>
      </c>
      <c r="C428" s="114" t="s">
        <v>328</v>
      </c>
      <c r="D428" s="59">
        <v>0</v>
      </c>
      <c r="E428" s="11" t="s">
        <v>14</v>
      </c>
      <c r="F428" s="114"/>
      <c r="G428" s="114"/>
      <c r="H428" s="114">
        <f>251.59+37.55</f>
        <v>289.14</v>
      </c>
      <c r="I428" s="114" t="s">
        <v>14</v>
      </c>
      <c r="J428" s="18">
        <v>13</v>
      </c>
      <c r="K428" s="9">
        <f t="shared" ref="K428:K453" si="73">ROUND(H428*J428,0)</f>
        <v>3759</v>
      </c>
      <c r="L428" s="9">
        <f t="shared" ref="L428" si="74">ROUND(IF(K428&gt;G428,K428-G428,0),0)</f>
        <v>3759</v>
      </c>
      <c r="M428" s="9">
        <f t="shared" ref="M428" si="75">ROUND(IF(K428&lt;G428,G428-K428,0),0)</f>
        <v>0</v>
      </c>
      <c r="N428" s="15" t="s">
        <v>415</v>
      </c>
      <c r="O428" s="11" t="s">
        <v>341</v>
      </c>
    </row>
    <row r="429" spans="2:15" x14ac:dyDescent="0.25">
      <c r="K429" s="9"/>
      <c r="L429" s="9">
        <f t="shared" ref="L429:L453" si="76">ROUND(IF(K429&gt;G429,K429-G429,0),0)</f>
        <v>0</v>
      </c>
      <c r="M429" s="9">
        <f t="shared" ref="M429:M453" si="77">ROUND(IF(K429&lt;G429,G429-K429,0),0)</f>
        <v>0</v>
      </c>
      <c r="O429" s="11" t="s">
        <v>341</v>
      </c>
    </row>
    <row r="430" spans="2:15" ht="120" customHeight="1" x14ac:dyDescent="0.25">
      <c r="B430" s="11">
        <v>10</v>
      </c>
      <c r="C430" s="114" t="s">
        <v>329</v>
      </c>
      <c r="D430" s="59">
        <v>0</v>
      </c>
      <c r="E430" s="11" t="s">
        <v>13</v>
      </c>
      <c r="H430" s="10">
        <v>0.59</v>
      </c>
      <c r="I430" s="10" t="s">
        <v>13</v>
      </c>
      <c r="J430" s="18">
        <v>4424</v>
      </c>
      <c r="K430" s="9">
        <f t="shared" si="73"/>
        <v>2610</v>
      </c>
      <c r="L430" s="9">
        <f t="shared" si="76"/>
        <v>2610</v>
      </c>
      <c r="M430" s="9">
        <f t="shared" si="77"/>
        <v>0</v>
      </c>
      <c r="N430" s="15" t="s">
        <v>415</v>
      </c>
      <c r="O430" s="11" t="s">
        <v>341</v>
      </c>
    </row>
    <row r="431" spans="2:15" ht="15.6" x14ac:dyDescent="0.25">
      <c r="C431" s="114"/>
      <c r="K431" s="9"/>
      <c r="L431" s="9">
        <f t="shared" si="76"/>
        <v>0</v>
      </c>
      <c r="M431" s="9">
        <f t="shared" si="77"/>
        <v>0</v>
      </c>
      <c r="O431" s="11" t="s">
        <v>341</v>
      </c>
    </row>
    <row r="432" spans="2:15" ht="247.2" customHeight="1" x14ac:dyDescent="0.25">
      <c r="B432" s="11">
        <v>11</v>
      </c>
      <c r="C432" s="114" t="s">
        <v>330</v>
      </c>
      <c r="D432" s="127">
        <v>0</v>
      </c>
      <c r="E432" s="114" t="s">
        <v>15</v>
      </c>
      <c r="F432" s="114"/>
      <c r="G432" s="114"/>
      <c r="H432" s="114">
        <v>0.3</v>
      </c>
      <c r="I432" s="10" t="s">
        <v>15</v>
      </c>
      <c r="J432" s="18">
        <v>116000</v>
      </c>
      <c r="K432" s="9">
        <f t="shared" si="73"/>
        <v>34800</v>
      </c>
      <c r="L432" s="9">
        <f t="shared" si="76"/>
        <v>34800</v>
      </c>
      <c r="M432" s="9">
        <f t="shared" si="77"/>
        <v>0</v>
      </c>
      <c r="O432" s="11" t="s">
        <v>341</v>
      </c>
    </row>
    <row r="433" spans="2:15" x14ac:dyDescent="0.25">
      <c r="K433" s="9"/>
      <c r="L433" s="9">
        <f t="shared" si="76"/>
        <v>0</v>
      </c>
      <c r="M433" s="9">
        <f t="shared" si="77"/>
        <v>0</v>
      </c>
      <c r="O433" s="11" t="s">
        <v>341</v>
      </c>
    </row>
    <row r="434" spans="2:15" ht="243.6" x14ac:dyDescent="0.25">
      <c r="B434" s="11">
        <v>12</v>
      </c>
      <c r="C434" s="114" t="s">
        <v>331</v>
      </c>
      <c r="D434" s="127">
        <v>0</v>
      </c>
      <c r="E434" s="114" t="s">
        <v>13</v>
      </c>
      <c r="F434" s="114"/>
      <c r="G434" s="114"/>
      <c r="H434" s="114">
        <v>0.75</v>
      </c>
      <c r="I434" s="10" t="s">
        <v>13</v>
      </c>
      <c r="J434" s="18">
        <v>11900</v>
      </c>
      <c r="K434" s="9">
        <f t="shared" si="73"/>
        <v>8925</v>
      </c>
      <c r="L434" s="9">
        <f t="shared" si="76"/>
        <v>8925</v>
      </c>
      <c r="M434" s="9">
        <f t="shared" si="77"/>
        <v>0</v>
      </c>
      <c r="N434" s="15" t="s">
        <v>416</v>
      </c>
      <c r="O434" s="11" t="s">
        <v>341</v>
      </c>
    </row>
    <row r="435" spans="2:15" x14ac:dyDescent="0.25">
      <c r="K435" s="9"/>
      <c r="L435" s="9">
        <f t="shared" si="76"/>
        <v>0</v>
      </c>
      <c r="M435" s="9">
        <f t="shared" si="77"/>
        <v>0</v>
      </c>
      <c r="O435" s="11" t="s">
        <v>341</v>
      </c>
    </row>
    <row r="436" spans="2:15" ht="199.2" customHeight="1" x14ac:dyDescent="0.25">
      <c r="B436" s="11">
        <v>13</v>
      </c>
      <c r="C436" s="115" t="s">
        <v>233</v>
      </c>
      <c r="D436" s="128">
        <v>0</v>
      </c>
      <c r="E436" s="129" t="s">
        <v>16</v>
      </c>
      <c r="F436" s="115"/>
      <c r="G436" s="115"/>
      <c r="H436" s="129">
        <v>174.5</v>
      </c>
      <c r="I436" s="10" t="s">
        <v>16</v>
      </c>
      <c r="J436" s="18">
        <v>162</v>
      </c>
      <c r="K436" s="9">
        <f t="shared" si="73"/>
        <v>28269</v>
      </c>
      <c r="L436" s="9">
        <f t="shared" si="76"/>
        <v>28269</v>
      </c>
      <c r="M436" s="9">
        <f t="shared" si="77"/>
        <v>0</v>
      </c>
      <c r="N436" s="15" t="s">
        <v>417</v>
      </c>
      <c r="O436" s="11" t="s">
        <v>341</v>
      </c>
    </row>
    <row r="437" spans="2:15" x14ac:dyDescent="0.25">
      <c r="K437" s="9"/>
      <c r="L437" s="9">
        <f t="shared" si="76"/>
        <v>0</v>
      </c>
      <c r="M437" s="9">
        <f t="shared" si="77"/>
        <v>0</v>
      </c>
      <c r="O437" s="11" t="s">
        <v>341</v>
      </c>
    </row>
    <row r="438" spans="2:15" ht="171" customHeight="1" x14ac:dyDescent="0.25">
      <c r="B438" s="11">
        <v>14</v>
      </c>
      <c r="C438" s="116" t="s">
        <v>234</v>
      </c>
      <c r="D438" s="130">
        <v>0</v>
      </c>
      <c r="E438" s="116" t="s">
        <v>14</v>
      </c>
      <c r="F438" s="131"/>
      <c r="G438" s="131"/>
      <c r="H438" s="16">
        <v>11.3</v>
      </c>
      <c r="I438" s="10" t="s">
        <v>14</v>
      </c>
      <c r="J438" s="18">
        <v>9055</v>
      </c>
      <c r="K438" s="9">
        <f t="shared" si="73"/>
        <v>102322</v>
      </c>
      <c r="L438" s="9">
        <f t="shared" si="76"/>
        <v>102322</v>
      </c>
      <c r="M438" s="9">
        <f t="shared" si="77"/>
        <v>0</v>
      </c>
      <c r="O438" s="11" t="s">
        <v>341</v>
      </c>
    </row>
    <row r="439" spans="2:15" x14ac:dyDescent="0.25">
      <c r="K439" s="9"/>
      <c r="L439" s="9">
        <f t="shared" si="76"/>
        <v>0</v>
      </c>
      <c r="M439" s="9">
        <f t="shared" si="77"/>
        <v>0</v>
      </c>
      <c r="O439" s="11" t="s">
        <v>341</v>
      </c>
    </row>
    <row r="440" spans="2:15" x14ac:dyDescent="0.25">
      <c r="K440" s="9"/>
      <c r="L440" s="9">
        <f t="shared" si="76"/>
        <v>0</v>
      </c>
      <c r="M440" s="9">
        <f t="shared" si="77"/>
        <v>0</v>
      </c>
      <c r="O440" s="11" t="s">
        <v>341</v>
      </c>
    </row>
    <row r="441" spans="2:15" x14ac:dyDescent="0.25">
      <c r="K441" s="9"/>
      <c r="L441" s="9">
        <f t="shared" si="76"/>
        <v>0</v>
      </c>
      <c r="M441" s="9">
        <f t="shared" si="77"/>
        <v>0</v>
      </c>
      <c r="O441" s="11" t="s">
        <v>341</v>
      </c>
    </row>
    <row r="442" spans="2:15" ht="202.2" customHeight="1" x14ac:dyDescent="0.25">
      <c r="B442" s="11">
        <v>17</v>
      </c>
      <c r="C442" s="117" t="s">
        <v>237</v>
      </c>
      <c r="D442" s="40">
        <v>0</v>
      </c>
      <c r="E442" s="10" t="s">
        <v>14</v>
      </c>
      <c r="F442" s="113"/>
      <c r="G442" s="113"/>
      <c r="H442" s="116">
        <v>13.7</v>
      </c>
      <c r="I442" s="10" t="s">
        <v>14</v>
      </c>
      <c r="J442" s="18">
        <v>1625</v>
      </c>
      <c r="K442" s="9">
        <f t="shared" si="73"/>
        <v>22263</v>
      </c>
      <c r="L442" s="9">
        <f t="shared" si="76"/>
        <v>22263</v>
      </c>
      <c r="M442" s="9">
        <f t="shared" si="77"/>
        <v>0</v>
      </c>
      <c r="N442" s="15" t="s">
        <v>419</v>
      </c>
      <c r="O442" s="11" t="s">
        <v>341</v>
      </c>
    </row>
    <row r="443" spans="2:15" x14ac:dyDescent="0.25">
      <c r="K443" s="9"/>
      <c r="L443" s="9">
        <f t="shared" si="76"/>
        <v>0</v>
      </c>
      <c r="M443" s="9">
        <f t="shared" si="77"/>
        <v>0</v>
      </c>
      <c r="O443" s="11" t="s">
        <v>341</v>
      </c>
    </row>
    <row r="444" spans="2:15" x14ac:dyDescent="0.25">
      <c r="B444" s="113"/>
      <c r="C444" s="113"/>
      <c r="D444" s="113"/>
      <c r="E444" s="113"/>
      <c r="F444" s="113"/>
      <c r="H444" s="11"/>
      <c r="I444" s="11"/>
      <c r="K444" s="9"/>
      <c r="L444" s="9">
        <f t="shared" si="76"/>
        <v>0</v>
      </c>
      <c r="M444" s="9">
        <f t="shared" si="77"/>
        <v>0</v>
      </c>
      <c r="O444" s="11" t="s">
        <v>341</v>
      </c>
    </row>
    <row r="445" spans="2:15" ht="199.2" customHeight="1" x14ac:dyDescent="0.25">
      <c r="B445" s="113">
        <v>18</v>
      </c>
      <c r="C445" s="113" t="s">
        <v>288</v>
      </c>
      <c r="D445" s="40">
        <v>0</v>
      </c>
      <c r="E445" s="10" t="s">
        <v>238</v>
      </c>
      <c r="F445" s="113"/>
      <c r="G445" s="113"/>
      <c r="H445" s="10">
        <v>1</v>
      </c>
      <c r="I445" s="10" t="s">
        <v>238</v>
      </c>
      <c r="J445" s="105">
        <v>56000</v>
      </c>
      <c r="K445" s="9">
        <f t="shared" si="73"/>
        <v>56000</v>
      </c>
      <c r="L445" s="9">
        <f t="shared" si="76"/>
        <v>56000</v>
      </c>
      <c r="M445" s="9">
        <f t="shared" si="77"/>
        <v>0</v>
      </c>
      <c r="O445" s="11" t="s">
        <v>341</v>
      </c>
    </row>
    <row r="446" spans="2:15" x14ac:dyDescent="0.25">
      <c r="B446" s="113"/>
      <c r="C446" s="113"/>
      <c r="D446" s="113"/>
      <c r="E446" s="113"/>
      <c r="F446" s="113"/>
      <c r="H446" s="11"/>
      <c r="I446" s="11"/>
      <c r="K446" s="9"/>
      <c r="L446" s="9">
        <f t="shared" si="76"/>
        <v>0</v>
      </c>
      <c r="M446" s="9">
        <f t="shared" si="77"/>
        <v>0</v>
      </c>
      <c r="O446" s="11" t="s">
        <v>341</v>
      </c>
    </row>
    <row r="447" spans="2:15" x14ac:dyDescent="0.25">
      <c r="B447" s="113"/>
      <c r="C447" s="113"/>
      <c r="D447" s="113"/>
      <c r="E447" s="113"/>
      <c r="F447" s="113"/>
      <c r="K447" s="9"/>
      <c r="L447" s="9">
        <f t="shared" si="76"/>
        <v>0</v>
      </c>
      <c r="M447" s="9">
        <f t="shared" si="77"/>
        <v>0</v>
      </c>
      <c r="O447" s="11" t="s">
        <v>341</v>
      </c>
    </row>
    <row r="448" spans="2:15" ht="360" x14ac:dyDescent="0.25">
      <c r="B448" s="113">
        <v>19</v>
      </c>
      <c r="C448" s="117" t="s">
        <v>239</v>
      </c>
      <c r="D448" s="40">
        <v>0</v>
      </c>
      <c r="E448" s="10" t="s">
        <v>14</v>
      </c>
      <c r="F448" s="113"/>
      <c r="G448" s="113"/>
      <c r="H448" s="116">
        <v>32.08</v>
      </c>
      <c r="I448" s="10" t="s">
        <v>14</v>
      </c>
      <c r="J448" s="105">
        <v>9241</v>
      </c>
      <c r="K448" s="9">
        <f t="shared" si="73"/>
        <v>296451</v>
      </c>
      <c r="L448" s="9">
        <f t="shared" si="76"/>
        <v>296451</v>
      </c>
      <c r="M448" s="9">
        <f t="shared" si="77"/>
        <v>0</v>
      </c>
      <c r="N448" s="15" t="s">
        <v>420</v>
      </c>
      <c r="O448" s="11" t="s">
        <v>341</v>
      </c>
    </row>
    <row r="449" spans="2:15" ht="360" x14ac:dyDescent="0.25">
      <c r="B449" s="113">
        <v>20</v>
      </c>
      <c r="C449" s="54" t="s">
        <v>279</v>
      </c>
      <c r="D449" s="40">
        <v>0</v>
      </c>
      <c r="E449" s="16" t="s">
        <v>14</v>
      </c>
      <c r="F449" s="113"/>
      <c r="H449" s="10">
        <v>9.2100000000000009</v>
      </c>
      <c r="I449" s="10" t="s">
        <v>14</v>
      </c>
      <c r="J449" s="10">
        <v>6734</v>
      </c>
      <c r="K449" s="9">
        <f t="shared" si="73"/>
        <v>62020</v>
      </c>
      <c r="L449" s="9">
        <f t="shared" si="76"/>
        <v>62020</v>
      </c>
      <c r="M449" s="9">
        <f t="shared" si="77"/>
        <v>0</v>
      </c>
      <c r="N449" s="15" t="s">
        <v>421</v>
      </c>
      <c r="O449" s="11" t="s">
        <v>341</v>
      </c>
    </row>
    <row r="450" spans="2:15" x14ac:dyDescent="0.25">
      <c r="B450" s="113"/>
      <c r="C450" s="54"/>
      <c r="D450" s="40"/>
      <c r="E450" s="16"/>
      <c r="F450" s="113"/>
      <c r="J450" s="10"/>
      <c r="K450" s="9"/>
      <c r="L450" s="9">
        <f t="shared" si="76"/>
        <v>0</v>
      </c>
      <c r="M450" s="9">
        <f t="shared" si="77"/>
        <v>0</v>
      </c>
      <c r="O450" s="11" t="s">
        <v>341</v>
      </c>
    </row>
    <row r="451" spans="2:15" ht="153.6" customHeight="1" x14ac:dyDescent="0.25">
      <c r="B451" s="113">
        <v>21</v>
      </c>
      <c r="C451" s="79" t="s">
        <v>286</v>
      </c>
      <c r="D451" s="40">
        <v>0</v>
      </c>
      <c r="E451" s="16" t="s">
        <v>14</v>
      </c>
      <c r="F451" s="113"/>
      <c r="H451" s="10">
        <v>39.78</v>
      </c>
      <c r="I451" s="10" t="s">
        <v>14</v>
      </c>
      <c r="J451" s="10">
        <v>1569</v>
      </c>
      <c r="K451" s="9">
        <f t="shared" si="73"/>
        <v>62415</v>
      </c>
      <c r="L451" s="9">
        <f t="shared" si="76"/>
        <v>62415</v>
      </c>
      <c r="M451" s="9">
        <f t="shared" si="77"/>
        <v>0</v>
      </c>
      <c r="N451" s="15" t="s">
        <v>422</v>
      </c>
      <c r="O451" s="11" t="s">
        <v>341</v>
      </c>
    </row>
    <row r="452" spans="2:15" x14ac:dyDescent="0.25">
      <c r="B452" s="113"/>
      <c r="C452" s="54"/>
      <c r="D452" s="113"/>
      <c r="E452" s="113"/>
      <c r="F452" s="113"/>
      <c r="J452" s="11"/>
      <c r="K452" s="9"/>
      <c r="L452" s="9">
        <f t="shared" si="76"/>
        <v>0</v>
      </c>
      <c r="M452" s="9">
        <f t="shared" si="77"/>
        <v>0</v>
      </c>
      <c r="O452" s="11" t="s">
        <v>341</v>
      </c>
    </row>
    <row r="453" spans="2:15" ht="171" customHeight="1" x14ac:dyDescent="0.25">
      <c r="B453" s="113">
        <v>22</v>
      </c>
      <c r="C453" s="7" t="s">
        <v>287</v>
      </c>
      <c r="D453" s="16">
        <v>0</v>
      </c>
      <c r="E453" s="16" t="s">
        <v>238</v>
      </c>
      <c r="F453" s="113"/>
      <c r="H453" s="14">
        <v>1</v>
      </c>
      <c r="I453" s="10" t="s">
        <v>238</v>
      </c>
      <c r="J453" s="10">
        <v>75000</v>
      </c>
      <c r="K453" s="9">
        <f t="shared" si="73"/>
        <v>75000</v>
      </c>
      <c r="L453" s="9">
        <f t="shared" si="76"/>
        <v>75000</v>
      </c>
      <c r="M453" s="9">
        <f t="shared" si="77"/>
        <v>0</v>
      </c>
      <c r="N453" s="15" t="s">
        <v>423</v>
      </c>
      <c r="O453" s="11" t="s">
        <v>341</v>
      </c>
    </row>
    <row r="454" spans="2:15" x14ac:dyDescent="0.25">
      <c r="B454" s="113"/>
      <c r="C454" s="54"/>
      <c r="D454" s="113"/>
      <c r="E454" s="113"/>
      <c r="F454" s="113"/>
      <c r="J454" s="11"/>
      <c r="K454" s="9"/>
      <c r="L454" s="9"/>
      <c r="M454" s="9"/>
      <c r="O454" s="11" t="s">
        <v>341</v>
      </c>
    </row>
    <row r="455" spans="2:15" ht="15.6" x14ac:dyDescent="0.25">
      <c r="B455" s="113"/>
      <c r="C455" s="54"/>
      <c r="D455" s="113"/>
      <c r="E455" s="113"/>
      <c r="F455" s="113"/>
      <c r="J455" s="62" t="s">
        <v>278</v>
      </c>
      <c r="K455" s="62">
        <f>SUM(K428:K453)</f>
        <v>754834</v>
      </c>
      <c r="L455" s="62">
        <f>SUM(L428:L453)</f>
        <v>754834</v>
      </c>
    </row>
    <row r="456" spans="2:15" ht="17.399999999999999" x14ac:dyDescent="0.25">
      <c r="C456" s="36" t="s">
        <v>280</v>
      </c>
      <c r="D456" s="37"/>
      <c r="E456" s="8"/>
      <c r="F456" s="38"/>
      <c r="G456" s="39"/>
      <c r="H456" s="40"/>
      <c r="I456" s="37"/>
      <c r="J456" s="41"/>
      <c r="K456" s="41"/>
      <c r="L456" s="42"/>
      <c r="M456" s="41"/>
      <c r="N456" s="43"/>
    </row>
    <row r="457" spans="2:15" ht="156.6" customHeight="1" x14ac:dyDescent="0.25">
      <c r="B457" s="11">
        <v>23</v>
      </c>
      <c r="C457" s="44" t="s">
        <v>255</v>
      </c>
      <c r="D457" s="40">
        <v>0</v>
      </c>
      <c r="E457" s="49" t="s">
        <v>16</v>
      </c>
      <c r="F457" s="50"/>
      <c r="G457" s="50"/>
      <c r="H457" s="61">
        <v>35.1</v>
      </c>
      <c r="I457" s="51" t="s">
        <v>16</v>
      </c>
      <c r="J457" s="60">
        <v>599</v>
      </c>
      <c r="K457" s="9">
        <f t="shared" ref="K457" si="78">ROUND(H457*J457,0)</f>
        <v>21025</v>
      </c>
      <c r="L457" s="9">
        <f t="shared" ref="L457" si="79">ROUND(IF(K457&gt;G457,K457-G457,0),0)</f>
        <v>21025</v>
      </c>
      <c r="M457" s="9">
        <f t="shared" ref="M457" si="80">ROUND(IF(K457&lt;G457,G457-K457,0),0)</f>
        <v>0</v>
      </c>
      <c r="N457" s="48" t="s">
        <v>424</v>
      </c>
      <c r="O457" s="11" t="s">
        <v>342</v>
      </c>
    </row>
    <row r="458" spans="2:15" ht="15.6" x14ac:dyDescent="0.25">
      <c r="C458" s="44"/>
      <c r="D458" s="40"/>
      <c r="E458" s="49"/>
      <c r="F458" s="50"/>
      <c r="G458" s="50"/>
      <c r="H458" s="61"/>
      <c r="I458" s="51"/>
      <c r="J458" s="62" t="s">
        <v>278</v>
      </c>
      <c r="K458" s="62">
        <f>SUM(K457:K457)</f>
        <v>21025</v>
      </c>
      <c r="L458" s="62">
        <f>SUM(L457:L457)</f>
        <v>21025</v>
      </c>
      <c r="M458" s="46"/>
      <c r="N458" s="48"/>
    </row>
    <row r="459" spans="2:15" ht="17.399999999999999" x14ac:dyDescent="0.25">
      <c r="C459" s="139" t="s">
        <v>250</v>
      </c>
      <c r="K459" s="11"/>
      <c r="L459" s="11"/>
    </row>
    <row r="460" spans="2:15" ht="123.6" customHeight="1" x14ac:dyDescent="0.25">
      <c r="B460" s="11">
        <v>24</v>
      </c>
      <c r="C460" s="118" t="s">
        <v>240</v>
      </c>
      <c r="D460" s="40">
        <v>0</v>
      </c>
      <c r="E460" s="132" t="s">
        <v>238</v>
      </c>
      <c r="F460" s="133"/>
      <c r="G460" s="133"/>
      <c r="H460" s="132">
        <v>12</v>
      </c>
      <c r="I460" s="132" t="s">
        <v>238</v>
      </c>
      <c r="J460" s="18">
        <v>17241</v>
      </c>
      <c r="K460" s="9">
        <f t="shared" ref="K460:K478" si="81">ROUND(H460*J460,0)</f>
        <v>206892</v>
      </c>
      <c r="L460" s="9">
        <f t="shared" ref="L460" si="82">ROUND(IF(K460&gt;G460,K460-G460,0),0)</f>
        <v>206892</v>
      </c>
      <c r="M460" s="9">
        <f t="shared" ref="M460" si="83">ROUND(IF(K460&lt;G460,G460-K460,0),0)</f>
        <v>0</v>
      </c>
      <c r="N460" s="15" t="s">
        <v>425</v>
      </c>
      <c r="O460" s="11" t="s">
        <v>343</v>
      </c>
    </row>
    <row r="461" spans="2:15" x14ac:dyDescent="0.25">
      <c r="K461" s="9"/>
      <c r="L461" s="9">
        <f t="shared" ref="L461:L478" si="84">ROUND(IF(K461&gt;G461,K461-G461,0),0)</f>
        <v>0</v>
      </c>
      <c r="M461" s="9">
        <f t="shared" ref="M461:M478" si="85">ROUND(IF(K461&lt;G461,G461-K461,0),0)</f>
        <v>0</v>
      </c>
      <c r="O461" s="11" t="s">
        <v>343</v>
      </c>
    </row>
    <row r="462" spans="2:15" ht="165.6" customHeight="1" x14ac:dyDescent="0.25">
      <c r="B462" s="11">
        <v>25</v>
      </c>
      <c r="C462" s="119" t="s">
        <v>241</v>
      </c>
      <c r="D462" s="40">
        <v>0</v>
      </c>
      <c r="E462" s="8" t="s">
        <v>238</v>
      </c>
      <c r="F462" s="134"/>
      <c r="G462" s="134"/>
      <c r="H462" s="8">
        <v>25</v>
      </c>
      <c r="I462" s="8" t="s">
        <v>238</v>
      </c>
      <c r="J462" s="18">
        <v>4317</v>
      </c>
      <c r="K462" s="9">
        <f t="shared" si="81"/>
        <v>107925</v>
      </c>
      <c r="L462" s="9">
        <f t="shared" si="84"/>
        <v>107925</v>
      </c>
      <c r="M462" s="9">
        <f t="shared" si="85"/>
        <v>0</v>
      </c>
      <c r="N462" s="15" t="s">
        <v>426</v>
      </c>
      <c r="O462" s="11" t="s">
        <v>343</v>
      </c>
    </row>
    <row r="463" spans="2:15" x14ac:dyDescent="0.25">
      <c r="K463" s="9"/>
      <c r="L463" s="9">
        <f t="shared" si="84"/>
        <v>0</v>
      </c>
      <c r="M463" s="9">
        <f t="shared" si="85"/>
        <v>0</v>
      </c>
      <c r="O463" s="11" t="s">
        <v>343</v>
      </c>
    </row>
    <row r="464" spans="2:15" ht="105" x14ac:dyDescent="0.25">
      <c r="B464" s="11">
        <v>26</v>
      </c>
      <c r="C464" s="119" t="s">
        <v>242</v>
      </c>
      <c r="D464" s="40">
        <v>0</v>
      </c>
      <c r="E464" s="8" t="s">
        <v>238</v>
      </c>
      <c r="F464" s="134"/>
      <c r="G464" s="134"/>
      <c r="H464" s="8">
        <v>25</v>
      </c>
      <c r="I464" s="8" t="s">
        <v>238</v>
      </c>
      <c r="J464" s="18">
        <v>185</v>
      </c>
      <c r="K464" s="9">
        <f t="shared" si="81"/>
        <v>4625</v>
      </c>
      <c r="L464" s="9">
        <f t="shared" si="84"/>
        <v>4625</v>
      </c>
      <c r="M464" s="9">
        <f t="shared" si="85"/>
        <v>0</v>
      </c>
      <c r="N464" s="15" t="s">
        <v>427</v>
      </c>
      <c r="O464" s="11" t="s">
        <v>343</v>
      </c>
    </row>
    <row r="465" spans="2:15" x14ac:dyDescent="0.25">
      <c r="K465" s="9"/>
      <c r="L465" s="9">
        <f t="shared" si="84"/>
        <v>0</v>
      </c>
      <c r="M465" s="9">
        <f t="shared" si="85"/>
        <v>0</v>
      </c>
      <c r="O465" s="11" t="s">
        <v>343</v>
      </c>
    </row>
    <row r="466" spans="2:15" ht="34.200000000000003" customHeight="1" x14ac:dyDescent="0.25">
      <c r="B466" s="11">
        <v>27</v>
      </c>
      <c r="C466" s="174" t="s">
        <v>243</v>
      </c>
      <c r="D466" s="40">
        <v>0</v>
      </c>
      <c r="E466" s="8" t="s">
        <v>238</v>
      </c>
      <c r="F466" s="134"/>
      <c r="G466" s="134"/>
      <c r="H466" s="8">
        <v>25</v>
      </c>
      <c r="I466" s="8" t="s">
        <v>238</v>
      </c>
      <c r="J466" s="18">
        <v>122</v>
      </c>
      <c r="K466" s="9">
        <f t="shared" si="81"/>
        <v>3050</v>
      </c>
      <c r="L466" s="9">
        <f t="shared" si="84"/>
        <v>3050</v>
      </c>
      <c r="M466" s="9">
        <f t="shared" si="85"/>
        <v>0</v>
      </c>
      <c r="O466" s="11" t="s">
        <v>343</v>
      </c>
    </row>
    <row r="467" spans="2:15" x14ac:dyDescent="0.25">
      <c r="K467" s="9"/>
      <c r="L467" s="9">
        <f t="shared" si="84"/>
        <v>0</v>
      </c>
      <c r="M467" s="9">
        <f t="shared" si="85"/>
        <v>0</v>
      </c>
      <c r="O467" s="11" t="s">
        <v>343</v>
      </c>
    </row>
    <row r="468" spans="2:15" ht="63.6" customHeight="1" x14ac:dyDescent="0.25">
      <c r="B468" s="11">
        <v>28</v>
      </c>
      <c r="C468" s="118" t="s">
        <v>244</v>
      </c>
      <c r="D468" s="40">
        <v>0</v>
      </c>
      <c r="E468" s="8" t="s">
        <v>238</v>
      </c>
      <c r="F468" s="133"/>
      <c r="G468" s="133"/>
      <c r="H468" s="132">
        <v>18</v>
      </c>
      <c r="I468" s="132" t="s">
        <v>238</v>
      </c>
      <c r="J468" s="18">
        <v>1178</v>
      </c>
      <c r="K468" s="9">
        <f t="shared" si="81"/>
        <v>21204</v>
      </c>
      <c r="L468" s="9">
        <f t="shared" si="84"/>
        <v>21204</v>
      </c>
      <c r="M468" s="9">
        <f t="shared" si="85"/>
        <v>0</v>
      </c>
      <c r="N468" s="15" t="s">
        <v>428</v>
      </c>
      <c r="O468" s="11" t="s">
        <v>343</v>
      </c>
    </row>
    <row r="469" spans="2:15" x14ac:dyDescent="0.25">
      <c r="K469" s="9"/>
      <c r="L469" s="9">
        <f t="shared" si="84"/>
        <v>0</v>
      </c>
      <c r="M469" s="9">
        <f t="shared" si="85"/>
        <v>0</v>
      </c>
      <c r="O469" s="11" t="s">
        <v>343</v>
      </c>
    </row>
    <row r="470" spans="2:15" ht="75.599999999999994" customHeight="1" x14ac:dyDescent="0.25">
      <c r="B470" s="11">
        <v>29</v>
      </c>
      <c r="C470" s="120" t="s">
        <v>245</v>
      </c>
      <c r="D470" s="40">
        <v>0</v>
      </c>
      <c r="E470" s="8" t="s">
        <v>238</v>
      </c>
      <c r="F470" s="135"/>
      <c r="G470" s="135"/>
      <c r="H470" s="136">
        <v>25</v>
      </c>
      <c r="I470" s="136" t="s">
        <v>238</v>
      </c>
      <c r="J470" s="18">
        <v>162</v>
      </c>
      <c r="K470" s="9">
        <f t="shared" si="81"/>
        <v>4050</v>
      </c>
      <c r="L470" s="9">
        <f t="shared" si="84"/>
        <v>4050</v>
      </c>
      <c r="M470" s="9">
        <f t="shared" si="85"/>
        <v>0</v>
      </c>
      <c r="N470" s="15" t="s">
        <v>429</v>
      </c>
      <c r="O470" s="11" t="s">
        <v>343</v>
      </c>
    </row>
    <row r="471" spans="2:15" x14ac:dyDescent="0.25">
      <c r="K471" s="9"/>
      <c r="L471" s="9">
        <f t="shared" si="84"/>
        <v>0</v>
      </c>
      <c r="M471" s="9">
        <f t="shared" si="85"/>
        <v>0</v>
      </c>
      <c r="O471" s="11" t="s">
        <v>343</v>
      </c>
    </row>
    <row r="472" spans="2:15" ht="93.6" customHeight="1" x14ac:dyDescent="0.25">
      <c r="B472" s="11">
        <v>30</v>
      </c>
      <c r="C472" s="118" t="s">
        <v>246</v>
      </c>
      <c r="D472" s="40">
        <v>0</v>
      </c>
      <c r="E472" s="8" t="s">
        <v>238</v>
      </c>
      <c r="F472" s="133"/>
      <c r="G472" s="133"/>
      <c r="H472" s="132">
        <v>2</v>
      </c>
      <c r="I472" s="132" t="s">
        <v>238</v>
      </c>
      <c r="J472" s="18">
        <v>9444</v>
      </c>
      <c r="K472" s="9">
        <f t="shared" si="81"/>
        <v>18888</v>
      </c>
      <c r="L472" s="9">
        <f t="shared" si="84"/>
        <v>18888</v>
      </c>
      <c r="M472" s="9">
        <f t="shared" si="85"/>
        <v>0</v>
      </c>
      <c r="N472" s="15" t="s">
        <v>430</v>
      </c>
      <c r="O472" s="11" t="s">
        <v>343</v>
      </c>
    </row>
    <row r="473" spans="2:15" x14ac:dyDescent="0.25">
      <c r="K473" s="9"/>
      <c r="L473" s="9">
        <f t="shared" si="84"/>
        <v>0</v>
      </c>
      <c r="M473" s="9">
        <f t="shared" si="85"/>
        <v>0</v>
      </c>
      <c r="O473" s="11" t="s">
        <v>343</v>
      </c>
    </row>
    <row r="474" spans="2:15" ht="92.4" customHeight="1" x14ac:dyDescent="0.25">
      <c r="B474" s="11">
        <v>31</v>
      </c>
      <c r="C474" s="121" t="s">
        <v>247</v>
      </c>
      <c r="D474" s="40">
        <v>0</v>
      </c>
      <c r="E474" s="8" t="s">
        <v>238</v>
      </c>
      <c r="F474" s="137"/>
      <c r="G474" s="137"/>
      <c r="H474" s="138">
        <v>8</v>
      </c>
      <c r="I474" s="138" t="s">
        <v>238</v>
      </c>
      <c r="J474" s="18">
        <v>5085</v>
      </c>
      <c r="K474" s="9">
        <f t="shared" si="81"/>
        <v>40680</v>
      </c>
      <c r="L474" s="9">
        <f t="shared" si="84"/>
        <v>40680</v>
      </c>
      <c r="M474" s="9">
        <f t="shared" si="85"/>
        <v>0</v>
      </c>
      <c r="N474" s="15" t="s">
        <v>431</v>
      </c>
      <c r="O474" s="11" t="s">
        <v>343</v>
      </c>
    </row>
    <row r="475" spans="2:15" x14ac:dyDescent="0.25">
      <c r="K475" s="9"/>
      <c r="L475" s="9">
        <f t="shared" si="84"/>
        <v>0</v>
      </c>
      <c r="M475" s="9">
        <f t="shared" si="85"/>
        <v>0</v>
      </c>
      <c r="O475" s="11" t="s">
        <v>343</v>
      </c>
    </row>
    <row r="476" spans="2:15" ht="105" x14ac:dyDescent="0.25">
      <c r="B476" s="11">
        <v>32</v>
      </c>
      <c r="C476" s="119" t="s">
        <v>248</v>
      </c>
      <c r="D476" s="40">
        <v>0</v>
      </c>
      <c r="E476" s="8" t="s">
        <v>238</v>
      </c>
      <c r="F476" s="134"/>
      <c r="G476" s="134"/>
      <c r="H476" s="8">
        <v>2</v>
      </c>
      <c r="I476" s="8" t="s">
        <v>238</v>
      </c>
      <c r="J476" s="18">
        <v>4203</v>
      </c>
      <c r="K476" s="9">
        <f t="shared" si="81"/>
        <v>8406</v>
      </c>
      <c r="L476" s="9">
        <f t="shared" si="84"/>
        <v>8406</v>
      </c>
      <c r="M476" s="9">
        <f t="shared" si="85"/>
        <v>0</v>
      </c>
      <c r="N476" s="15" t="s">
        <v>432</v>
      </c>
      <c r="O476" s="11" t="s">
        <v>343</v>
      </c>
    </row>
    <row r="477" spans="2:15" x14ac:dyDescent="0.25">
      <c r="K477" s="9"/>
      <c r="L477" s="9">
        <f t="shared" si="84"/>
        <v>0</v>
      </c>
      <c r="M477" s="9">
        <f t="shared" si="85"/>
        <v>0</v>
      </c>
      <c r="O477" s="11" t="s">
        <v>343</v>
      </c>
    </row>
    <row r="478" spans="2:15" ht="195" x14ac:dyDescent="0.25">
      <c r="B478" s="11">
        <v>33</v>
      </c>
      <c r="C478" s="175" t="s">
        <v>249</v>
      </c>
      <c r="D478" s="40">
        <v>0</v>
      </c>
      <c r="E478" s="8" t="s">
        <v>238</v>
      </c>
      <c r="F478" s="134"/>
      <c r="G478" s="134"/>
      <c r="H478" s="8">
        <v>1</v>
      </c>
      <c r="I478" s="8" t="s">
        <v>238</v>
      </c>
      <c r="J478" s="105">
        <v>35000</v>
      </c>
      <c r="K478" s="9">
        <f t="shared" si="81"/>
        <v>35000</v>
      </c>
      <c r="L478" s="9">
        <f t="shared" si="84"/>
        <v>35000</v>
      </c>
      <c r="M478" s="9">
        <f t="shared" si="85"/>
        <v>0</v>
      </c>
      <c r="O478" s="11" t="s">
        <v>343</v>
      </c>
    </row>
    <row r="479" spans="2:15" ht="15.6" x14ac:dyDescent="0.25">
      <c r="J479" s="62" t="s">
        <v>278</v>
      </c>
      <c r="K479" s="62">
        <f>SUM(K460:K478)</f>
        <v>450720</v>
      </c>
      <c r="L479" s="62">
        <f>SUM(L460:L478)</f>
        <v>450720</v>
      </c>
    </row>
    <row r="480" spans="2:15" ht="17.399999999999999" x14ac:dyDescent="0.25">
      <c r="C480" s="36" t="s">
        <v>282</v>
      </c>
      <c r="D480" s="37"/>
      <c r="E480" s="8"/>
      <c r="F480" s="18"/>
      <c r="H480" s="14"/>
      <c r="I480" s="37"/>
      <c r="J480" s="41"/>
      <c r="K480" s="41"/>
      <c r="L480" s="42"/>
      <c r="M480" s="41"/>
      <c r="N480" s="43"/>
    </row>
    <row r="481" spans="2:16" ht="240" x14ac:dyDescent="0.25">
      <c r="B481" s="11">
        <v>34</v>
      </c>
      <c r="C481" s="54" t="s">
        <v>265</v>
      </c>
      <c r="D481" s="40">
        <v>0</v>
      </c>
      <c r="E481" s="49" t="s">
        <v>238</v>
      </c>
      <c r="F481" s="50"/>
      <c r="G481" s="50"/>
      <c r="H481" s="45">
        <v>1</v>
      </c>
      <c r="I481" s="51" t="s">
        <v>238</v>
      </c>
      <c r="J481" s="47">
        <v>291366</v>
      </c>
      <c r="K481" s="9">
        <f t="shared" ref="K481" si="86">ROUND(H481*J481,0)</f>
        <v>291366</v>
      </c>
      <c r="L481" s="9">
        <f t="shared" ref="L481" si="87">ROUND(IF(K481&gt;G481,K481-G481,0),0)</f>
        <v>291366</v>
      </c>
      <c r="M481" s="9">
        <f t="shared" ref="M481" si="88">ROUND(IF(K481&lt;G481,G481-K481,0),0)</f>
        <v>0</v>
      </c>
      <c r="N481" s="48" t="s">
        <v>433</v>
      </c>
      <c r="O481" s="11" t="s">
        <v>344</v>
      </c>
    </row>
    <row r="482" spans="2:16" ht="15.6" x14ac:dyDescent="0.25">
      <c r="C482" s="54"/>
      <c r="D482" s="40"/>
      <c r="E482" s="49"/>
      <c r="F482" s="50"/>
      <c r="G482" s="50"/>
      <c r="H482" s="45"/>
      <c r="I482" s="51"/>
      <c r="J482" s="62" t="s">
        <v>278</v>
      </c>
      <c r="K482" s="62">
        <f>SUM(K481)</f>
        <v>291366</v>
      </c>
      <c r="L482" s="62">
        <f>SUM(L481)</f>
        <v>291366</v>
      </c>
      <c r="M482" s="46"/>
      <c r="N482" s="48"/>
    </row>
    <row r="483" spans="2:16" ht="17.399999999999999" x14ac:dyDescent="0.25">
      <c r="C483" s="36" t="s">
        <v>281</v>
      </c>
      <c r="K483" s="11"/>
      <c r="L483" s="11"/>
    </row>
    <row r="484" spans="2:16" ht="330" x14ac:dyDescent="0.25">
      <c r="B484" s="11">
        <v>35</v>
      </c>
      <c r="C484" s="113" t="s">
        <v>327</v>
      </c>
      <c r="D484" s="40">
        <v>0</v>
      </c>
      <c r="E484" s="10" t="s">
        <v>238</v>
      </c>
      <c r="F484" s="113"/>
      <c r="G484" s="113"/>
      <c r="H484" s="16">
        <v>1</v>
      </c>
      <c r="I484" s="10" t="s">
        <v>238</v>
      </c>
      <c r="J484" s="17">
        <v>446250</v>
      </c>
      <c r="K484" s="9">
        <f t="shared" ref="K484:K490" si="89">ROUND(H484*J484,0)</f>
        <v>446250</v>
      </c>
      <c r="L484" s="9">
        <f t="shared" ref="L484" si="90">ROUND(IF(K484&gt;G484,K484-G484,0),0)</f>
        <v>446250</v>
      </c>
      <c r="M484" s="9">
        <f t="shared" ref="M484" si="91">ROUND(IF(K484&lt;G484,G484-K484,0),0)</f>
        <v>0</v>
      </c>
      <c r="N484" s="15" t="s">
        <v>435</v>
      </c>
      <c r="O484" s="11" t="s">
        <v>345</v>
      </c>
    </row>
    <row r="485" spans="2:16" x14ac:dyDescent="0.25">
      <c r="K485" s="9"/>
      <c r="L485" s="9">
        <f t="shared" ref="L485:L490" si="92">ROUND(IF(K485&gt;G485,K485-G485,0),0)</f>
        <v>0</v>
      </c>
      <c r="M485" s="9">
        <f t="shared" ref="M485:M490" si="93">ROUND(IF(K485&lt;G485,G485-K485,0),0)</f>
        <v>0</v>
      </c>
      <c r="O485" s="11" t="s">
        <v>345</v>
      </c>
    </row>
    <row r="486" spans="2:16" ht="150" x14ac:dyDescent="0.25">
      <c r="B486" s="11">
        <v>36</v>
      </c>
      <c r="C486" s="113" t="s">
        <v>252</v>
      </c>
      <c r="D486" s="40">
        <v>0</v>
      </c>
      <c r="E486" s="113"/>
      <c r="F486" s="113"/>
      <c r="G486" s="113"/>
      <c r="H486" s="16">
        <v>2</v>
      </c>
      <c r="I486" s="10" t="s">
        <v>238</v>
      </c>
      <c r="J486" s="18">
        <v>45000</v>
      </c>
      <c r="K486" s="9">
        <f t="shared" si="89"/>
        <v>90000</v>
      </c>
      <c r="L486" s="9">
        <f t="shared" si="92"/>
        <v>90000</v>
      </c>
      <c r="M486" s="9">
        <f t="shared" si="93"/>
        <v>0</v>
      </c>
      <c r="N486" s="15" t="s">
        <v>436</v>
      </c>
      <c r="O486" s="11" t="s">
        <v>345</v>
      </c>
    </row>
    <row r="487" spans="2:16" x14ac:dyDescent="0.25">
      <c r="K487" s="9"/>
      <c r="L487" s="9">
        <f t="shared" si="92"/>
        <v>0</v>
      </c>
      <c r="M487" s="9">
        <f t="shared" si="93"/>
        <v>0</v>
      </c>
      <c r="O487" s="11" t="s">
        <v>345</v>
      </c>
    </row>
    <row r="488" spans="2:16" ht="300" x14ac:dyDescent="0.25">
      <c r="B488" s="11">
        <v>37</v>
      </c>
      <c r="C488" s="113" t="s">
        <v>253</v>
      </c>
      <c r="D488" s="40">
        <v>0</v>
      </c>
      <c r="E488" s="10" t="s">
        <v>238</v>
      </c>
      <c r="F488" s="113"/>
      <c r="G488" s="113"/>
      <c r="H488" s="16">
        <v>1</v>
      </c>
      <c r="I488" s="10" t="s">
        <v>238</v>
      </c>
      <c r="J488" s="18">
        <v>708000</v>
      </c>
      <c r="K488" s="9">
        <f t="shared" si="89"/>
        <v>708000</v>
      </c>
      <c r="L488" s="9">
        <f t="shared" si="92"/>
        <v>708000</v>
      </c>
      <c r="M488" s="9">
        <f t="shared" si="93"/>
        <v>0</v>
      </c>
      <c r="N488" s="15" t="s">
        <v>434</v>
      </c>
      <c r="O488" s="11" t="s">
        <v>345</v>
      </c>
      <c r="P488" s="11">
        <f>590000*120%</f>
        <v>708000</v>
      </c>
    </row>
    <row r="489" spans="2:16" x14ac:dyDescent="0.25">
      <c r="K489" s="9"/>
      <c r="L489" s="9">
        <f t="shared" si="92"/>
        <v>0</v>
      </c>
      <c r="M489" s="9">
        <f t="shared" si="93"/>
        <v>0</v>
      </c>
      <c r="O489" s="11" t="s">
        <v>345</v>
      </c>
    </row>
    <row r="490" spans="2:16" ht="198.6" customHeight="1" x14ac:dyDescent="0.25">
      <c r="B490" s="11">
        <v>38</v>
      </c>
      <c r="C490" s="113" t="s">
        <v>254</v>
      </c>
      <c r="D490" s="40">
        <v>0</v>
      </c>
      <c r="E490" s="10" t="s">
        <v>238</v>
      </c>
      <c r="F490" s="113"/>
      <c r="G490" s="113"/>
      <c r="H490" s="16">
        <v>2</v>
      </c>
      <c r="I490" s="10" t="s">
        <v>238</v>
      </c>
      <c r="J490" s="18">
        <v>218400</v>
      </c>
      <c r="K490" s="9">
        <f t="shared" si="89"/>
        <v>436800</v>
      </c>
      <c r="L490" s="9">
        <f t="shared" si="92"/>
        <v>436800</v>
      </c>
      <c r="M490" s="9">
        <f t="shared" si="93"/>
        <v>0</v>
      </c>
      <c r="N490" s="15" t="s">
        <v>437</v>
      </c>
      <c r="O490" s="11" t="s">
        <v>345</v>
      </c>
      <c r="P490" s="11">
        <f>182000*120%</f>
        <v>218400</v>
      </c>
    </row>
    <row r="491" spans="2:16" ht="117" customHeight="1" x14ac:dyDescent="0.25">
      <c r="B491" s="11">
        <v>38</v>
      </c>
      <c r="C491" s="117" t="s">
        <v>235</v>
      </c>
      <c r="D491" s="40">
        <v>0</v>
      </c>
      <c r="E491" s="16" t="s">
        <v>16</v>
      </c>
      <c r="F491" s="113"/>
      <c r="G491" s="113"/>
      <c r="H491" s="16">
        <v>62.2</v>
      </c>
      <c r="I491" s="10" t="s">
        <v>16</v>
      </c>
      <c r="K491" s="9"/>
      <c r="L491" s="9">
        <f>ROUND(IF(K491&gt;G491,K491-G491,0),0)</f>
        <v>0</v>
      </c>
      <c r="M491" s="9">
        <f>ROUND(IF(K491&lt;G491,G491-K491,0),0)</f>
        <v>0</v>
      </c>
      <c r="N491" s="15" t="s">
        <v>418</v>
      </c>
      <c r="O491" s="11" t="s">
        <v>341</v>
      </c>
    </row>
    <row r="492" spans="2:16" ht="107.4" customHeight="1" x14ac:dyDescent="0.25">
      <c r="B492" s="11">
        <v>16</v>
      </c>
      <c r="C492" s="117" t="s">
        <v>236</v>
      </c>
      <c r="D492" s="40">
        <v>0</v>
      </c>
      <c r="E492" s="16" t="s">
        <v>16</v>
      </c>
      <c r="F492" s="113"/>
      <c r="G492" s="113"/>
      <c r="H492" s="16">
        <v>29.56</v>
      </c>
      <c r="I492" s="10" t="s">
        <v>16</v>
      </c>
      <c r="K492" s="9"/>
      <c r="L492" s="9">
        <f>ROUND(IF(K492&gt;G492,K492-G492,0),0)</f>
        <v>0</v>
      </c>
      <c r="M492" s="9">
        <f>ROUND(IF(K492&lt;G492,G492-K492,0),0)</f>
        <v>0</v>
      </c>
      <c r="N492" s="15" t="s">
        <v>418</v>
      </c>
      <c r="O492" s="11" t="s">
        <v>341</v>
      </c>
    </row>
    <row r="493" spans="2:16" ht="15.6" x14ac:dyDescent="0.25">
      <c r="J493" s="62" t="s">
        <v>278</v>
      </c>
      <c r="K493" s="122">
        <f>SUM(K484:K492)</f>
        <v>1681050</v>
      </c>
      <c r="L493" s="122">
        <f t="shared" ref="L493:M493" si="94">SUM(L484:L492)</f>
        <v>1681050</v>
      </c>
      <c r="M493" s="122">
        <f t="shared" si="94"/>
        <v>0</v>
      </c>
    </row>
    <row r="494" spans="2:16" ht="17.399999999999999" x14ac:dyDescent="0.25">
      <c r="C494" s="36" t="s">
        <v>266</v>
      </c>
      <c r="D494" s="10"/>
      <c r="E494" s="10"/>
      <c r="F494" s="18"/>
      <c r="H494" s="14"/>
      <c r="I494" s="55"/>
      <c r="J494" s="56"/>
      <c r="K494" s="56"/>
      <c r="L494" s="56"/>
      <c r="M494" s="56"/>
      <c r="N494" s="43"/>
    </row>
    <row r="495" spans="2:16" ht="108" customHeight="1" x14ac:dyDescent="0.25">
      <c r="B495" s="11">
        <v>39</v>
      </c>
      <c r="C495" s="7" t="s">
        <v>267</v>
      </c>
      <c r="D495" s="10">
        <v>0</v>
      </c>
      <c r="E495" s="8" t="s">
        <v>20</v>
      </c>
      <c r="F495" s="18"/>
      <c r="H495" s="14">
        <v>1</v>
      </c>
      <c r="I495" s="55" t="str">
        <f>E495</f>
        <v>Set</v>
      </c>
      <c r="J495" s="57">
        <v>175180</v>
      </c>
      <c r="K495" s="9">
        <f t="shared" ref="K495:K504" si="95">ROUND(H495*J495,0)</f>
        <v>175180</v>
      </c>
      <c r="L495" s="9">
        <f t="shared" ref="L495" si="96">ROUND(IF(K495&gt;G495,K495-G495,0),0)</f>
        <v>175180</v>
      </c>
      <c r="M495" s="9">
        <f t="shared" ref="M495" si="97">ROUND(IF(K495&lt;G495,G495-K495,0),0)</f>
        <v>0</v>
      </c>
      <c r="N495" s="43" t="s">
        <v>438</v>
      </c>
      <c r="O495" s="11" t="s">
        <v>346</v>
      </c>
    </row>
    <row r="496" spans="2:16" ht="108" customHeight="1" x14ac:dyDescent="0.25">
      <c r="B496" s="11">
        <v>40</v>
      </c>
      <c r="C496" s="7" t="s">
        <v>268</v>
      </c>
      <c r="D496" s="10">
        <v>0</v>
      </c>
      <c r="E496" s="8" t="s">
        <v>20</v>
      </c>
      <c r="F496" s="18"/>
      <c r="H496" s="14">
        <v>1</v>
      </c>
      <c r="I496" s="55" t="str">
        <f t="shared" ref="I496:I500" si="98">E496</f>
        <v>Set</v>
      </c>
      <c r="J496" s="57">
        <v>9620</v>
      </c>
      <c r="K496" s="9">
        <f t="shared" si="95"/>
        <v>9620</v>
      </c>
      <c r="L496" s="9">
        <f t="shared" ref="L496:L504" si="99">ROUND(IF(K496&gt;G496,K496-G496,0),0)</f>
        <v>9620</v>
      </c>
      <c r="M496" s="9">
        <f t="shared" ref="M496:M504" si="100">ROUND(IF(K496&lt;G496,G496-K496,0),0)</f>
        <v>0</v>
      </c>
      <c r="N496" s="43" t="s">
        <v>438</v>
      </c>
      <c r="O496" s="11" t="s">
        <v>346</v>
      </c>
    </row>
    <row r="497" spans="2:15" ht="108" customHeight="1" x14ac:dyDescent="0.25">
      <c r="B497" s="11">
        <v>41</v>
      </c>
      <c r="C497" s="7" t="s">
        <v>269</v>
      </c>
      <c r="D497" s="10">
        <v>0</v>
      </c>
      <c r="E497" s="8" t="s">
        <v>20</v>
      </c>
      <c r="F497" s="18"/>
      <c r="H497" s="14">
        <v>1</v>
      </c>
      <c r="I497" s="55" t="str">
        <f t="shared" si="98"/>
        <v>Set</v>
      </c>
      <c r="J497" s="57">
        <v>175180</v>
      </c>
      <c r="K497" s="9">
        <f t="shared" si="95"/>
        <v>175180</v>
      </c>
      <c r="L497" s="9">
        <f t="shared" si="99"/>
        <v>175180</v>
      </c>
      <c r="M497" s="9">
        <f t="shared" si="100"/>
        <v>0</v>
      </c>
      <c r="N497" s="43" t="s">
        <v>438</v>
      </c>
      <c r="O497" s="11" t="s">
        <v>346</v>
      </c>
    </row>
    <row r="498" spans="2:15" ht="108" customHeight="1" x14ac:dyDescent="0.25">
      <c r="B498" s="11">
        <v>42</v>
      </c>
      <c r="C498" s="7" t="s">
        <v>270</v>
      </c>
      <c r="D498" s="10">
        <v>0</v>
      </c>
      <c r="E498" s="8" t="s">
        <v>20</v>
      </c>
      <c r="F498" s="18"/>
      <c r="H498" s="14">
        <v>1</v>
      </c>
      <c r="I498" s="55" t="str">
        <f t="shared" si="98"/>
        <v>Set</v>
      </c>
      <c r="J498" s="57">
        <v>175180</v>
      </c>
      <c r="K498" s="9">
        <f t="shared" si="95"/>
        <v>175180</v>
      </c>
      <c r="L498" s="9">
        <f t="shared" si="99"/>
        <v>175180</v>
      </c>
      <c r="M498" s="9">
        <f t="shared" si="100"/>
        <v>0</v>
      </c>
      <c r="N498" s="43" t="s">
        <v>438</v>
      </c>
      <c r="O498" s="11" t="s">
        <v>346</v>
      </c>
    </row>
    <row r="499" spans="2:15" ht="108" customHeight="1" x14ac:dyDescent="0.25">
      <c r="B499" s="11">
        <v>43</v>
      </c>
      <c r="C499" s="7" t="s">
        <v>271</v>
      </c>
      <c r="D499" s="10">
        <v>0</v>
      </c>
      <c r="E499" s="8" t="s">
        <v>238</v>
      </c>
      <c r="F499" s="18"/>
      <c r="H499" s="14">
        <v>6</v>
      </c>
      <c r="I499" s="55" t="str">
        <f t="shared" si="98"/>
        <v>Nos</v>
      </c>
      <c r="J499" s="57">
        <v>12470</v>
      </c>
      <c r="K499" s="9">
        <f t="shared" si="95"/>
        <v>74820</v>
      </c>
      <c r="L499" s="9">
        <f t="shared" si="99"/>
        <v>74820</v>
      </c>
      <c r="M499" s="9">
        <f t="shared" si="100"/>
        <v>0</v>
      </c>
      <c r="N499" s="43" t="s">
        <v>438</v>
      </c>
      <c r="O499" s="11" t="s">
        <v>346</v>
      </c>
    </row>
    <row r="500" spans="2:15" ht="105" x14ac:dyDescent="0.25">
      <c r="B500" s="11">
        <v>44</v>
      </c>
      <c r="C500" s="7" t="s">
        <v>272</v>
      </c>
      <c r="D500" s="10">
        <v>0</v>
      </c>
      <c r="E500" s="8" t="s">
        <v>273</v>
      </c>
      <c r="F500" s="18"/>
      <c r="H500" s="14">
        <v>3</v>
      </c>
      <c r="I500" s="55" t="str">
        <f t="shared" si="98"/>
        <v>Nos.</v>
      </c>
      <c r="J500" s="57">
        <v>930</v>
      </c>
      <c r="K500" s="9">
        <f t="shared" si="95"/>
        <v>2790</v>
      </c>
      <c r="L500" s="9">
        <f t="shared" si="99"/>
        <v>2790</v>
      </c>
      <c r="M500" s="9">
        <f t="shared" si="100"/>
        <v>0</v>
      </c>
      <c r="N500" s="43" t="s">
        <v>438</v>
      </c>
      <c r="O500" s="11" t="s">
        <v>346</v>
      </c>
    </row>
    <row r="501" spans="2:15" ht="232.8" customHeight="1" x14ac:dyDescent="0.25">
      <c r="B501" s="11">
        <v>45</v>
      </c>
      <c r="C501" s="7" t="s">
        <v>274</v>
      </c>
      <c r="D501" s="10">
        <v>0</v>
      </c>
      <c r="E501" s="8" t="s">
        <v>273</v>
      </c>
      <c r="F501" s="52"/>
      <c r="G501" s="39"/>
      <c r="H501" s="53">
        <v>2</v>
      </c>
      <c r="I501" s="37" t="s">
        <v>238</v>
      </c>
      <c r="J501" s="57">
        <v>20850</v>
      </c>
      <c r="K501" s="9">
        <f t="shared" si="95"/>
        <v>41700</v>
      </c>
      <c r="L501" s="9">
        <f t="shared" si="99"/>
        <v>41700</v>
      </c>
      <c r="M501" s="9">
        <f t="shared" si="100"/>
        <v>0</v>
      </c>
      <c r="N501" s="43" t="s">
        <v>438</v>
      </c>
      <c r="O501" s="11" t="s">
        <v>346</v>
      </c>
    </row>
    <row r="502" spans="2:15" ht="232.2" customHeight="1" x14ac:dyDescent="0.25">
      <c r="B502" s="11">
        <v>46</v>
      </c>
      <c r="C502" s="7" t="s">
        <v>275</v>
      </c>
      <c r="D502" s="10">
        <v>0</v>
      </c>
      <c r="E502" s="8" t="s">
        <v>273</v>
      </c>
      <c r="F502" s="52"/>
      <c r="G502" s="39"/>
      <c r="H502" s="53">
        <v>2</v>
      </c>
      <c r="I502" s="37" t="s">
        <v>238</v>
      </c>
      <c r="J502" s="57">
        <v>17850</v>
      </c>
      <c r="K502" s="9">
        <f t="shared" si="95"/>
        <v>35700</v>
      </c>
      <c r="L502" s="9">
        <f t="shared" si="99"/>
        <v>35700</v>
      </c>
      <c r="M502" s="9">
        <f t="shared" si="100"/>
        <v>0</v>
      </c>
      <c r="N502" s="43" t="s">
        <v>438</v>
      </c>
      <c r="O502" s="11" t="s">
        <v>346</v>
      </c>
    </row>
    <row r="503" spans="2:15" ht="231.6" customHeight="1" x14ac:dyDescent="0.25">
      <c r="B503" s="11">
        <v>47</v>
      </c>
      <c r="C503" s="7" t="s">
        <v>276</v>
      </c>
      <c r="D503" s="10">
        <v>0</v>
      </c>
      <c r="E503" s="8" t="s">
        <v>273</v>
      </c>
      <c r="F503" s="52"/>
      <c r="G503" s="39"/>
      <c r="H503" s="53">
        <v>2</v>
      </c>
      <c r="I503" s="37" t="s">
        <v>238</v>
      </c>
      <c r="J503" s="57">
        <v>29250</v>
      </c>
      <c r="K503" s="9">
        <f t="shared" si="95"/>
        <v>58500</v>
      </c>
      <c r="L503" s="9">
        <f t="shared" si="99"/>
        <v>58500</v>
      </c>
      <c r="M503" s="9">
        <f t="shared" si="100"/>
        <v>0</v>
      </c>
      <c r="N503" s="43" t="s">
        <v>438</v>
      </c>
      <c r="O503" s="11" t="s">
        <v>346</v>
      </c>
    </row>
    <row r="504" spans="2:15" ht="232.8" customHeight="1" x14ac:dyDescent="0.25">
      <c r="B504" s="11">
        <v>48</v>
      </c>
      <c r="C504" s="7" t="s">
        <v>277</v>
      </c>
      <c r="D504" s="10">
        <v>0</v>
      </c>
      <c r="E504" s="8" t="s">
        <v>273</v>
      </c>
      <c r="F504" s="52"/>
      <c r="G504" s="39"/>
      <c r="H504" s="53">
        <v>2</v>
      </c>
      <c r="I504" s="37" t="s">
        <v>238</v>
      </c>
      <c r="J504" s="57">
        <v>33000</v>
      </c>
      <c r="K504" s="9">
        <f t="shared" si="95"/>
        <v>66000</v>
      </c>
      <c r="L504" s="9">
        <f t="shared" si="99"/>
        <v>66000</v>
      </c>
      <c r="M504" s="9">
        <f t="shared" si="100"/>
        <v>0</v>
      </c>
      <c r="N504" s="43" t="s">
        <v>438</v>
      </c>
      <c r="O504" s="11" t="s">
        <v>346</v>
      </c>
    </row>
    <row r="505" spans="2:15" ht="21" customHeight="1" x14ac:dyDescent="0.25">
      <c r="C505" s="7"/>
      <c r="D505" s="37"/>
      <c r="E505" s="8"/>
      <c r="F505" s="52"/>
      <c r="G505" s="39"/>
      <c r="H505" s="37"/>
      <c r="I505" s="37"/>
      <c r="J505" s="62" t="s">
        <v>278</v>
      </c>
      <c r="K505" s="62">
        <f>SUM(K495:K504)</f>
        <v>814670</v>
      </c>
      <c r="L505" s="62">
        <f t="shared" ref="L505:M505" si="101">IF(K505&gt;G505,K505-G505,0)</f>
        <v>814670</v>
      </c>
      <c r="M505" s="62">
        <f t="shared" si="101"/>
        <v>814670</v>
      </c>
      <c r="N505" s="43"/>
    </row>
    <row r="506" spans="2:15" ht="21" customHeight="1" x14ac:dyDescent="0.25">
      <c r="C506" s="81"/>
      <c r="F506" s="27" t="s">
        <v>284</v>
      </c>
      <c r="G506" s="74">
        <f>0</f>
        <v>0</v>
      </c>
      <c r="K506" s="72">
        <f>K505+K493+K482+K479+K458+K455+K426</f>
        <v>4316765</v>
      </c>
      <c r="L506" s="72">
        <f>K506</f>
        <v>4316765</v>
      </c>
      <c r="M506" s="58"/>
    </row>
    <row r="507" spans="2:15" ht="21" customHeight="1" x14ac:dyDescent="0.25">
      <c r="C507" s="78" t="s">
        <v>285</v>
      </c>
      <c r="F507" s="11"/>
      <c r="G507" s="73">
        <f>G506+G416</f>
        <v>42405299</v>
      </c>
      <c r="K507" s="77">
        <f>K506+K416</f>
        <v>48340780</v>
      </c>
      <c r="L507" s="77">
        <f>L506+L416</f>
        <v>8861146</v>
      </c>
      <c r="M507" s="77">
        <f>M506+M416</f>
        <v>2925665</v>
      </c>
    </row>
    <row r="508" spans="2:15" ht="21" customHeight="1" x14ac:dyDescent="0.25">
      <c r="H508" s="75"/>
      <c r="I508" s="75"/>
      <c r="J508" s="76" t="s">
        <v>283</v>
      </c>
      <c r="K508" s="77">
        <f>K507-G507</f>
        <v>5935481</v>
      </c>
    </row>
    <row r="509" spans="2:15" x14ac:dyDescent="0.25">
      <c r="M509" s="124"/>
    </row>
    <row r="511" spans="2:15" x14ac:dyDescent="0.25">
      <c r="K511" s="9">
        <f>K507*1.18</f>
        <v>57042120.399999999</v>
      </c>
    </row>
  </sheetData>
  <mergeCells count="37">
    <mergeCell ref="N364:N365"/>
    <mergeCell ref="N366:N367"/>
    <mergeCell ref="N372:N373"/>
    <mergeCell ref="N390:N391"/>
    <mergeCell ref="N206:N207"/>
    <mergeCell ref="N312:N313"/>
    <mergeCell ref="N346:N347"/>
    <mergeCell ref="N356:N357"/>
    <mergeCell ref="N358:N359"/>
    <mergeCell ref="N162:N163"/>
    <mergeCell ref="N172:N173"/>
    <mergeCell ref="N200:N201"/>
    <mergeCell ref="N202:N203"/>
    <mergeCell ref="N204:N205"/>
    <mergeCell ref="N148:N149"/>
    <mergeCell ref="N154:N155"/>
    <mergeCell ref="N156:N157"/>
    <mergeCell ref="N158:N159"/>
    <mergeCell ref="N160:N161"/>
    <mergeCell ref="N128:N129"/>
    <mergeCell ref="N138:N139"/>
    <mergeCell ref="N140:N141"/>
    <mergeCell ref="N142:N143"/>
    <mergeCell ref="N144:N145"/>
    <mergeCell ref="N106:N107"/>
    <mergeCell ref="N108:N109"/>
    <mergeCell ref="N114:N115"/>
    <mergeCell ref="N116:N117"/>
    <mergeCell ref="N122:N123"/>
    <mergeCell ref="B1:N1"/>
    <mergeCell ref="B2:B3"/>
    <mergeCell ref="C2:C3"/>
    <mergeCell ref="D2:G2"/>
    <mergeCell ref="H2:K2"/>
    <mergeCell ref="L2:L3"/>
    <mergeCell ref="M2:M3"/>
    <mergeCell ref="N2:N3"/>
  </mergeCells>
  <conditionalFormatting sqref="A428:C428 F428:J428 B446:G446 J446 B444:G444 J444 J462 A467:J467 J466 J468 J417:XFD417 A427:XFD427 A480:B483 O480:XFD482 A462:D462 A466:D466 A468:D468 B445:J445 A456:B458 O456:XFD458 A463:J465 D483:J483 A459:J461 M459:XFD459 A479:I479 B449:B455 M455:XFD455 D449:I455 N506:XFD506 A509:XFD1048576 A508:G508 K508:XFD508 A507:B507 G507:XFD507 A506:L506 D507:E507 A102:XFD103 A288:XFD289 A296:XFD297 A378:XFD379 A469:J478 M479:XFD479 B447:J448 A493:I493 A415:XFD416 O104:XFD167 O290:XFD294 O298:XFD309 O313:XFD377 O380:XFD414 M426:XFD426 M483:XFD483 O6:XFD6 A1:XFD5 O8:P21 Q7:XFD21 O22:XFD101 N9 N11 N13 N15 N17 N19 N21 N23 N25 N27 N29 N31 N33 N35 N37 N39 N41 N43 N45 N47 N49 N51 N53 N55 N57 N59 N61 N63 N65 N67 N69 N71 N73 N79 N81 N83 N85 N87 N89 N91 N93 N95 N97 N99:N101 N131 N165 N179 N183 N185 N187 N189 N191 N193 N195 N197 N209:N229 N231 N255:N257 N259 N261:N277 N279 N281 N283 N233:N253 N285:N287 N291 N293 N295:XFD295 N299 N301 N303 N305 N307 N309 N319:N321 N323 N325 N327:N329 N331 N333 N335:N339 N371:N372 N314:N317 N381 N383 N385 N387 N389 N392 N404 N406 N408 N410 N412 N414 N7:O7 A484:J492 H167:N167 N493:XFD493 A6:M101 A104:M104 N105:N106 H105:M166 A168:XFD169 A198:XFD199 A290:M295 A298:M309 A310:XFD312 A313:M377 L460:XFD478 A494:A505 O494:XFD505 K495:M504 A380:M414 A417:B426 N75:N77 N111 N108 N119 N113:N114 N116 N125 N121:N122 N127:N128 N133 N135 N137:N138 N140 N142 N144 A105:G167 N151 N146:N148 N153:N154 N156 N158 N160 N162 O170:XFD197 A170:M197 N175 N171:N172 N177 N181 A200:M287 O200:XFD287 N200 N204 N206 N202 N341 N343 N345:N346 N349 N351:N356 N358 N360:N361 N368:N369 N363:N364 N366 N375 N377 N394:N397 N399 N401:N402 L418:XFD425 A429:J443 K428:XFD454 A491:XFD492 L484:XFD492">
    <cfRule type="expression" dxfId="160" priority="294">
      <formula>ROW()=CELL("row")</formula>
    </cfRule>
  </conditionalFormatting>
  <conditionalFormatting sqref="C483 C457:C458 E457:J457 E458:I458 M458:N458 J455:L455 C418:G426 H418:J425 N457 B495:J504 N495:N505">
    <cfRule type="expression" dxfId="159" priority="293" stopIfTrue="1">
      <formula>ROW()=CELL("ROW")</formula>
    </cfRule>
  </conditionalFormatting>
  <conditionalFormatting sqref="J457 J418:J419 J421:J425">
    <cfRule type="cellIs" dxfId="158" priority="290" operator="equal">
      <formula>0</formula>
    </cfRule>
  </conditionalFormatting>
  <conditionalFormatting sqref="C456:N456">
    <cfRule type="expression" dxfId="157" priority="291" stopIfTrue="1">
      <formula>ROW()=CELL("ROW")</formula>
    </cfRule>
  </conditionalFormatting>
  <conditionalFormatting sqref="C417:I417">
    <cfRule type="expression" dxfId="156" priority="295" stopIfTrue="1">
      <formula>ROW()=CELL("ROW")</formula>
    </cfRule>
  </conditionalFormatting>
  <conditionalFormatting sqref="C480:N480 C481:C482 E481:J481 E482:I482 M482:N482 N481">
    <cfRule type="expression" dxfId="155" priority="289" stopIfTrue="1">
      <formula>ROW()=CELL("ROW")</formula>
    </cfRule>
  </conditionalFormatting>
  <conditionalFormatting sqref="H426:I426">
    <cfRule type="expression" dxfId="154" priority="285" stopIfTrue="1">
      <formula>ROW()=CELL("ROW")</formula>
    </cfRule>
  </conditionalFormatting>
  <conditionalFormatting sqref="B505:I505 B494:N494">
    <cfRule type="expression" dxfId="153" priority="288" stopIfTrue="1">
      <formula>ROW()=CELL("ROW")</formula>
    </cfRule>
  </conditionalFormatting>
  <conditionalFormatting sqref="J420">
    <cfRule type="cellIs" dxfId="152" priority="286" operator="equal">
      <formula>0</formula>
    </cfRule>
  </conditionalFormatting>
  <conditionalFormatting sqref="D457:D458">
    <cfRule type="expression" dxfId="151" priority="283">
      <formula>ROW()=CELL("row")</formula>
    </cfRule>
  </conditionalFormatting>
  <conditionalFormatting sqref="D481:D482">
    <cfRule type="expression" dxfId="150" priority="282">
      <formula>ROW()=CELL("row")</formula>
    </cfRule>
  </conditionalFormatting>
  <conditionalFormatting sqref="E466">
    <cfRule type="expression" dxfId="149" priority="281">
      <formula>ROW()=CELL("row")</formula>
    </cfRule>
  </conditionalFormatting>
  <conditionalFormatting sqref="E468">
    <cfRule type="expression" dxfId="148" priority="280">
      <formula>ROW()=CELL("row")</formula>
    </cfRule>
  </conditionalFormatting>
  <conditionalFormatting sqref="J479">
    <cfRule type="expression" dxfId="147" priority="247" stopIfTrue="1">
      <formula>ROW()=CELL("ROW")</formula>
    </cfRule>
  </conditionalFormatting>
  <conditionalFormatting sqref="K479">
    <cfRule type="expression" dxfId="146" priority="246" stopIfTrue="1">
      <formula>ROW()=CELL("ROW")</formula>
    </cfRule>
  </conditionalFormatting>
  <conditionalFormatting sqref="L479">
    <cfRule type="expression" dxfId="145" priority="245" stopIfTrue="1">
      <formula>ROW()=CELL("ROW")</formula>
    </cfRule>
  </conditionalFormatting>
  <conditionalFormatting sqref="J426">
    <cfRule type="expression" dxfId="144" priority="242" stopIfTrue="1">
      <formula>ROW()=CELL("ROW")</formula>
    </cfRule>
  </conditionalFormatting>
  <conditionalFormatting sqref="K426:L426">
    <cfRule type="expression" dxfId="143" priority="241" stopIfTrue="1">
      <formula>ROW()=CELL("ROW")</formula>
    </cfRule>
  </conditionalFormatting>
  <conditionalFormatting sqref="J458">
    <cfRule type="expression" dxfId="142" priority="240" stopIfTrue="1">
      <formula>ROW()=CELL("ROW")</formula>
    </cfRule>
  </conditionalFormatting>
  <conditionalFormatting sqref="K458:L458">
    <cfRule type="expression" dxfId="141" priority="239" stopIfTrue="1">
      <formula>ROW()=CELL("ROW")</formula>
    </cfRule>
  </conditionalFormatting>
  <conditionalFormatting sqref="J482">
    <cfRule type="expression" dxfId="140" priority="238" stopIfTrue="1">
      <formula>ROW()=CELL("ROW")</formula>
    </cfRule>
  </conditionalFormatting>
  <conditionalFormatting sqref="K482:L482">
    <cfRule type="expression" dxfId="139" priority="237" stopIfTrue="1">
      <formula>ROW()=CELL("ROW")</formula>
    </cfRule>
  </conditionalFormatting>
  <conditionalFormatting sqref="J505">
    <cfRule type="expression" dxfId="138" priority="236" stopIfTrue="1">
      <formula>ROW()=CELL("ROW")</formula>
    </cfRule>
  </conditionalFormatting>
  <conditionalFormatting sqref="K505:M505">
    <cfRule type="expression" dxfId="137" priority="235" stopIfTrue="1">
      <formula>ROW()=CELL("ROW")</formula>
    </cfRule>
  </conditionalFormatting>
  <conditionalFormatting sqref="C449:C450 C452 C454:C455">
    <cfRule type="expression" dxfId="136" priority="233" stopIfTrue="1">
      <formula>ROW()=CELL("ROW")</formula>
    </cfRule>
  </conditionalFormatting>
  <conditionalFormatting sqref="N6">
    <cfRule type="expression" dxfId="135" priority="231" stopIfTrue="1">
      <formula>ROW()=CELL("ROW")</formula>
    </cfRule>
  </conditionalFormatting>
  <conditionalFormatting sqref="N8">
    <cfRule type="expression" dxfId="134" priority="230" stopIfTrue="1">
      <formula>ROW()=CELL("ROW")</formula>
    </cfRule>
  </conditionalFormatting>
  <conditionalFormatting sqref="N10">
    <cfRule type="expression" dxfId="133" priority="229" stopIfTrue="1">
      <formula>ROW()=CELL("ROW")</formula>
    </cfRule>
  </conditionalFormatting>
  <conditionalFormatting sqref="N12">
    <cfRule type="expression" dxfId="132" priority="228" stopIfTrue="1">
      <formula>ROW()=CELL("ROW")</formula>
    </cfRule>
  </conditionalFormatting>
  <conditionalFormatting sqref="N14">
    <cfRule type="expression" dxfId="131" priority="227" stopIfTrue="1">
      <formula>ROW()=CELL("ROW")</formula>
    </cfRule>
  </conditionalFormatting>
  <conditionalFormatting sqref="N80">
    <cfRule type="expression" dxfId="130" priority="195" stopIfTrue="1">
      <formula>ROW()=CELL("ROW")</formula>
    </cfRule>
  </conditionalFormatting>
  <conditionalFormatting sqref="N104">
    <cfRule type="expression" dxfId="129" priority="185" stopIfTrue="1">
      <formula>ROW()=CELL("ROW")</formula>
    </cfRule>
  </conditionalFormatting>
  <conditionalFormatting sqref="N208">
    <cfRule type="expression" dxfId="128" priority="169" stopIfTrue="1">
      <formula>ROW()=CELL("ROW")</formula>
    </cfRule>
  </conditionalFormatting>
  <conditionalFormatting sqref="N230">
    <cfRule type="expression" dxfId="127" priority="168" stopIfTrue="1">
      <formula>ROW()=CELL("ROW")</formula>
    </cfRule>
  </conditionalFormatting>
  <conditionalFormatting sqref="N232">
    <cfRule type="expression" dxfId="126" priority="167" stopIfTrue="1">
      <formula>ROW()=CELL("ROW")</formula>
    </cfRule>
  </conditionalFormatting>
  <conditionalFormatting sqref="N254">
    <cfRule type="expression" dxfId="125" priority="166" stopIfTrue="1">
      <formula>ROW()=CELL("ROW")</formula>
    </cfRule>
  </conditionalFormatting>
  <conditionalFormatting sqref="N258">
    <cfRule type="expression" dxfId="124" priority="165" stopIfTrue="1">
      <formula>ROW()=CELL("ROW")</formula>
    </cfRule>
  </conditionalFormatting>
  <conditionalFormatting sqref="N260">
    <cfRule type="expression" dxfId="123" priority="164" stopIfTrue="1">
      <formula>ROW()=CELL("ROW")</formula>
    </cfRule>
  </conditionalFormatting>
  <conditionalFormatting sqref="N278">
    <cfRule type="expression" dxfId="122" priority="163" stopIfTrue="1">
      <formula>ROW()=CELL("ROW")</formula>
    </cfRule>
  </conditionalFormatting>
  <conditionalFormatting sqref="N280">
    <cfRule type="expression" dxfId="121" priority="162" stopIfTrue="1">
      <formula>ROW()=CELL("ROW")</formula>
    </cfRule>
  </conditionalFormatting>
  <conditionalFormatting sqref="N282">
    <cfRule type="expression" dxfId="120" priority="161" stopIfTrue="1">
      <formula>ROW()=CELL("ROW")</formula>
    </cfRule>
  </conditionalFormatting>
  <conditionalFormatting sqref="N284">
    <cfRule type="expression" dxfId="119" priority="160" stopIfTrue="1">
      <formula>ROW()=CELL("ROW")</formula>
    </cfRule>
  </conditionalFormatting>
  <conditionalFormatting sqref="N290">
    <cfRule type="expression" dxfId="118" priority="159" stopIfTrue="1">
      <formula>ROW()=CELL("ROW")</formula>
    </cfRule>
  </conditionalFormatting>
  <conditionalFormatting sqref="N324">
    <cfRule type="expression" dxfId="117" priority="148" stopIfTrue="1">
      <formula>ROW()=CELL("ROW")</formula>
    </cfRule>
  </conditionalFormatting>
  <conditionalFormatting sqref="N326">
    <cfRule type="expression" dxfId="116" priority="147" stopIfTrue="1">
      <formula>ROW()=CELL("ROW")</formula>
    </cfRule>
  </conditionalFormatting>
  <conditionalFormatting sqref="M506">
    <cfRule type="expression" dxfId="115" priority="125" stopIfTrue="1">
      <formula>ROW()=CELL("ROW")</formula>
    </cfRule>
  </conditionalFormatting>
  <conditionalFormatting sqref="N330">
    <cfRule type="expression" dxfId="114" priority="146" stopIfTrue="1">
      <formula>ROW()=CELL("ROW")</formula>
    </cfRule>
  </conditionalFormatting>
  <conditionalFormatting sqref="N332">
    <cfRule type="expression" dxfId="113" priority="145" stopIfTrue="1">
      <formula>ROW()=CELL("ROW")</formula>
    </cfRule>
  </conditionalFormatting>
  <conditionalFormatting sqref="N334">
    <cfRule type="expression" dxfId="112" priority="144" stopIfTrue="1">
      <formula>ROW()=CELL("ROW")</formula>
    </cfRule>
  </conditionalFormatting>
  <conditionalFormatting sqref="N390">
    <cfRule type="expression" dxfId="111" priority="134" stopIfTrue="1">
      <formula>ROW()=CELL("ROW")</formula>
    </cfRule>
  </conditionalFormatting>
  <conditionalFormatting sqref="H508:J508">
    <cfRule type="expression" dxfId="110" priority="124" stopIfTrue="1">
      <formula>ROW()=CELL("ROW")</formula>
    </cfRule>
  </conditionalFormatting>
  <conditionalFormatting sqref="C507">
    <cfRule type="expression" dxfId="109" priority="123" stopIfTrue="1">
      <formula>ROW()=CELL("ROW")</formula>
    </cfRule>
  </conditionalFormatting>
  <conditionalFormatting sqref="C451">
    <cfRule type="expression" dxfId="108" priority="122" stopIfTrue="1">
      <formula>ROW()=CELL("ROW")</formula>
    </cfRule>
  </conditionalFormatting>
  <conditionalFormatting sqref="C453">
    <cfRule type="expression" dxfId="107" priority="121" stopIfTrue="1">
      <formula>ROW()=CELL("ROW")</formula>
    </cfRule>
  </conditionalFormatting>
  <conditionalFormatting sqref="J493">
    <cfRule type="expression" dxfId="106" priority="116" stopIfTrue="1">
      <formula>ROW()=CELL("ROW")</formula>
    </cfRule>
  </conditionalFormatting>
  <conditionalFormatting sqref="K493:M493">
    <cfRule type="expression" dxfId="105" priority="115" stopIfTrue="1">
      <formula>ROW()=CELL("ROW")</formula>
    </cfRule>
  </conditionalFormatting>
  <conditionalFormatting sqref="K418:K425">
    <cfRule type="expression" dxfId="104" priority="113">
      <formula>ROW()=CELL("row")</formula>
    </cfRule>
  </conditionalFormatting>
  <conditionalFormatting sqref="K457">
    <cfRule type="expression" dxfId="103" priority="111">
      <formula>ROW()=CELL("row")</formula>
    </cfRule>
  </conditionalFormatting>
  <conditionalFormatting sqref="K460:K478">
    <cfRule type="expression" dxfId="102" priority="110">
      <formula>ROW()=CELL("row")</formula>
    </cfRule>
  </conditionalFormatting>
  <conditionalFormatting sqref="K481">
    <cfRule type="expression" dxfId="101" priority="109">
      <formula>ROW()=CELL("row")</formula>
    </cfRule>
  </conditionalFormatting>
  <conditionalFormatting sqref="K484:K492">
    <cfRule type="expression" dxfId="100" priority="108">
      <formula>ROW()=CELL("row")</formula>
    </cfRule>
  </conditionalFormatting>
  <conditionalFormatting sqref="L457:M457">
    <cfRule type="expression" dxfId="99" priority="103">
      <formula>ROW()=CELL("row")</formula>
    </cfRule>
  </conditionalFormatting>
  <conditionalFormatting sqref="L481:M481">
    <cfRule type="expression" dxfId="98" priority="102">
      <formula>ROW()=CELL("row")</formula>
    </cfRule>
  </conditionalFormatting>
  <conditionalFormatting sqref="N16">
    <cfRule type="expression" dxfId="97" priority="100" stopIfTrue="1">
      <formula>ROW()=CELL("ROW")</formula>
    </cfRule>
  </conditionalFormatting>
  <conditionalFormatting sqref="N18">
    <cfRule type="expression" dxfId="96" priority="99" stopIfTrue="1">
      <formula>ROW()=CELL("ROW")</formula>
    </cfRule>
  </conditionalFormatting>
  <conditionalFormatting sqref="N20">
    <cfRule type="expression" dxfId="95" priority="98" stopIfTrue="1">
      <formula>ROW()=CELL("ROW")</formula>
    </cfRule>
  </conditionalFormatting>
  <conditionalFormatting sqref="N22">
    <cfRule type="expression" dxfId="94" priority="97" stopIfTrue="1">
      <formula>ROW()=CELL("ROW")</formula>
    </cfRule>
  </conditionalFormatting>
  <conditionalFormatting sqref="N24">
    <cfRule type="expression" dxfId="93" priority="96" stopIfTrue="1">
      <formula>ROW()=CELL("ROW")</formula>
    </cfRule>
  </conditionalFormatting>
  <conditionalFormatting sqref="N26">
    <cfRule type="expression" dxfId="92" priority="95" stopIfTrue="1">
      <formula>ROW()=CELL("ROW")</formula>
    </cfRule>
  </conditionalFormatting>
  <conditionalFormatting sqref="N28">
    <cfRule type="expression" dxfId="91" priority="94" stopIfTrue="1">
      <formula>ROW()=CELL("ROW")</formula>
    </cfRule>
  </conditionalFormatting>
  <conditionalFormatting sqref="N30">
    <cfRule type="expression" dxfId="90" priority="93" stopIfTrue="1">
      <formula>ROW()=CELL("ROW")</formula>
    </cfRule>
  </conditionalFormatting>
  <conditionalFormatting sqref="N32">
    <cfRule type="expression" dxfId="89" priority="92" stopIfTrue="1">
      <formula>ROW()=CELL("ROW")</formula>
    </cfRule>
  </conditionalFormatting>
  <conditionalFormatting sqref="N34">
    <cfRule type="expression" dxfId="88" priority="91" stopIfTrue="1">
      <formula>ROW()=CELL("ROW")</formula>
    </cfRule>
  </conditionalFormatting>
  <conditionalFormatting sqref="N36">
    <cfRule type="expression" dxfId="87" priority="90" stopIfTrue="1">
      <formula>ROW()=CELL("ROW")</formula>
    </cfRule>
  </conditionalFormatting>
  <conditionalFormatting sqref="N38">
    <cfRule type="expression" dxfId="86" priority="89" stopIfTrue="1">
      <formula>ROW()=CELL("ROW")</formula>
    </cfRule>
  </conditionalFormatting>
  <conditionalFormatting sqref="N40">
    <cfRule type="expression" dxfId="85" priority="88" stopIfTrue="1">
      <formula>ROW()=CELL("ROW")</formula>
    </cfRule>
  </conditionalFormatting>
  <conditionalFormatting sqref="N42">
    <cfRule type="expression" dxfId="84" priority="87" stopIfTrue="1">
      <formula>ROW()=CELL("ROW")</formula>
    </cfRule>
  </conditionalFormatting>
  <conditionalFormatting sqref="N44">
    <cfRule type="expression" dxfId="83" priority="86" stopIfTrue="1">
      <formula>ROW()=CELL("ROW")</formula>
    </cfRule>
  </conditionalFormatting>
  <conditionalFormatting sqref="N46">
    <cfRule type="expression" dxfId="82" priority="85" stopIfTrue="1">
      <formula>ROW()=CELL("ROW")</formula>
    </cfRule>
  </conditionalFormatting>
  <conditionalFormatting sqref="N48">
    <cfRule type="expression" dxfId="81" priority="84" stopIfTrue="1">
      <formula>ROW()=CELL("ROW")</formula>
    </cfRule>
  </conditionalFormatting>
  <conditionalFormatting sqref="N50">
    <cfRule type="expression" dxfId="80" priority="83" stopIfTrue="1">
      <formula>ROW()=CELL("ROW")</formula>
    </cfRule>
  </conditionalFormatting>
  <conditionalFormatting sqref="N52">
    <cfRule type="expression" dxfId="79" priority="82" stopIfTrue="1">
      <formula>ROW()=CELL("ROW")</formula>
    </cfRule>
  </conditionalFormatting>
  <conditionalFormatting sqref="N54">
    <cfRule type="expression" dxfId="78" priority="81" stopIfTrue="1">
      <formula>ROW()=CELL("ROW")</formula>
    </cfRule>
  </conditionalFormatting>
  <conditionalFormatting sqref="N56">
    <cfRule type="expression" dxfId="77" priority="80" stopIfTrue="1">
      <formula>ROW()=CELL("ROW")</formula>
    </cfRule>
  </conditionalFormatting>
  <conditionalFormatting sqref="N58">
    <cfRule type="expression" dxfId="76" priority="79" stopIfTrue="1">
      <formula>ROW()=CELL("ROW")</formula>
    </cfRule>
  </conditionalFormatting>
  <conditionalFormatting sqref="N60">
    <cfRule type="expression" dxfId="75" priority="78" stopIfTrue="1">
      <formula>ROW()=CELL("ROW")</formula>
    </cfRule>
  </conditionalFormatting>
  <conditionalFormatting sqref="N62">
    <cfRule type="expression" dxfId="74" priority="77" stopIfTrue="1">
      <formula>ROW()=CELL("ROW")</formula>
    </cfRule>
  </conditionalFormatting>
  <conditionalFormatting sqref="N64">
    <cfRule type="expression" dxfId="73" priority="76" stopIfTrue="1">
      <formula>ROW()=CELL("ROW")</formula>
    </cfRule>
  </conditionalFormatting>
  <conditionalFormatting sqref="N66">
    <cfRule type="expression" dxfId="72" priority="75" stopIfTrue="1">
      <formula>ROW()=CELL("ROW")</formula>
    </cfRule>
  </conditionalFormatting>
  <conditionalFormatting sqref="N68">
    <cfRule type="expression" dxfId="71" priority="74" stopIfTrue="1">
      <formula>ROW()=CELL("ROW")</formula>
    </cfRule>
  </conditionalFormatting>
  <conditionalFormatting sqref="N70">
    <cfRule type="expression" dxfId="70" priority="73" stopIfTrue="1">
      <formula>ROW()=CELL("ROW")</formula>
    </cfRule>
  </conditionalFormatting>
  <conditionalFormatting sqref="N72">
    <cfRule type="expression" dxfId="69" priority="72" stopIfTrue="1">
      <formula>ROW()=CELL("ROW")</formula>
    </cfRule>
  </conditionalFormatting>
  <conditionalFormatting sqref="N74">
    <cfRule type="expression" dxfId="68" priority="71" stopIfTrue="1">
      <formula>ROW()=CELL("ROW")</formula>
    </cfRule>
  </conditionalFormatting>
  <conditionalFormatting sqref="N78">
    <cfRule type="expression" dxfId="67" priority="70" stopIfTrue="1">
      <formula>ROW()=CELL("ROW")</formula>
    </cfRule>
  </conditionalFormatting>
  <conditionalFormatting sqref="N82">
    <cfRule type="expression" dxfId="66" priority="69" stopIfTrue="1">
      <formula>ROW()=CELL("ROW")</formula>
    </cfRule>
  </conditionalFormatting>
  <conditionalFormatting sqref="N84">
    <cfRule type="expression" dxfId="65" priority="68" stopIfTrue="1">
      <formula>ROW()=CELL("ROW")</formula>
    </cfRule>
  </conditionalFormatting>
  <conditionalFormatting sqref="N86">
    <cfRule type="expression" dxfId="64" priority="67" stopIfTrue="1">
      <formula>ROW()=CELL("ROW")</formula>
    </cfRule>
  </conditionalFormatting>
  <conditionalFormatting sqref="N88">
    <cfRule type="expression" dxfId="63" priority="66" stopIfTrue="1">
      <formula>ROW()=CELL("ROW")</formula>
    </cfRule>
  </conditionalFormatting>
  <conditionalFormatting sqref="N90">
    <cfRule type="expression" dxfId="62" priority="65" stopIfTrue="1">
      <formula>ROW()=CELL("ROW")</formula>
    </cfRule>
  </conditionalFormatting>
  <conditionalFormatting sqref="N92">
    <cfRule type="expression" dxfId="61" priority="64" stopIfTrue="1">
      <formula>ROW()=CELL("ROW")</formula>
    </cfRule>
  </conditionalFormatting>
  <conditionalFormatting sqref="N94">
    <cfRule type="expression" dxfId="60" priority="63" stopIfTrue="1">
      <formula>ROW()=CELL("ROW")</formula>
    </cfRule>
  </conditionalFormatting>
  <conditionalFormatting sqref="N96">
    <cfRule type="expression" dxfId="59" priority="62" stopIfTrue="1">
      <formula>ROW()=CELL("ROW")</formula>
    </cfRule>
  </conditionalFormatting>
  <conditionalFormatting sqref="N98">
    <cfRule type="expression" dxfId="58" priority="61" stopIfTrue="1">
      <formula>ROW()=CELL("ROW")</formula>
    </cfRule>
  </conditionalFormatting>
  <conditionalFormatting sqref="N110">
    <cfRule type="expression" dxfId="57" priority="60" stopIfTrue="1">
      <formula>ROW()=CELL("ROW")</formula>
    </cfRule>
  </conditionalFormatting>
  <conditionalFormatting sqref="N112">
    <cfRule type="expression" dxfId="56" priority="59" stopIfTrue="1">
      <formula>ROW()=CELL("ROW")</formula>
    </cfRule>
  </conditionalFormatting>
  <conditionalFormatting sqref="N118">
    <cfRule type="expression" dxfId="55" priority="58" stopIfTrue="1">
      <formula>ROW()=CELL("ROW")</formula>
    </cfRule>
  </conditionalFormatting>
  <conditionalFormatting sqref="N120">
    <cfRule type="expression" dxfId="54" priority="57" stopIfTrue="1">
      <formula>ROW()=CELL("ROW")</formula>
    </cfRule>
  </conditionalFormatting>
  <conditionalFormatting sqref="N124">
    <cfRule type="expression" dxfId="53" priority="56" stopIfTrue="1">
      <formula>ROW()=CELL("ROW")</formula>
    </cfRule>
  </conditionalFormatting>
  <conditionalFormatting sqref="N126">
    <cfRule type="expression" dxfId="52" priority="55" stopIfTrue="1">
      <formula>ROW()=CELL("ROW")</formula>
    </cfRule>
  </conditionalFormatting>
  <conditionalFormatting sqref="N130">
    <cfRule type="expression" dxfId="51" priority="54" stopIfTrue="1">
      <formula>ROW()=CELL("ROW")</formula>
    </cfRule>
  </conditionalFormatting>
  <conditionalFormatting sqref="N132">
    <cfRule type="expression" dxfId="50" priority="53" stopIfTrue="1">
      <formula>ROW()=CELL("ROW")</formula>
    </cfRule>
  </conditionalFormatting>
  <conditionalFormatting sqref="N134">
    <cfRule type="expression" dxfId="49" priority="51" stopIfTrue="1">
      <formula>ROW()=CELL("ROW")</formula>
    </cfRule>
  </conditionalFormatting>
  <conditionalFormatting sqref="N136">
    <cfRule type="expression" dxfId="48" priority="50" stopIfTrue="1">
      <formula>ROW()=CELL("ROW")</formula>
    </cfRule>
  </conditionalFormatting>
  <conditionalFormatting sqref="N150">
    <cfRule type="expression" dxfId="47" priority="49" stopIfTrue="1">
      <formula>ROW()=CELL("ROW")</formula>
    </cfRule>
  </conditionalFormatting>
  <conditionalFormatting sqref="N152">
    <cfRule type="expression" dxfId="46" priority="48" stopIfTrue="1">
      <formula>ROW()=CELL("ROW")</formula>
    </cfRule>
  </conditionalFormatting>
  <conditionalFormatting sqref="N164">
    <cfRule type="expression" dxfId="45" priority="47" stopIfTrue="1">
      <formula>ROW()=CELL("ROW")</formula>
    </cfRule>
  </conditionalFormatting>
  <conditionalFormatting sqref="N166">
    <cfRule type="expression" dxfId="44" priority="46" stopIfTrue="1">
      <formula>ROW()=CELL("ROW")</formula>
    </cfRule>
  </conditionalFormatting>
  <conditionalFormatting sqref="N170">
    <cfRule type="expression" dxfId="43" priority="45" stopIfTrue="1">
      <formula>ROW()=CELL("ROW")</formula>
    </cfRule>
  </conditionalFormatting>
  <conditionalFormatting sqref="N174">
    <cfRule type="expression" dxfId="42" priority="44" stopIfTrue="1">
      <formula>ROW()=CELL("ROW")</formula>
    </cfRule>
  </conditionalFormatting>
  <conditionalFormatting sqref="N176">
    <cfRule type="expression" dxfId="41" priority="43" stopIfTrue="1">
      <formula>ROW()=CELL("ROW")</formula>
    </cfRule>
  </conditionalFormatting>
  <conditionalFormatting sqref="N178">
    <cfRule type="expression" dxfId="40" priority="42" stopIfTrue="1">
      <formula>ROW()=CELL("ROW")</formula>
    </cfRule>
  </conditionalFormatting>
  <conditionalFormatting sqref="N180">
    <cfRule type="expression" dxfId="39" priority="41" stopIfTrue="1">
      <formula>ROW()=CELL("ROW")</formula>
    </cfRule>
  </conditionalFormatting>
  <conditionalFormatting sqref="N182">
    <cfRule type="expression" dxfId="38" priority="40" stopIfTrue="1">
      <formula>ROW()=CELL("ROW")</formula>
    </cfRule>
  </conditionalFormatting>
  <conditionalFormatting sqref="N184">
    <cfRule type="expression" dxfId="37" priority="38" stopIfTrue="1">
      <formula>ROW()=CELL("ROW")</formula>
    </cfRule>
  </conditionalFormatting>
  <conditionalFormatting sqref="N186">
    <cfRule type="expression" dxfId="36" priority="37" stopIfTrue="1">
      <formula>ROW()=CELL("ROW")</formula>
    </cfRule>
  </conditionalFormatting>
  <conditionalFormatting sqref="N188">
    <cfRule type="expression" dxfId="35" priority="36" stopIfTrue="1">
      <formula>ROW()=CELL("ROW")</formula>
    </cfRule>
  </conditionalFormatting>
  <conditionalFormatting sqref="N190">
    <cfRule type="expression" dxfId="34" priority="35" stopIfTrue="1">
      <formula>ROW()=CELL("ROW")</formula>
    </cfRule>
  </conditionalFormatting>
  <conditionalFormatting sqref="N192">
    <cfRule type="expression" dxfId="33" priority="34" stopIfTrue="1">
      <formula>ROW()=CELL("ROW")</formula>
    </cfRule>
  </conditionalFormatting>
  <conditionalFormatting sqref="N194">
    <cfRule type="expression" dxfId="32" priority="33" stopIfTrue="1">
      <formula>ROW()=CELL("ROW")</formula>
    </cfRule>
  </conditionalFormatting>
  <conditionalFormatting sqref="N196">
    <cfRule type="expression" dxfId="31" priority="32" stopIfTrue="1">
      <formula>ROW()=CELL("ROW")</formula>
    </cfRule>
  </conditionalFormatting>
  <conditionalFormatting sqref="N292">
    <cfRule type="expression" dxfId="30" priority="31" stopIfTrue="1">
      <formula>ROW()=CELL("ROW")</formula>
    </cfRule>
  </conditionalFormatting>
  <conditionalFormatting sqref="N294">
    <cfRule type="expression" dxfId="29" priority="30" stopIfTrue="1">
      <formula>ROW()=CELL("ROW")</formula>
    </cfRule>
  </conditionalFormatting>
  <conditionalFormatting sqref="N298">
    <cfRule type="expression" dxfId="28" priority="29" stopIfTrue="1">
      <formula>ROW()=CELL("ROW")</formula>
    </cfRule>
  </conditionalFormatting>
  <conditionalFormatting sqref="N300">
    <cfRule type="expression" dxfId="27" priority="28" stopIfTrue="1">
      <formula>ROW()=CELL("ROW")</formula>
    </cfRule>
  </conditionalFormatting>
  <conditionalFormatting sqref="N302">
    <cfRule type="expression" dxfId="26" priority="27" stopIfTrue="1">
      <formula>ROW()=CELL("ROW")</formula>
    </cfRule>
  </conditionalFormatting>
  <conditionalFormatting sqref="N304">
    <cfRule type="expression" dxfId="25" priority="26" stopIfTrue="1">
      <formula>ROW()=CELL("ROW")</formula>
    </cfRule>
  </conditionalFormatting>
  <conditionalFormatting sqref="N306">
    <cfRule type="expression" dxfId="24" priority="25" stopIfTrue="1">
      <formula>ROW()=CELL("ROW")</formula>
    </cfRule>
  </conditionalFormatting>
  <conditionalFormatting sqref="N308">
    <cfRule type="expression" dxfId="23" priority="24" stopIfTrue="1">
      <formula>ROW()=CELL("ROW")</formula>
    </cfRule>
  </conditionalFormatting>
  <conditionalFormatting sqref="N318">
    <cfRule type="expression" dxfId="22" priority="23" stopIfTrue="1">
      <formula>ROW()=CELL("ROW")</formula>
    </cfRule>
  </conditionalFormatting>
  <conditionalFormatting sqref="N322">
    <cfRule type="expression" dxfId="21" priority="22" stopIfTrue="1">
      <formula>ROW()=CELL("ROW")</formula>
    </cfRule>
  </conditionalFormatting>
  <conditionalFormatting sqref="N340">
    <cfRule type="expression" dxfId="20" priority="21" stopIfTrue="1">
      <formula>ROW()=CELL("ROW")</formula>
    </cfRule>
  </conditionalFormatting>
  <conditionalFormatting sqref="N342">
    <cfRule type="expression" dxfId="19" priority="20" stopIfTrue="1">
      <formula>ROW()=CELL("ROW")</formula>
    </cfRule>
  </conditionalFormatting>
  <conditionalFormatting sqref="N344">
    <cfRule type="expression" dxfId="18" priority="19" stopIfTrue="1">
      <formula>ROW()=CELL("ROW")</formula>
    </cfRule>
  </conditionalFormatting>
  <conditionalFormatting sqref="N348">
    <cfRule type="expression" dxfId="17" priority="18" stopIfTrue="1">
      <formula>ROW()=CELL("ROW")</formula>
    </cfRule>
  </conditionalFormatting>
  <conditionalFormatting sqref="N350">
    <cfRule type="expression" dxfId="16" priority="17" stopIfTrue="1">
      <formula>ROW()=CELL("ROW")</formula>
    </cfRule>
  </conditionalFormatting>
  <conditionalFormatting sqref="N362">
    <cfRule type="expression" dxfId="15" priority="16" stopIfTrue="1">
      <formula>ROW()=CELL("ROW")</formula>
    </cfRule>
  </conditionalFormatting>
  <conditionalFormatting sqref="N370">
    <cfRule type="expression" dxfId="14" priority="15" stopIfTrue="1">
      <formula>ROW()=CELL("ROW")</formula>
    </cfRule>
  </conditionalFormatting>
  <conditionalFormatting sqref="N374">
    <cfRule type="expression" dxfId="13" priority="14" stopIfTrue="1">
      <formula>ROW()=CELL("ROW")</formula>
    </cfRule>
  </conditionalFormatting>
  <conditionalFormatting sqref="N376">
    <cfRule type="expression" dxfId="12" priority="13" stopIfTrue="1">
      <formula>ROW()=CELL("ROW")</formula>
    </cfRule>
  </conditionalFormatting>
  <conditionalFormatting sqref="N380">
    <cfRule type="expression" dxfId="11" priority="12" stopIfTrue="1">
      <formula>ROW()=CELL("ROW")</formula>
    </cfRule>
  </conditionalFormatting>
  <conditionalFormatting sqref="N382">
    <cfRule type="expression" dxfId="10" priority="11" stopIfTrue="1">
      <formula>ROW()=CELL("ROW")</formula>
    </cfRule>
  </conditionalFormatting>
  <conditionalFormatting sqref="N384">
    <cfRule type="expression" dxfId="9" priority="10" stopIfTrue="1">
      <formula>ROW()=CELL("ROW")</formula>
    </cfRule>
  </conditionalFormatting>
  <conditionalFormatting sqref="N386">
    <cfRule type="expression" dxfId="8" priority="9" stopIfTrue="1">
      <formula>ROW()=CELL("ROW")</formula>
    </cfRule>
  </conditionalFormatting>
  <conditionalFormatting sqref="N388">
    <cfRule type="expression" dxfId="7" priority="8" stopIfTrue="1">
      <formula>ROW()=CELL("ROW")</formula>
    </cfRule>
  </conditionalFormatting>
  <conditionalFormatting sqref="N393">
    <cfRule type="expression" dxfId="6" priority="7" stopIfTrue="1">
      <formula>ROW()=CELL("ROW")</formula>
    </cfRule>
  </conditionalFormatting>
  <conditionalFormatting sqref="N403">
    <cfRule type="expression" dxfId="5" priority="6" stopIfTrue="1">
      <formula>ROW()=CELL("ROW")</formula>
    </cfRule>
  </conditionalFormatting>
  <conditionalFormatting sqref="N405">
    <cfRule type="expression" dxfId="4" priority="5" stopIfTrue="1">
      <formula>ROW()=CELL("ROW")</formula>
    </cfRule>
  </conditionalFormatting>
  <conditionalFormatting sqref="N407">
    <cfRule type="expression" dxfId="3" priority="4" stopIfTrue="1">
      <formula>ROW()=CELL("ROW")</formula>
    </cfRule>
  </conditionalFormatting>
  <conditionalFormatting sqref="N409">
    <cfRule type="expression" dxfId="2" priority="3" stopIfTrue="1">
      <formula>ROW()=CELL("ROW")</formula>
    </cfRule>
  </conditionalFormatting>
  <conditionalFormatting sqref="N411">
    <cfRule type="expression" dxfId="1" priority="2" stopIfTrue="1">
      <formula>ROW()=CELL("ROW")</formula>
    </cfRule>
  </conditionalFormatting>
  <conditionalFormatting sqref="N413">
    <cfRule type="expression" dxfId="0" priority="1" stopIfTrue="1">
      <formula>ROW()=CELL("ROW")</formula>
    </cfRule>
  </conditionalFormatting>
  <pageMargins left="0.39370078740157483" right="0.39370078740157483" top="0.39370078740157483" bottom="0.39370078740157483" header="0.31496062992125984" footer="0.31496062992125984"/>
  <pageSetup paperSize="9" scale="69" fitToHeight="0" orientation="landscape" verticalDpi="300" r:id="rId1"/>
  <rowBreaks count="14" manualBreakCount="14">
    <brk id="107" min="1" max="13" man="1"/>
    <brk id="121" min="1" max="13" man="1"/>
    <brk id="126" min="1" max="13" man="1"/>
    <brk id="185" min="1" max="13" man="1"/>
    <brk id="201" min="1" max="13" man="1"/>
    <brk id="225" min="1" max="13" man="1"/>
    <brk id="269" min="1" max="13" man="1"/>
    <brk id="277" min="1" max="13" man="1"/>
    <brk id="296" min="1" max="13" man="1"/>
    <brk id="387" min="1" max="13" man="1"/>
    <brk id="409" min="1" max="13" man="1"/>
    <brk id="416" min="1" max="13" man="1"/>
    <brk id="458" min="1" max="13" man="1"/>
    <brk id="482" min="1" max="13" man="1"/>
  </rowBreaks>
  <ignoredErrors>
    <ignoredError sqref="J115" formula="1"/>
  </ignoredError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B1:J41"/>
  <sheetViews>
    <sheetView zoomScaleNormal="100" workbookViewId="0">
      <pane ySplit="3" topLeftCell="A4" activePane="bottomLeft" state="frozen"/>
      <selection pane="bottomLeft" activeCell="K1" sqref="K1"/>
    </sheetView>
  </sheetViews>
  <sheetFormatPr defaultColWidth="9.33203125" defaultRowHeight="13.8" x14ac:dyDescent="0.25"/>
  <cols>
    <col min="1" max="1" width="9.33203125" style="83"/>
    <col min="2" max="2" width="5.44140625" style="83" bestFit="1" customWidth="1"/>
    <col min="3" max="3" width="41.6640625" style="83" customWidth="1"/>
    <col min="4" max="4" width="7.6640625" style="83" customWidth="1"/>
    <col min="5" max="8" width="16.33203125" style="83" customWidth="1"/>
    <col min="9" max="9" width="18.6640625" style="83" customWidth="1"/>
    <col min="10" max="16384" width="9.33203125" style="83"/>
  </cols>
  <sheetData>
    <row r="1" spans="2:10" ht="45.75" customHeight="1" x14ac:dyDescent="0.3">
      <c r="B1" s="161" t="s">
        <v>326</v>
      </c>
      <c r="C1" s="162"/>
      <c r="D1" s="162"/>
      <c r="E1" s="162"/>
      <c r="F1" s="162"/>
      <c r="G1" s="162"/>
      <c r="H1" s="162"/>
      <c r="I1" s="163"/>
    </row>
    <row r="2" spans="2:10" ht="16.95" customHeight="1" x14ac:dyDescent="0.25">
      <c r="B2" s="160" t="s">
        <v>325</v>
      </c>
      <c r="C2" s="160"/>
      <c r="D2" s="160"/>
      <c r="E2" s="160"/>
      <c r="F2" s="160"/>
      <c r="G2" s="160"/>
      <c r="H2" s="160"/>
      <c r="I2" s="160"/>
    </row>
    <row r="3" spans="2:10" ht="27.6" x14ac:dyDescent="0.25">
      <c r="B3" s="102" t="s">
        <v>324</v>
      </c>
      <c r="C3" s="101" t="s">
        <v>323</v>
      </c>
      <c r="D3" s="101"/>
      <c r="E3" s="101" t="s">
        <v>322</v>
      </c>
      <c r="F3" s="101" t="s">
        <v>321</v>
      </c>
      <c r="G3" s="101" t="s">
        <v>320</v>
      </c>
      <c r="H3" s="101" t="s">
        <v>319</v>
      </c>
      <c r="I3" s="101" t="s">
        <v>318</v>
      </c>
      <c r="J3" s="91"/>
    </row>
    <row r="4" spans="2:10" x14ac:dyDescent="0.25">
      <c r="B4" s="88">
        <v>1</v>
      </c>
      <c r="C4" s="92" t="s">
        <v>317</v>
      </c>
      <c r="D4" s="92"/>
      <c r="E4" s="93">
        <f>RE!G102</f>
        <v>26020475</v>
      </c>
      <c r="F4" s="93">
        <f>RE!K102</f>
        <v>25910475</v>
      </c>
      <c r="G4" s="93">
        <f t="shared" ref="G4:G11" si="0">ROUND(IF(F4&gt;E4,F4-E4,0),0)</f>
        <v>0</v>
      </c>
      <c r="H4" s="93">
        <f t="shared" ref="H4:H11" si="1">ROUND(IF(F4&lt;E4,E4-F4,0),0)</f>
        <v>110000</v>
      </c>
      <c r="I4" s="92"/>
      <c r="J4" s="91"/>
    </row>
    <row r="5" spans="2:10" x14ac:dyDescent="0.25">
      <c r="B5" s="88">
        <v>2</v>
      </c>
      <c r="C5" s="92" t="s">
        <v>45</v>
      </c>
      <c r="D5" s="92"/>
      <c r="E5" s="93">
        <f>RE!G168</f>
        <v>5915529</v>
      </c>
      <c r="F5" s="93">
        <f>RE!K168</f>
        <v>6901373</v>
      </c>
      <c r="G5" s="93">
        <f t="shared" si="0"/>
        <v>985844</v>
      </c>
      <c r="H5" s="93">
        <f t="shared" si="1"/>
        <v>0</v>
      </c>
      <c r="I5" s="92"/>
      <c r="J5" s="91"/>
    </row>
    <row r="6" spans="2:10" x14ac:dyDescent="0.25">
      <c r="B6" s="88">
        <v>3</v>
      </c>
      <c r="C6" s="92" t="s">
        <v>316</v>
      </c>
      <c r="D6" s="92"/>
      <c r="E6" s="93">
        <f>RE!G198</f>
        <v>215122</v>
      </c>
      <c r="F6" s="93">
        <f>RE!K198</f>
        <v>136951</v>
      </c>
      <c r="G6" s="93">
        <f t="shared" si="0"/>
        <v>0</v>
      </c>
      <c r="H6" s="93">
        <f t="shared" si="1"/>
        <v>78171</v>
      </c>
      <c r="I6" s="92"/>
      <c r="J6" s="91"/>
    </row>
    <row r="7" spans="2:10" x14ac:dyDescent="0.25">
      <c r="B7" s="88">
        <v>4</v>
      </c>
      <c r="C7" s="92" t="s">
        <v>315</v>
      </c>
      <c r="D7" s="92"/>
      <c r="E7" s="93">
        <f>RE!G288</f>
        <v>3719411</v>
      </c>
      <c r="F7" s="93">
        <f>RE!K288</f>
        <v>5641335</v>
      </c>
      <c r="G7" s="93">
        <f t="shared" si="0"/>
        <v>1921924</v>
      </c>
      <c r="H7" s="93">
        <f t="shared" si="1"/>
        <v>0</v>
      </c>
      <c r="I7" s="92"/>
      <c r="J7" s="91"/>
    </row>
    <row r="8" spans="2:10" x14ac:dyDescent="0.25">
      <c r="B8" s="88">
        <v>5</v>
      </c>
      <c r="C8" s="92" t="s">
        <v>314</v>
      </c>
      <c r="D8" s="92"/>
      <c r="E8" s="93">
        <f>RE!G296</f>
        <v>689000</v>
      </c>
      <c r="F8" s="93">
        <f>RE!K296</f>
        <v>689000</v>
      </c>
      <c r="G8" s="93">
        <f t="shared" si="0"/>
        <v>0</v>
      </c>
      <c r="H8" s="93">
        <f t="shared" si="1"/>
        <v>0</v>
      </c>
      <c r="I8" s="92"/>
      <c r="J8" s="91"/>
    </row>
    <row r="9" spans="2:10" x14ac:dyDescent="0.25">
      <c r="B9" s="88">
        <v>6</v>
      </c>
      <c r="C9" s="92" t="s">
        <v>313</v>
      </c>
      <c r="D9" s="92"/>
      <c r="E9" s="93">
        <f>RE!G310</f>
        <v>873880</v>
      </c>
      <c r="F9" s="93">
        <f>RE!K310</f>
        <v>873880</v>
      </c>
      <c r="G9" s="93">
        <f t="shared" si="0"/>
        <v>0</v>
      </c>
      <c r="H9" s="93">
        <f t="shared" si="1"/>
        <v>0</v>
      </c>
      <c r="I9" s="92"/>
      <c r="J9" s="91"/>
    </row>
    <row r="10" spans="2:10" x14ac:dyDescent="0.25">
      <c r="B10" s="88">
        <v>7</v>
      </c>
      <c r="C10" s="92" t="s">
        <v>312</v>
      </c>
      <c r="D10" s="92"/>
      <c r="E10" s="93">
        <f>RE!G378</f>
        <v>3946060</v>
      </c>
      <c r="F10" s="93">
        <f>RE!K378</f>
        <v>2729746</v>
      </c>
      <c r="G10" s="93">
        <f t="shared" si="0"/>
        <v>0</v>
      </c>
      <c r="H10" s="93">
        <f t="shared" si="1"/>
        <v>1216314</v>
      </c>
      <c r="I10" s="92"/>
      <c r="J10" s="91"/>
    </row>
    <row r="11" spans="2:10" x14ac:dyDescent="0.25">
      <c r="B11" s="88">
        <v>8</v>
      </c>
      <c r="C11" s="92" t="s">
        <v>311</v>
      </c>
      <c r="D11" s="92"/>
      <c r="E11" s="93">
        <f>RE!G415</f>
        <v>1025822</v>
      </c>
      <c r="F11" s="93">
        <f>RE!K415</f>
        <v>1141255</v>
      </c>
      <c r="G11" s="93">
        <f t="shared" si="0"/>
        <v>115433</v>
      </c>
      <c r="H11" s="93">
        <f t="shared" si="1"/>
        <v>0</v>
      </c>
      <c r="I11" s="92"/>
      <c r="J11" s="91"/>
    </row>
    <row r="12" spans="2:10" x14ac:dyDescent="0.25">
      <c r="B12" s="88"/>
      <c r="C12" s="100" t="s">
        <v>310</v>
      </c>
      <c r="D12" s="100"/>
      <c r="E12" s="98">
        <f>SUM(E4:E11)</f>
        <v>42405299</v>
      </c>
      <c r="F12" s="98">
        <f>SUM(F4:F11)</f>
        <v>44024015</v>
      </c>
      <c r="G12" s="98">
        <f>SUM(G4:G11)</f>
        <v>3023201</v>
      </c>
      <c r="H12" s="98">
        <f>SUM(H4:H11)</f>
        <v>1404485</v>
      </c>
      <c r="I12" s="92"/>
      <c r="J12" s="91"/>
    </row>
    <row r="13" spans="2:10" x14ac:dyDescent="0.25">
      <c r="B13" s="88">
        <v>9</v>
      </c>
      <c r="C13" s="92" t="s">
        <v>309</v>
      </c>
      <c r="D13" s="92"/>
      <c r="E13" s="93">
        <v>0</v>
      </c>
      <c r="F13" s="93">
        <f>RE!K426</f>
        <v>303100</v>
      </c>
      <c r="G13" s="93">
        <f t="shared" ref="G13:G19" si="2">ROUND(IF(F13&gt;E13,F13-E13,0),0)</f>
        <v>303100</v>
      </c>
      <c r="H13" s="93">
        <f t="shared" ref="H13:H19" si="3">ROUND(IF(F13&lt;E13,E13-F13,0),0)</f>
        <v>0</v>
      </c>
      <c r="I13" s="92"/>
      <c r="J13" s="91"/>
    </row>
    <row r="14" spans="2:10" x14ac:dyDescent="0.25">
      <c r="B14" s="88">
        <v>10</v>
      </c>
      <c r="C14" s="92" t="s">
        <v>308</v>
      </c>
      <c r="D14" s="92"/>
      <c r="E14" s="93">
        <v>0</v>
      </c>
      <c r="F14" s="93">
        <f>RE!K455</f>
        <v>754834</v>
      </c>
      <c r="G14" s="93">
        <f t="shared" si="2"/>
        <v>754834</v>
      </c>
      <c r="H14" s="93">
        <f t="shared" si="3"/>
        <v>0</v>
      </c>
      <c r="I14" s="92"/>
      <c r="J14" s="91"/>
    </row>
    <row r="15" spans="2:10" x14ac:dyDescent="0.25">
      <c r="B15" s="88">
        <v>11</v>
      </c>
      <c r="C15" s="92" t="s">
        <v>307</v>
      </c>
      <c r="D15" s="92"/>
      <c r="E15" s="93">
        <v>0</v>
      </c>
      <c r="F15" s="93">
        <f>RE!K458</f>
        <v>21025</v>
      </c>
      <c r="G15" s="93">
        <f t="shared" si="2"/>
        <v>21025</v>
      </c>
      <c r="H15" s="93">
        <f t="shared" si="3"/>
        <v>0</v>
      </c>
      <c r="I15" s="92"/>
      <c r="J15" s="91"/>
    </row>
    <row r="16" spans="2:10" x14ac:dyDescent="0.25">
      <c r="B16" s="88">
        <v>12</v>
      </c>
      <c r="C16" s="92" t="s">
        <v>306</v>
      </c>
      <c r="D16" s="92"/>
      <c r="E16" s="93">
        <v>0</v>
      </c>
      <c r="F16" s="93">
        <f>RE!K479</f>
        <v>450720</v>
      </c>
      <c r="G16" s="93">
        <f t="shared" si="2"/>
        <v>450720</v>
      </c>
      <c r="H16" s="93">
        <f t="shared" si="3"/>
        <v>0</v>
      </c>
      <c r="I16" s="92"/>
      <c r="J16" s="91"/>
    </row>
    <row r="17" spans="2:10" x14ac:dyDescent="0.25">
      <c r="B17" s="88">
        <v>13</v>
      </c>
      <c r="C17" s="92" t="s">
        <v>305</v>
      </c>
      <c r="D17" s="92"/>
      <c r="E17" s="93">
        <v>0</v>
      </c>
      <c r="F17" s="93">
        <f>RE!K482</f>
        <v>291366</v>
      </c>
      <c r="G17" s="93">
        <f t="shared" si="2"/>
        <v>291366</v>
      </c>
      <c r="H17" s="93">
        <f t="shared" si="3"/>
        <v>0</v>
      </c>
      <c r="I17" s="92"/>
      <c r="J17" s="91"/>
    </row>
    <row r="18" spans="2:10" x14ac:dyDescent="0.25">
      <c r="B18" s="88">
        <v>14</v>
      </c>
      <c r="C18" s="92" t="s">
        <v>304</v>
      </c>
      <c r="D18" s="92"/>
      <c r="E18" s="93">
        <v>0</v>
      </c>
      <c r="F18" s="93">
        <f>RE!K493</f>
        <v>1681050</v>
      </c>
      <c r="G18" s="93">
        <f t="shared" si="2"/>
        <v>1681050</v>
      </c>
      <c r="H18" s="93">
        <f t="shared" si="3"/>
        <v>0</v>
      </c>
      <c r="I18" s="92"/>
      <c r="J18" s="91"/>
    </row>
    <row r="19" spans="2:10" x14ac:dyDescent="0.25">
      <c r="B19" s="88">
        <v>15</v>
      </c>
      <c r="C19" s="92" t="s">
        <v>303</v>
      </c>
      <c r="D19" s="92"/>
      <c r="E19" s="93">
        <v>0</v>
      </c>
      <c r="F19" s="93">
        <f>RE!K505</f>
        <v>814670</v>
      </c>
      <c r="G19" s="93">
        <f t="shared" si="2"/>
        <v>814670</v>
      </c>
      <c r="H19" s="93">
        <f t="shared" si="3"/>
        <v>0</v>
      </c>
      <c r="I19" s="92"/>
      <c r="J19" s="91"/>
    </row>
    <row r="20" spans="2:10" x14ac:dyDescent="0.25">
      <c r="B20" s="88"/>
      <c r="C20" s="100" t="s">
        <v>302</v>
      </c>
      <c r="D20" s="100"/>
      <c r="E20" s="98">
        <f>SUM(E13:E19)</f>
        <v>0</v>
      </c>
      <c r="F20" s="98">
        <f>SUM(F13:F19)</f>
        <v>4316765</v>
      </c>
      <c r="G20" s="98">
        <f>SUM(G13:G19)</f>
        <v>4316765</v>
      </c>
      <c r="H20" s="98">
        <f>SUM(H13:H19)</f>
        <v>0</v>
      </c>
      <c r="I20" s="92"/>
      <c r="J20" s="91"/>
    </row>
    <row r="21" spans="2:10" x14ac:dyDescent="0.25">
      <c r="B21" s="88"/>
      <c r="C21" s="99" t="s">
        <v>301</v>
      </c>
      <c r="D21" s="99"/>
      <c r="E21" s="98">
        <f>SUM(E20,E12)</f>
        <v>42405299</v>
      </c>
      <c r="F21" s="98">
        <f>SUM(F20,F12)</f>
        <v>48340780</v>
      </c>
      <c r="G21" s="98">
        <f>SUM(G20,G12)</f>
        <v>7339966</v>
      </c>
      <c r="H21" s="98">
        <f>SUM(H20,H12)</f>
        <v>1404485</v>
      </c>
      <c r="I21" s="92"/>
      <c r="J21" s="91"/>
    </row>
    <row r="22" spans="2:10" x14ac:dyDescent="0.25">
      <c r="B22" s="88"/>
      <c r="C22" s="99" t="s">
        <v>300</v>
      </c>
      <c r="D22" s="99"/>
      <c r="E22" s="93">
        <f>E21*18%</f>
        <v>7632953.8199999994</v>
      </c>
      <c r="F22" s="93">
        <f>F21*18%</f>
        <v>8701340.4000000004</v>
      </c>
      <c r="G22" s="93">
        <f>ROUND(IF(F22&gt;E22,F22-E22,0),0)</f>
        <v>1068387</v>
      </c>
      <c r="H22" s="93">
        <f>ROUND(IF(F22&lt;E22,E22-F22,0),0)</f>
        <v>0</v>
      </c>
      <c r="I22" s="92"/>
      <c r="J22" s="91"/>
    </row>
    <row r="23" spans="2:10" x14ac:dyDescent="0.25">
      <c r="B23" s="88"/>
      <c r="C23" s="99"/>
      <c r="D23" s="99"/>
      <c r="E23" s="98">
        <f>SUM(E21:E22)</f>
        <v>50038252.82</v>
      </c>
      <c r="F23" s="98">
        <f>SUM(F21:F22)</f>
        <v>57042120.399999999</v>
      </c>
      <c r="G23" s="93">
        <f>ROUND(IF(F23&gt;E23,F23-E23,0),0)</f>
        <v>7003868</v>
      </c>
      <c r="H23" s="93">
        <f>ROUND(IF(F23&lt;E23,E23-F23,0),0)</f>
        <v>0</v>
      </c>
      <c r="I23" s="92"/>
      <c r="J23" s="91"/>
    </row>
    <row r="24" spans="2:10" ht="27.6" x14ac:dyDescent="0.25">
      <c r="B24" s="88">
        <v>16</v>
      </c>
      <c r="C24" s="94" t="s">
        <v>299</v>
      </c>
      <c r="D24" s="95">
        <v>0.01</v>
      </c>
      <c r="E24" s="93"/>
      <c r="F24" s="93">
        <f>F21*D24</f>
        <v>483407.8</v>
      </c>
      <c r="G24" s="93"/>
      <c r="H24" s="93"/>
      <c r="I24" s="92"/>
      <c r="J24" s="91"/>
    </row>
    <row r="25" spans="2:10" ht="27.6" x14ac:dyDescent="0.25">
      <c r="B25" s="88">
        <v>17</v>
      </c>
      <c r="C25" s="94" t="s">
        <v>298</v>
      </c>
      <c r="D25" s="97">
        <v>1E-3</v>
      </c>
      <c r="E25" s="93"/>
      <c r="F25" s="93">
        <f>F21*D25</f>
        <v>48340.78</v>
      </c>
      <c r="G25" s="93"/>
      <c r="H25" s="93"/>
      <c r="I25" s="92"/>
      <c r="J25" s="91"/>
    </row>
    <row r="26" spans="2:10" ht="27.6" x14ac:dyDescent="0.25">
      <c r="B26" s="88">
        <v>18</v>
      </c>
      <c r="C26" s="94" t="s">
        <v>297</v>
      </c>
      <c r="D26" s="96"/>
      <c r="E26" s="93"/>
      <c r="F26" s="93">
        <v>448</v>
      </c>
      <c r="G26" s="93"/>
      <c r="H26" s="93"/>
      <c r="I26" s="92"/>
      <c r="J26" s="91"/>
    </row>
    <row r="27" spans="2:10" ht="27.6" x14ac:dyDescent="0.25">
      <c r="B27" s="88">
        <v>19</v>
      </c>
      <c r="C27" s="94" t="s">
        <v>296</v>
      </c>
      <c r="D27" s="95">
        <v>0.3</v>
      </c>
      <c r="E27" s="93"/>
      <c r="F27" s="93">
        <f>F26*D27</f>
        <v>134.4</v>
      </c>
      <c r="G27" s="93"/>
      <c r="H27" s="93"/>
      <c r="I27" s="92"/>
      <c r="J27" s="91"/>
    </row>
    <row r="28" spans="2:10" ht="27.6" x14ac:dyDescent="0.25">
      <c r="B28" s="88">
        <v>20</v>
      </c>
      <c r="C28" s="94" t="s">
        <v>295</v>
      </c>
      <c r="D28" s="95">
        <v>0.02</v>
      </c>
      <c r="E28" s="93"/>
      <c r="F28" s="93">
        <f>F26*D28</f>
        <v>8.9600000000000009</v>
      </c>
      <c r="G28" s="93"/>
      <c r="H28" s="93"/>
      <c r="I28" s="92"/>
      <c r="J28" s="91"/>
    </row>
    <row r="29" spans="2:10" x14ac:dyDescent="0.25">
      <c r="B29" s="88">
        <v>21</v>
      </c>
      <c r="C29" s="94" t="s">
        <v>294</v>
      </c>
      <c r="D29" s="97">
        <v>1E-4</v>
      </c>
      <c r="E29" s="93"/>
      <c r="F29" s="93">
        <f>F21*D29</f>
        <v>4834.0780000000004</v>
      </c>
      <c r="G29" s="93"/>
      <c r="H29" s="93"/>
      <c r="I29" s="92"/>
      <c r="J29" s="91"/>
    </row>
    <row r="30" spans="2:10" x14ac:dyDescent="0.25">
      <c r="B30" s="88">
        <v>22</v>
      </c>
      <c r="C30" s="90" t="s">
        <v>293</v>
      </c>
      <c r="D30" s="96"/>
      <c r="E30" s="93"/>
      <c r="F30" s="93">
        <f>SUM(F24:F29)</f>
        <v>537174.01799999992</v>
      </c>
      <c r="G30" s="93"/>
      <c r="H30" s="93"/>
      <c r="I30" s="92"/>
      <c r="J30" s="91"/>
    </row>
    <row r="31" spans="2:10" ht="27.6" x14ac:dyDescent="0.25">
      <c r="B31" s="88">
        <v>23</v>
      </c>
      <c r="C31" s="94" t="s">
        <v>292</v>
      </c>
      <c r="D31" s="95">
        <v>0.18</v>
      </c>
      <c r="E31" s="93"/>
      <c r="F31" s="93">
        <f>F30*D31</f>
        <v>96691.323239999983</v>
      </c>
      <c r="G31" s="93"/>
      <c r="H31" s="93"/>
      <c r="I31" s="92"/>
      <c r="J31" s="91"/>
    </row>
    <row r="32" spans="2:10" ht="27.6" x14ac:dyDescent="0.25">
      <c r="B32" s="88">
        <v>24</v>
      </c>
      <c r="C32" s="94" t="s">
        <v>291</v>
      </c>
      <c r="D32" s="95">
        <v>0.04</v>
      </c>
      <c r="E32" s="93">
        <f>D32*E23</f>
        <v>2001530.1128</v>
      </c>
      <c r="F32" s="93">
        <f>D32*F23</f>
        <v>2281684.8160000001</v>
      </c>
      <c r="G32" s="93"/>
      <c r="H32" s="93"/>
      <c r="I32" s="92"/>
      <c r="J32" s="91"/>
    </row>
    <row r="33" spans="2:10" ht="27.6" x14ac:dyDescent="0.25">
      <c r="B33" s="88">
        <v>25</v>
      </c>
      <c r="C33" s="94" t="s">
        <v>290</v>
      </c>
      <c r="D33" s="94"/>
      <c r="E33" s="93"/>
      <c r="F33" s="93"/>
      <c r="G33" s="93"/>
      <c r="H33" s="93"/>
      <c r="I33" s="92"/>
      <c r="J33" s="91"/>
    </row>
    <row r="34" spans="2:10" x14ac:dyDescent="0.25">
      <c r="B34" s="88"/>
      <c r="C34" s="90" t="s">
        <v>289</v>
      </c>
      <c r="D34" s="86"/>
      <c r="E34" s="89"/>
      <c r="F34" s="89">
        <f>SUM(F30:F33)</f>
        <v>2915550.1572400001</v>
      </c>
      <c r="G34" s="89"/>
      <c r="H34" s="89"/>
      <c r="I34" s="86"/>
    </row>
    <row r="35" spans="2:10" x14ac:dyDescent="0.25">
      <c r="B35" s="88"/>
      <c r="C35" s="86"/>
      <c r="D35" s="86"/>
      <c r="E35" s="87">
        <f>SUM(E23:E34)</f>
        <v>52039782.932800002</v>
      </c>
      <c r="F35" s="87">
        <f>F34+F21+F22</f>
        <v>59957670.557240002</v>
      </c>
      <c r="G35" s="87">
        <f>F35-E35</f>
        <v>7917887.6244399995</v>
      </c>
      <c r="H35" s="87"/>
      <c r="I35" s="86"/>
    </row>
    <row r="36" spans="2:10" x14ac:dyDescent="0.25">
      <c r="B36" s="84"/>
      <c r="E36" s="85"/>
      <c r="F36" s="85"/>
      <c r="G36" s="85"/>
      <c r="H36" s="85"/>
    </row>
    <row r="37" spans="2:10" x14ac:dyDescent="0.25">
      <c r="B37" s="84"/>
      <c r="E37" s="85"/>
      <c r="F37" s="85">
        <f>F35-E35</f>
        <v>7917887.6244399995</v>
      </c>
      <c r="G37" s="85"/>
      <c r="H37" s="85"/>
    </row>
    <row r="38" spans="2:10" x14ac:dyDescent="0.25">
      <c r="B38" s="84"/>
    </row>
    <row r="39" spans="2:10" x14ac:dyDescent="0.25">
      <c r="B39" s="84"/>
    </row>
    <row r="40" spans="2:10" x14ac:dyDescent="0.25">
      <c r="B40" s="84"/>
    </row>
    <row r="41" spans="2:10" x14ac:dyDescent="0.25">
      <c r="B41" s="84"/>
    </row>
  </sheetData>
  <mergeCells count="2">
    <mergeCell ref="B2:I2"/>
    <mergeCell ref="B1:I1"/>
  </mergeCells>
  <printOptions horizontalCentered="1"/>
  <pageMargins left="0.70866141732283472" right="0.31496062992125984" top="0.74803149606299213" bottom="1.1417322834645669" header="0.31496062992125984" footer="0.31496062992125984"/>
  <pageSetup paperSize="9" orientation="landscape"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dimension ref="A1:Q24"/>
  <sheetViews>
    <sheetView topLeftCell="A8" zoomScale="91" zoomScaleNormal="91" workbookViewId="0">
      <selection activeCell="B5" sqref="B5"/>
    </sheetView>
  </sheetViews>
  <sheetFormatPr defaultRowHeight="13.2" x14ac:dyDescent="0.25"/>
  <cols>
    <col min="1" max="1" width="5.21875" bestFit="1" customWidth="1"/>
    <col min="2" max="2" width="71.44140625" customWidth="1"/>
    <col min="3" max="3" width="7.77734375" bestFit="1" customWidth="1"/>
    <col min="4" max="4" width="5.44140625" bestFit="1" customWidth="1"/>
    <col min="17" max="17" width="12.33203125" customWidth="1"/>
  </cols>
  <sheetData>
    <row r="1" spans="1:17" s="143" customFormat="1" ht="16.2" customHeight="1" x14ac:dyDescent="0.3">
      <c r="A1" s="164" t="s">
        <v>324</v>
      </c>
      <c r="B1" s="164" t="s">
        <v>384</v>
      </c>
      <c r="C1" s="164" t="s">
        <v>349</v>
      </c>
      <c r="D1" s="167" t="s">
        <v>0</v>
      </c>
      <c r="E1" s="165" t="s">
        <v>0</v>
      </c>
      <c r="F1" s="165"/>
      <c r="G1" s="165"/>
      <c r="H1" s="165" t="s">
        <v>383</v>
      </c>
      <c r="I1" s="165"/>
      <c r="J1" s="165"/>
      <c r="K1" s="165" t="s">
        <v>382</v>
      </c>
      <c r="L1" s="165"/>
      <c r="M1" s="165"/>
      <c r="N1" s="165" t="s">
        <v>381</v>
      </c>
      <c r="O1" s="165"/>
      <c r="P1" s="165"/>
      <c r="Q1" s="164" t="s">
        <v>380</v>
      </c>
    </row>
    <row r="2" spans="1:17" s="143" customFormat="1" ht="15" customHeight="1" x14ac:dyDescent="0.3">
      <c r="A2" s="164"/>
      <c r="B2" s="164"/>
      <c r="C2" s="164"/>
      <c r="D2" s="167"/>
      <c r="E2" s="166" t="s">
        <v>379</v>
      </c>
      <c r="F2" s="166" t="s">
        <v>378</v>
      </c>
      <c r="G2" s="166" t="s">
        <v>377</v>
      </c>
      <c r="H2" s="166" t="s">
        <v>376</v>
      </c>
      <c r="I2" s="166" t="s">
        <v>375</v>
      </c>
      <c r="J2" s="166" t="s">
        <v>374</v>
      </c>
      <c r="K2" s="166" t="s">
        <v>373</v>
      </c>
      <c r="L2" s="166" t="s">
        <v>372</v>
      </c>
      <c r="M2" s="166" t="s">
        <v>371</v>
      </c>
      <c r="N2" s="166" t="s">
        <v>370</v>
      </c>
      <c r="O2" s="166" t="s">
        <v>369</v>
      </c>
      <c r="P2" s="166" t="s">
        <v>368</v>
      </c>
      <c r="Q2" s="164"/>
    </row>
    <row r="3" spans="1:17" s="143" customFormat="1" ht="15" customHeight="1" x14ac:dyDescent="0.3">
      <c r="A3" s="164"/>
      <c r="B3" s="164"/>
      <c r="C3" s="164"/>
      <c r="D3" s="167"/>
      <c r="E3" s="166"/>
      <c r="F3" s="166"/>
      <c r="G3" s="166"/>
      <c r="H3" s="166"/>
      <c r="I3" s="166"/>
      <c r="J3" s="166"/>
      <c r="K3" s="166"/>
      <c r="L3" s="166"/>
      <c r="M3" s="166"/>
      <c r="N3" s="166"/>
      <c r="O3" s="166"/>
      <c r="P3" s="166"/>
      <c r="Q3" s="164"/>
    </row>
    <row r="4" spans="1:17" ht="135" x14ac:dyDescent="0.25">
      <c r="A4" s="6">
        <v>252</v>
      </c>
      <c r="B4" s="7" t="s">
        <v>106</v>
      </c>
      <c r="C4" s="14">
        <v>20.079999999999998</v>
      </c>
      <c r="D4" s="10" t="s">
        <v>13</v>
      </c>
      <c r="E4" s="149">
        <v>3.5219999999999998</v>
      </c>
      <c r="F4" s="151"/>
      <c r="G4" s="151">
        <v>1425</v>
      </c>
      <c r="H4" s="152">
        <v>0.4</v>
      </c>
      <c r="I4" s="152">
        <v>0.8</v>
      </c>
      <c r="J4" s="152">
        <v>0.51200000000000001</v>
      </c>
      <c r="K4" s="153">
        <v>44</v>
      </c>
      <c r="L4" s="153">
        <v>75</v>
      </c>
      <c r="M4" s="153">
        <f>60/1000</f>
        <v>0.06</v>
      </c>
      <c r="N4" s="154">
        <f>E4*H4*K4</f>
        <v>61.987200000000001</v>
      </c>
      <c r="O4" s="154">
        <f>F4*I4*L4</f>
        <v>0</v>
      </c>
      <c r="P4" s="154">
        <f>G4*J4*M4</f>
        <v>43.775999999999996</v>
      </c>
      <c r="Q4" s="154">
        <f>ROUND(SUM(N4:P4),0)</f>
        <v>106</v>
      </c>
    </row>
    <row r="5" spans="1:17" ht="165" x14ac:dyDescent="0.25">
      <c r="A5" s="6">
        <v>253</v>
      </c>
      <c r="B5" s="7" t="s">
        <v>23</v>
      </c>
      <c r="C5" s="14">
        <v>227.17</v>
      </c>
      <c r="D5" s="10" t="s">
        <v>14</v>
      </c>
      <c r="E5" s="149">
        <v>3.5859999999999999</v>
      </c>
      <c r="F5" s="151"/>
      <c r="G5" s="151">
        <v>1612</v>
      </c>
      <c r="H5" s="152">
        <v>0.4</v>
      </c>
      <c r="I5" s="152">
        <v>0.8</v>
      </c>
      <c r="J5" s="152">
        <v>0.51200000000000001</v>
      </c>
      <c r="K5" s="153">
        <v>44</v>
      </c>
      <c r="L5" s="153">
        <v>75</v>
      </c>
      <c r="M5" s="153">
        <f t="shared" ref="M5:M9" si="0">60/1000</f>
        <v>0.06</v>
      </c>
      <c r="N5" s="154">
        <f t="shared" ref="N5:N9" si="1">E5*H5*K5</f>
        <v>63.113600000000005</v>
      </c>
      <c r="O5" s="154">
        <f t="shared" ref="O5:O9" si="2">F5*I5*L5</f>
        <v>0</v>
      </c>
      <c r="P5" s="154">
        <f t="shared" ref="P5:P9" si="3">G5*J5*M5</f>
        <v>49.52064</v>
      </c>
      <c r="Q5" s="154">
        <f>ROUND(SUM(N5:P5),0)</f>
        <v>113</v>
      </c>
    </row>
    <row r="6" spans="1:17" ht="195" x14ac:dyDescent="0.25">
      <c r="A6" s="6">
        <v>254</v>
      </c>
      <c r="B6" s="7" t="s">
        <v>107</v>
      </c>
      <c r="C6" s="14">
        <v>0</v>
      </c>
      <c r="D6" s="10" t="s">
        <v>15</v>
      </c>
      <c r="E6" s="149"/>
      <c r="F6" s="151"/>
      <c r="G6" s="151"/>
      <c r="H6" s="152">
        <v>0.4</v>
      </c>
      <c r="I6" s="152">
        <v>0.8</v>
      </c>
      <c r="J6" s="152">
        <v>0.51200000000000001</v>
      </c>
      <c r="K6" s="153">
        <v>44</v>
      </c>
      <c r="L6" s="153">
        <v>75</v>
      </c>
      <c r="M6" s="153">
        <f t="shared" si="0"/>
        <v>0.06</v>
      </c>
      <c r="N6" s="154">
        <f t="shared" si="1"/>
        <v>0</v>
      </c>
      <c r="O6" s="154">
        <f t="shared" si="2"/>
        <v>0</v>
      </c>
      <c r="P6" s="154">
        <f t="shared" si="3"/>
        <v>0</v>
      </c>
      <c r="Q6" s="154">
        <f t="shared" ref="Q6:Q9" si="4">ROUND(SUM(N6:P6),0)</f>
        <v>0</v>
      </c>
    </row>
    <row r="7" spans="1:17" ht="150" x14ac:dyDescent="0.25">
      <c r="A7" s="6">
        <v>255</v>
      </c>
      <c r="B7" s="7" t="s">
        <v>108</v>
      </c>
      <c r="C7" s="14">
        <v>39.56</v>
      </c>
      <c r="D7" s="10" t="s">
        <v>14</v>
      </c>
      <c r="E7" s="149">
        <v>0.88900000000000001</v>
      </c>
      <c r="F7" s="151"/>
      <c r="G7" s="151"/>
      <c r="H7" s="152">
        <v>0.4</v>
      </c>
      <c r="I7" s="152">
        <v>0.8</v>
      </c>
      <c r="J7" s="152">
        <v>0.51200000000000001</v>
      </c>
      <c r="K7" s="153">
        <v>44</v>
      </c>
      <c r="L7" s="153">
        <v>75</v>
      </c>
      <c r="M7" s="153">
        <f t="shared" si="0"/>
        <v>0.06</v>
      </c>
      <c r="N7" s="154">
        <f t="shared" si="1"/>
        <v>15.646400000000002</v>
      </c>
      <c r="O7" s="154">
        <f t="shared" si="2"/>
        <v>0</v>
      </c>
      <c r="P7" s="154">
        <f t="shared" si="3"/>
        <v>0</v>
      </c>
      <c r="Q7" s="154">
        <f t="shared" si="4"/>
        <v>16</v>
      </c>
    </row>
    <row r="8" spans="1:17" ht="150" x14ac:dyDescent="0.25">
      <c r="A8" s="6">
        <v>256</v>
      </c>
      <c r="B8" s="7" t="s">
        <v>109</v>
      </c>
      <c r="C8" s="14">
        <v>905.88</v>
      </c>
      <c r="D8" s="10" t="s">
        <v>14</v>
      </c>
      <c r="E8" s="149">
        <v>12.117000000000001</v>
      </c>
      <c r="F8" s="151"/>
      <c r="G8" s="151"/>
      <c r="H8" s="152">
        <v>0.4</v>
      </c>
      <c r="I8" s="152">
        <v>0.8</v>
      </c>
      <c r="J8" s="152">
        <v>0.51200000000000001</v>
      </c>
      <c r="K8" s="153">
        <v>44</v>
      </c>
      <c r="L8" s="153">
        <v>75</v>
      </c>
      <c r="M8" s="153">
        <f t="shared" si="0"/>
        <v>0.06</v>
      </c>
      <c r="N8" s="154">
        <f t="shared" si="1"/>
        <v>213.25920000000005</v>
      </c>
      <c r="O8" s="154">
        <f t="shared" si="2"/>
        <v>0</v>
      </c>
      <c r="P8" s="154">
        <f t="shared" si="3"/>
        <v>0</v>
      </c>
      <c r="Q8" s="154">
        <f t="shared" si="4"/>
        <v>213</v>
      </c>
    </row>
    <row r="9" spans="1:17" ht="75" x14ac:dyDescent="0.25">
      <c r="A9" s="34">
        <v>257</v>
      </c>
      <c r="B9" s="7" t="s">
        <v>9</v>
      </c>
      <c r="C9" s="14">
        <v>0</v>
      </c>
      <c r="D9" s="10" t="s">
        <v>14</v>
      </c>
      <c r="E9" s="149"/>
      <c r="F9" s="151"/>
      <c r="G9" s="151"/>
      <c r="H9" s="152">
        <v>0.4</v>
      </c>
      <c r="I9" s="152">
        <v>0.8</v>
      </c>
      <c r="J9" s="152">
        <v>0.51200000000000001</v>
      </c>
      <c r="K9" s="153">
        <v>44</v>
      </c>
      <c r="L9" s="153">
        <v>75</v>
      </c>
      <c r="M9" s="153">
        <f t="shared" si="0"/>
        <v>0.06</v>
      </c>
      <c r="N9" s="154">
        <f t="shared" si="1"/>
        <v>0</v>
      </c>
      <c r="O9" s="154">
        <f t="shared" si="2"/>
        <v>0</v>
      </c>
      <c r="P9" s="154">
        <f t="shared" si="3"/>
        <v>0</v>
      </c>
      <c r="Q9" s="154">
        <f t="shared" si="4"/>
        <v>0</v>
      </c>
    </row>
    <row r="10" spans="1:17" ht="15.6" x14ac:dyDescent="0.25">
      <c r="A10" s="148"/>
      <c r="B10" s="148"/>
      <c r="C10" s="148"/>
      <c r="D10" s="148"/>
      <c r="E10" s="148"/>
      <c r="F10" s="148"/>
      <c r="G10" s="148"/>
      <c r="H10" s="148"/>
      <c r="I10" s="148"/>
      <c r="J10" s="148"/>
      <c r="K10" s="148"/>
      <c r="L10" s="148"/>
      <c r="M10" s="148"/>
      <c r="N10" s="148"/>
      <c r="O10" s="148"/>
      <c r="P10" s="148" t="s">
        <v>385</v>
      </c>
      <c r="Q10" s="150">
        <f>SUM(Q4:Q9)</f>
        <v>448</v>
      </c>
    </row>
    <row r="12" spans="1:17" ht="14.4" x14ac:dyDescent="0.3">
      <c r="F12" s="140" t="s">
        <v>350</v>
      </c>
      <c r="G12" s="140"/>
      <c r="H12" s="141" t="s">
        <v>351</v>
      </c>
      <c r="I12" s="141"/>
      <c r="J12" s="140" t="s">
        <v>352</v>
      </c>
      <c r="K12" s="140"/>
      <c r="L12" s="142" t="s">
        <v>353</v>
      </c>
      <c r="M12" s="142"/>
    </row>
    <row r="13" spans="1:17" ht="14.4" x14ac:dyDescent="0.3">
      <c r="F13" s="143" t="s">
        <v>354</v>
      </c>
      <c r="G13" s="144">
        <v>4.7222222222222221E-2</v>
      </c>
      <c r="H13" s="145"/>
      <c r="I13" s="143">
        <v>227.17</v>
      </c>
      <c r="J13" s="145" t="s">
        <v>0</v>
      </c>
      <c r="K13" s="143">
        <v>39.56</v>
      </c>
      <c r="L13" s="145" t="s">
        <v>355</v>
      </c>
      <c r="M13" s="143">
        <v>905.88</v>
      </c>
    </row>
    <row r="14" spans="1:17" ht="14.4" x14ac:dyDescent="0.3">
      <c r="F14" s="143" t="s">
        <v>0</v>
      </c>
      <c r="G14" s="143">
        <v>20.079999999999998</v>
      </c>
      <c r="H14" s="145" t="s">
        <v>0</v>
      </c>
      <c r="I14" s="143">
        <f>I13*0.1</f>
        <v>22.716999999999999</v>
      </c>
      <c r="J14" s="145"/>
      <c r="K14" s="143">
        <f>K13*0.016</f>
        <v>0.63296000000000008</v>
      </c>
      <c r="L14" s="145"/>
      <c r="M14" s="143">
        <f>M13*0.008</f>
        <v>7.2470400000000001</v>
      </c>
    </row>
    <row r="15" spans="1:17" ht="14.4" x14ac:dyDescent="0.3">
      <c r="F15" s="143" t="s">
        <v>356</v>
      </c>
      <c r="G15" s="143">
        <f>0.61*0.21*0.11</f>
        <v>1.4090999999999999E-2</v>
      </c>
      <c r="H15" s="145" t="s">
        <v>357</v>
      </c>
      <c r="I15" s="144">
        <v>4.4444444444444446E-2</v>
      </c>
      <c r="J15" s="145" t="s">
        <v>358</v>
      </c>
      <c r="K15" s="143">
        <f>K14*1.33</f>
        <v>0.84183680000000016</v>
      </c>
      <c r="L15" s="145" t="s">
        <v>358</v>
      </c>
      <c r="M15" s="143">
        <f>M14*1.33</f>
        <v>9.6385632000000001</v>
      </c>
    </row>
    <row r="16" spans="1:17" ht="14.4" x14ac:dyDescent="0.3">
      <c r="F16" s="143" t="s">
        <v>359</v>
      </c>
      <c r="G16" s="146">
        <f>G14/G15</f>
        <v>1425.0230643673267</v>
      </c>
      <c r="H16" s="145" t="s">
        <v>356</v>
      </c>
      <c r="I16" s="143">
        <f>0.61*0.21*0.11</f>
        <v>1.4090999999999999E-2</v>
      </c>
      <c r="J16" s="145" t="s">
        <v>357</v>
      </c>
      <c r="K16" s="144">
        <v>4.5833333333333337E-2</v>
      </c>
      <c r="L16" s="145" t="s">
        <v>357</v>
      </c>
      <c r="M16" s="144">
        <v>4.5833333333333337E-2</v>
      </c>
    </row>
    <row r="17" spans="6:13" ht="14.4" x14ac:dyDescent="0.3">
      <c r="F17" s="143" t="s">
        <v>360</v>
      </c>
      <c r="G17" s="143">
        <f>0.6*0.2*0.1</f>
        <v>1.2E-2</v>
      </c>
      <c r="H17" s="145" t="s">
        <v>359</v>
      </c>
      <c r="I17" s="146">
        <f>I14/I16</f>
        <v>1612.1637924916613</v>
      </c>
      <c r="J17" s="145" t="s">
        <v>361</v>
      </c>
      <c r="K17" s="143">
        <f>(1/7)*K15</f>
        <v>0.12026240000000002</v>
      </c>
      <c r="L17" s="145" t="s">
        <v>361</v>
      </c>
      <c r="M17" s="143">
        <f>(1/7)*M15</f>
        <v>1.3769376</v>
      </c>
    </row>
    <row r="18" spans="6:13" ht="14.4" x14ac:dyDescent="0.3">
      <c r="F18" s="143" t="s">
        <v>362</v>
      </c>
      <c r="G18" s="143">
        <f>G16*G17</f>
        <v>17.10027677240792</v>
      </c>
      <c r="H18" s="145" t="s">
        <v>360</v>
      </c>
      <c r="I18" s="143">
        <f>0.6*0.2*0.1</f>
        <v>1.2E-2</v>
      </c>
      <c r="J18" s="145" t="s">
        <v>363</v>
      </c>
      <c r="K18" s="147">
        <f>(6/7)*K15</f>
        <v>0.72157440000000006</v>
      </c>
      <c r="L18" s="145" t="s">
        <v>363</v>
      </c>
      <c r="M18" s="147">
        <f>(6/7)*M15</f>
        <v>8.2616256000000003</v>
      </c>
    </row>
    <row r="19" spans="6:13" ht="14.4" x14ac:dyDescent="0.3">
      <c r="F19" s="143" t="s">
        <v>364</v>
      </c>
      <c r="G19" s="143">
        <f>G14-G18</f>
        <v>2.9797232275920784</v>
      </c>
      <c r="H19" s="145" t="s">
        <v>362</v>
      </c>
      <c r="I19" s="143">
        <f>I18*I17</f>
        <v>19.345965509899937</v>
      </c>
      <c r="J19" s="145" t="s">
        <v>357</v>
      </c>
      <c r="K19" s="144">
        <v>4.4444444444444446E-2</v>
      </c>
      <c r="L19" s="145" t="s">
        <v>357</v>
      </c>
      <c r="M19" s="144">
        <v>4.4444444444444446E-2</v>
      </c>
    </row>
    <row r="20" spans="6:13" ht="14.4" x14ac:dyDescent="0.3">
      <c r="F20" s="143" t="s">
        <v>358</v>
      </c>
      <c r="G20" s="143">
        <f>G19*1.33</f>
        <v>3.9630318926974644</v>
      </c>
      <c r="H20" s="145" t="s">
        <v>364</v>
      </c>
      <c r="I20" s="143">
        <f>I14-I19</f>
        <v>3.3710344901000617</v>
      </c>
      <c r="J20" s="145"/>
      <c r="K20" s="143">
        <f>K13*0.004</f>
        <v>0.15824000000000002</v>
      </c>
      <c r="L20" s="145"/>
      <c r="M20" s="143">
        <f>M13*0.004</f>
        <v>3.6235200000000001</v>
      </c>
    </row>
    <row r="21" spans="6:13" ht="14.4" x14ac:dyDescent="0.3">
      <c r="F21" s="143" t="s">
        <v>365</v>
      </c>
      <c r="G21" s="143">
        <f>(1/9)*G20</f>
        <v>0.4403368769663849</v>
      </c>
      <c r="H21" s="145" t="s">
        <v>358</v>
      </c>
      <c r="I21" s="143">
        <f>I20*1.33</f>
        <v>4.4834758718330825</v>
      </c>
      <c r="J21" s="143" t="s">
        <v>358</v>
      </c>
      <c r="K21" s="143">
        <f>K20*1.33</f>
        <v>0.21045920000000004</v>
      </c>
      <c r="L21" s="145" t="s">
        <v>358</v>
      </c>
      <c r="M21" s="143">
        <f>M20*1.33</f>
        <v>4.8192816000000001</v>
      </c>
    </row>
    <row r="22" spans="6:13" ht="14.4" x14ac:dyDescent="0.3">
      <c r="F22" s="143" t="s">
        <v>366</v>
      </c>
      <c r="G22" s="146">
        <f>(8/9)*G20</f>
        <v>3.5226950157310792</v>
      </c>
      <c r="H22" s="145" t="s">
        <v>365</v>
      </c>
      <c r="I22" s="143">
        <f>(1/5)*I21</f>
        <v>0.8966951743666165</v>
      </c>
      <c r="J22" s="145" t="s">
        <v>361</v>
      </c>
      <c r="K22" s="143">
        <f>K21*(1/5)</f>
        <v>4.2091840000000012E-2</v>
      </c>
      <c r="L22" s="145" t="s">
        <v>361</v>
      </c>
      <c r="M22" s="143">
        <f>(1/5)*M21</f>
        <v>0.9638563200000001</v>
      </c>
    </row>
    <row r="23" spans="6:13" ht="14.4" x14ac:dyDescent="0.3">
      <c r="F23" s="143"/>
      <c r="G23" s="143"/>
      <c r="H23" s="145" t="s">
        <v>366</v>
      </c>
      <c r="I23" s="146">
        <f>(4/5)*I21</f>
        <v>3.586780697466466</v>
      </c>
      <c r="J23" s="145" t="s">
        <v>363</v>
      </c>
      <c r="K23" s="147">
        <f>(4/5)*K21</f>
        <v>0.16836736000000005</v>
      </c>
      <c r="L23" s="145" t="s">
        <v>363</v>
      </c>
      <c r="M23" s="147">
        <f>(4/5)*M21</f>
        <v>3.8554252800000004</v>
      </c>
    </row>
    <row r="24" spans="6:13" ht="14.4" x14ac:dyDescent="0.3">
      <c r="F24" s="143"/>
      <c r="G24" s="143"/>
      <c r="H24" s="143"/>
      <c r="I24" s="143"/>
      <c r="J24" s="143" t="s">
        <v>367</v>
      </c>
      <c r="K24" s="146">
        <f>K23+K18</f>
        <v>0.88994176000000014</v>
      </c>
      <c r="L24" s="145" t="s">
        <v>367</v>
      </c>
      <c r="M24" s="146">
        <f>M23+M18</f>
        <v>12.117050880000001</v>
      </c>
    </row>
  </sheetData>
  <mergeCells count="21">
    <mergeCell ref="A1:A3"/>
    <mergeCell ref="C1:C3"/>
    <mergeCell ref="D1:D3"/>
    <mergeCell ref="H1:J1"/>
    <mergeCell ref="H2:H3"/>
    <mergeCell ref="I2:I3"/>
    <mergeCell ref="J2:J3"/>
    <mergeCell ref="B1:B3"/>
    <mergeCell ref="E1:G1"/>
    <mergeCell ref="E2:E3"/>
    <mergeCell ref="F2:F3"/>
    <mergeCell ref="G2:G3"/>
    <mergeCell ref="Q1:Q3"/>
    <mergeCell ref="K1:M1"/>
    <mergeCell ref="K2:K3"/>
    <mergeCell ref="L2:L3"/>
    <mergeCell ref="M2:M3"/>
    <mergeCell ref="N1:P1"/>
    <mergeCell ref="N2:N3"/>
    <mergeCell ref="O2:O3"/>
    <mergeCell ref="P2:P3"/>
  </mergeCells>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vt:i4>
      </vt:variant>
      <vt:variant>
        <vt:lpstr>Named Ranges</vt:lpstr>
      </vt:variant>
      <vt:variant>
        <vt:i4>3</vt:i4>
      </vt:variant>
    </vt:vector>
  </HeadingPairs>
  <TitlesOfParts>
    <vt:vector size="6" baseType="lpstr">
      <vt:lpstr>RE</vt:lpstr>
      <vt:lpstr>ABSTRACT</vt:lpstr>
      <vt:lpstr>SEIGNORAGE</vt:lpstr>
      <vt:lpstr>ABSTRACT!Print_Area</vt:lpstr>
      <vt:lpstr>RE!Print_Area</vt:lpstr>
      <vt:lpstr>RE!Print_Titles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Microsoft Word - VOL-II TED for IVF Centres Dt 03042023</dc:title>
  <dc:creator>PAUL DEE</dc:creator>
  <cp:lastModifiedBy>shiva manohar</cp:lastModifiedBy>
  <cp:lastPrinted>2024-06-06T07:39:49Z</cp:lastPrinted>
  <dcterms:created xsi:type="dcterms:W3CDTF">2023-11-15T06:17:09Z</dcterms:created>
  <dcterms:modified xsi:type="dcterms:W3CDTF">2024-06-07T11:48:35Z</dcterms:modified>
</cp:coreProperties>
</file>